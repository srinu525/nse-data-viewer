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4"/>
    <sheet state="visible" name="Watch List" sheetId="2" r:id="rId5"/>
    <sheet state="visible" name="Target" sheetId="3" r:id="rId6"/>
    <sheet state="visible" name="Investment" sheetId="4" r:id="rId7"/>
  </sheets>
  <definedNames/>
  <calcPr/>
  <extLst>
    <ext uri="GoogleSheetsCustomDataVersion2">
      <go:sheetsCustomData xmlns:go="http://customooxmlschemas.google.com/" r:id="rId8" roundtripDataChecksum="qapxRl1f92xxTVGOyWO00kP6MgSgKy8Jf0p2peNpG5U="/>
    </ext>
  </extLst>
</workbook>
</file>

<file path=xl/sharedStrings.xml><?xml version="1.0" encoding="utf-8"?>
<sst xmlns="http://schemas.openxmlformats.org/spreadsheetml/2006/main" count="3116" uniqueCount="3092">
  <si>
    <t>Stock Name</t>
  </si>
  <si>
    <t>Prev.Close</t>
  </si>
  <si>
    <t>LOW</t>
  </si>
  <si>
    <t>HIGH</t>
  </si>
  <si>
    <t>GU/GD</t>
  </si>
  <si>
    <t>Change</t>
  </si>
  <si>
    <t>% Change</t>
  </si>
  <si>
    <t>RELIANCE</t>
  </si>
  <si>
    <t>Avg.Low</t>
  </si>
  <si>
    <t>Zomato</t>
  </si>
  <si>
    <t>Stock Exchange</t>
  </si>
  <si>
    <t>Avg.High</t>
  </si>
  <si>
    <t>BEL</t>
  </si>
  <si>
    <t>NSE:</t>
  </si>
  <si>
    <t>ADANIGREEN</t>
  </si>
  <si>
    <t>Avg.Change</t>
  </si>
  <si>
    <t>BAJFINANCE</t>
  </si>
  <si>
    <t>Max Low</t>
  </si>
  <si>
    <t>ICICIBANK</t>
  </si>
  <si>
    <t>60 Days Price Graph</t>
  </si>
  <si>
    <t>Avg.%Change</t>
  </si>
  <si>
    <t>KOTAKBANK</t>
  </si>
  <si>
    <t>Min Change</t>
  </si>
  <si>
    <t>TATAMOTORS</t>
  </si>
  <si>
    <t>DMART</t>
  </si>
  <si>
    <t>Min % Change</t>
  </si>
  <si>
    <t>POLICYBZR</t>
  </si>
  <si>
    <t>TATASTEEL</t>
  </si>
  <si>
    <t>Max High</t>
  </si>
  <si>
    <t>MAZDOCK</t>
  </si>
  <si>
    <t>M&amp;M</t>
  </si>
  <si>
    <t>Max Change</t>
  </si>
  <si>
    <t>10 Days Price Graph</t>
  </si>
  <si>
    <t>TCS</t>
  </si>
  <si>
    <t>JIOFIN</t>
  </si>
  <si>
    <t>Max % Change</t>
  </si>
  <si>
    <t>KRN</t>
  </si>
  <si>
    <t>DIXON</t>
  </si>
  <si>
    <t>MRPL</t>
  </si>
  <si>
    <t>60 Days Volume Graph</t>
  </si>
  <si>
    <t>LT</t>
  </si>
  <si>
    <t>TRENT</t>
  </si>
  <si>
    <t>SBIN</t>
  </si>
  <si>
    <t>HAL</t>
  </si>
  <si>
    <t>KALYANKJIL</t>
  </si>
  <si>
    <t>AXISBANK</t>
  </si>
  <si>
    <t>HINDUNILVR</t>
  </si>
  <si>
    <t>KAYNES</t>
  </si>
  <si>
    <t>VBL</t>
  </si>
  <si>
    <t>MTNL</t>
  </si>
  <si>
    <t>ONGC</t>
  </si>
  <si>
    <t>CDSL</t>
  </si>
  <si>
    <t>BAJAJ-AUTO</t>
  </si>
  <si>
    <t>ITC</t>
  </si>
  <si>
    <t>HINDALCO</t>
  </si>
  <si>
    <t>SHRIRAMFIN</t>
  </si>
  <si>
    <t>RECLTD</t>
  </si>
  <si>
    <t>CHENNPETRO</t>
  </si>
  <si>
    <t>HCLTECH</t>
  </si>
  <si>
    <t>MARUTI</t>
  </si>
  <si>
    <t>NTPC</t>
  </si>
  <si>
    <t>AMBER</t>
  </si>
  <si>
    <t>PFC</t>
  </si>
  <si>
    <t>IDEA</t>
  </si>
  <si>
    <t>SUNPHARMA</t>
  </si>
  <si>
    <t>LIQUIDBEES</t>
  </si>
  <si>
    <t>KEC</t>
  </si>
  <si>
    <t>GRSE</t>
  </si>
  <si>
    <t>SAIL</t>
  </si>
  <si>
    <t>ADANIPOWER</t>
  </si>
  <si>
    <t>INDIGO</t>
  </si>
  <si>
    <t>SOLARINDS</t>
  </si>
  <si>
    <t>POWERGRID</t>
  </si>
  <si>
    <t>CAMS</t>
  </si>
  <si>
    <t>BAJAJFINSV</t>
  </si>
  <si>
    <t>SUZLON</t>
  </si>
  <si>
    <t>TITAN</t>
  </si>
  <si>
    <t>PAYTM</t>
  </si>
  <si>
    <t>WIPRO</t>
  </si>
  <si>
    <t>ULTRACEMCO</t>
  </si>
  <si>
    <t>POLYCAB</t>
  </si>
  <si>
    <t>VEDL</t>
  </si>
  <si>
    <t>JSWENERGY</t>
  </si>
  <si>
    <t>LTIM</t>
  </si>
  <si>
    <t>COFORGE</t>
  </si>
  <si>
    <t>CANBK</t>
  </si>
  <si>
    <t>INDUSTOWER</t>
  </si>
  <si>
    <t>PERSISTENT</t>
  </si>
  <si>
    <t>SIEMENS</t>
  </si>
  <si>
    <t>BDL</t>
  </si>
  <si>
    <t>ANGELONE</t>
  </si>
  <si>
    <t>BHARATFORG</t>
  </si>
  <si>
    <t>BEML</t>
  </si>
  <si>
    <t>MAXHEALTH</t>
  </si>
  <si>
    <t>FSL</t>
  </si>
  <si>
    <t>DLF</t>
  </si>
  <si>
    <t>MPHASIS</t>
  </si>
  <si>
    <t>INDHOTEL</t>
  </si>
  <si>
    <t>ABB</t>
  </si>
  <si>
    <t>MANKIND</t>
  </si>
  <si>
    <t>MCX</t>
  </si>
  <si>
    <t>CASTROLIND</t>
  </si>
  <si>
    <t>NAUKRI</t>
  </si>
  <si>
    <t>RVNL</t>
  </si>
  <si>
    <t>BANKBARODA</t>
  </si>
  <si>
    <t>AVANTIFEED</t>
  </si>
  <si>
    <t>VOLTAS</t>
  </si>
  <si>
    <t>ENGINERSIN</t>
  </si>
  <si>
    <t>OIL</t>
  </si>
  <si>
    <t>ADANIENSOL</t>
  </si>
  <si>
    <t>TATAPOWER</t>
  </si>
  <si>
    <t>SWIGGY</t>
  </si>
  <si>
    <t>ADANIENT</t>
  </si>
  <si>
    <t>ASIANPAINT</t>
  </si>
  <si>
    <t>MOTHERSON</t>
  </si>
  <si>
    <t>UNOMINDA</t>
  </si>
  <si>
    <t>HDFCAMC</t>
  </si>
  <si>
    <t>IDFCFIRSTB</t>
  </si>
  <si>
    <t>SRF</t>
  </si>
  <si>
    <t>ADANIPORTS</t>
  </si>
  <si>
    <t>HINDPETRO</t>
  </si>
  <si>
    <t>APOLLOHOSP</t>
  </si>
  <si>
    <t>VMM</t>
  </si>
  <si>
    <t>COALINDIA</t>
  </si>
  <si>
    <t>GAIL</t>
  </si>
  <si>
    <t>LODHA</t>
  </si>
  <si>
    <t>DRREDDY</t>
  </si>
  <si>
    <t>TECHM</t>
  </si>
  <si>
    <t>HAVELLS</t>
  </si>
  <si>
    <t>WHIRLPOOL</t>
  </si>
  <si>
    <t>HFCL</t>
  </si>
  <si>
    <t>HDFCLIFE</t>
  </si>
  <si>
    <t>MANAPPURAM</t>
  </si>
  <si>
    <t>IOC</t>
  </si>
  <si>
    <t>IRFC</t>
  </si>
  <si>
    <t>BRITANNIA</t>
  </si>
  <si>
    <t>ICICIGI</t>
  </si>
  <si>
    <t>AFFLE</t>
  </si>
  <si>
    <t>EICHERMOT</t>
  </si>
  <si>
    <t>PNB</t>
  </si>
  <si>
    <t>HEROMOTOCO</t>
  </si>
  <si>
    <t>SBILIFE</t>
  </si>
  <si>
    <t>BHEL</t>
  </si>
  <si>
    <t>DIVISLAB</t>
  </si>
  <si>
    <t>360ONE</t>
  </si>
  <si>
    <t>AAVAS</t>
  </si>
  <si>
    <t>JSWSTEEL</t>
  </si>
  <si>
    <t>HYUNDAI</t>
  </si>
  <si>
    <t>THERMAX</t>
  </si>
  <si>
    <t>SEPC</t>
  </si>
  <si>
    <t>BPCL</t>
  </si>
  <si>
    <t>APLAPOLLO</t>
  </si>
  <si>
    <t>LIQUIDADD</t>
  </si>
  <si>
    <t>NACLIND</t>
  </si>
  <si>
    <t>OLAELEC</t>
  </si>
  <si>
    <t>CIPLA</t>
  </si>
  <si>
    <t>COCHINSHIP</t>
  </si>
  <si>
    <t>POWERINDIA</t>
  </si>
  <si>
    <t>COROMANDEL</t>
  </si>
  <si>
    <t>AUBANK</t>
  </si>
  <si>
    <t>CARYSIL</t>
  </si>
  <si>
    <t>GRASIM</t>
  </si>
  <si>
    <t>ANANDRATHI</t>
  </si>
  <si>
    <t>WAAREEENER</t>
  </si>
  <si>
    <t>SARDAEN</t>
  </si>
  <si>
    <t>TIINDIA</t>
  </si>
  <si>
    <t>COLPAL</t>
  </si>
  <si>
    <t>CHOLAFIN</t>
  </si>
  <si>
    <t>CUMMINSIND</t>
  </si>
  <si>
    <t>OFSS</t>
  </si>
  <si>
    <t>ACC</t>
  </si>
  <si>
    <t>BLUESTARCO</t>
  </si>
  <si>
    <t>ZEEL</t>
  </si>
  <si>
    <t>ASHOKLEY</t>
  </si>
  <si>
    <t>IREDA</t>
  </si>
  <si>
    <t>YESBANK</t>
  </si>
  <si>
    <t>KOLTEPATIL</t>
  </si>
  <si>
    <t>FORTIS</t>
  </si>
  <si>
    <t>TATATECH</t>
  </si>
  <si>
    <t>CREDITACC</t>
  </si>
  <si>
    <t>PGEL</t>
  </si>
  <si>
    <t>MUTHOOTFIN</t>
  </si>
  <si>
    <t>LICI</t>
  </si>
  <si>
    <t>BSOFT</t>
  </si>
  <si>
    <t>MRF</t>
  </si>
  <si>
    <t>PIDILITIND</t>
  </si>
  <si>
    <t>QUADFUTURE</t>
  </si>
  <si>
    <t>ITCHOTELS</t>
  </si>
  <si>
    <t>CHAMBLFERT</t>
  </si>
  <si>
    <t>TVSMOTOR</t>
  </si>
  <si>
    <t>PHOENIXLTD</t>
  </si>
  <si>
    <t>NMDC</t>
  </si>
  <si>
    <t>TRITURBINE</t>
  </si>
  <si>
    <t>JINDALSTEL</t>
  </si>
  <si>
    <t>PATANJALI</t>
  </si>
  <si>
    <t>NHPC</t>
  </si>
  <si>
    <t>UPL</t>
  </si>
  <si>
    <t>JYOTICNC</t>
  </si>
  <si>
    <t>PPLPHARMA</t>
  </si>
  <si>
    <t>INDIANB</t>
  </si>
  <si>
    <t>TATACONSUM</t>
  </si>
  <si>
    <t>NATIONALUM</t>
  </si>
  <si>
    <t>NCC</t>
  </si>
  <si>
    <t>CROMPTON</t>
  </si>
  <si>
    <t>CGPOWER</t>
  </si>
  <si>
    <t>HINDCOPPER</t>
  </si>
  <si>
    <t>LIQUIDIETF</t>
  </si>
  <si>
    <t>GODREJPROP</t>
  </si>
  <si>
    <t>INOXWIND</t>
  </si>
  <si>
    <t>GODFRYPHLP</t>
  </si>
  <si>
    <t>NIFTYBEES</t>
  </si>
  <si>
    <t>AMBUJACEM</t>
  </si>
  <si>
    <t>REDINGTON</t>
  </si>
  <si>
    <t>TITAGARH</t>
  </si>
  <si>
    <t>SAMMAANCAP</t>
  </si>
  <si>
    <t>VIJAYA</t>
  </si>
  <si>
    <t>PRESTIGE</t>
  </si>
  <si>
    <t>KEI</t>
  </si>
  <si>
    <t>SWSOLAR</t>
  </si>
  <si>
    <t>LUPIN</t>
  </si>
  <si>
    <t>NTPCGREEN</t>
  </si>
  <si>
    <t>BANDHANBNK</t>
  </si>
  <si>
    <t>BALKRISIND</t>
  </si>
  <si>
    <t>ATGL</t>
  </si>
  <si>
    <t>PIIND</t>
  </si>
  <si>
    <t>NH</t>
  </si>
  <si>
    <t>SENCO</t>
  </si>
  <si>
    <t>SONACOMS</t>
  </si>
  <si>
    <t>LTTS</t>
  </si>
  <si>
    <t>TATACOMM</t>
  </si>
  <si>
    <t>UNIONBANK</t>
  </si>
  <si>
    <t>TATAELXSI</t>
  </si>
  <si>
    <t>RBLBANK</t>
  </si>
  <si>
    <t>GOLDBEES</t>
  </si>
  <si>
    <t>SWANENERGY</t>
  </si>
  <si>
    <t>NYKAA</t>
  </si>
  <si>
    <t>RAMCOCEM</t>
  </si>
  <si>
    <t>HUDCO</t>
  </si>
  <si>
    <t>ANANTRAJ</t>
  </si>
  <si>
    <t>GODREJCP</t>
  </si>
  <si>
    <t>PETRONET</t>
  </si>
  <si>
    <t>ASTRAL</t>
  </si>
  <si>
    <t>DABUR</t>
  </si>
  <si>
    <t>NESTLEIND</t>
  </si>
  <si>
    <t>ZENTEC</t>
  </si>
  <si>
    <t>ELGIEQUIP</t>
  </si>
  <si>
    <t>SILVERBEES</t>
  </si>
  <si>
    <t>HBLENGINE</t>
  </si>
  <si>
    <t>ZENSARTECH</t>
  </si>
  <si>
    <t>GMRAIRPORT</t>
  </si>
  <si>
    <t>ISEC</t>
  </si>
  <si>
    <t>OBEROIRLTY</t>
  </si>
  <si>
    <t>SDBL</t>
  </si>
  <si>
    <t>UNITDSPR</t>
  </si>
  <si>
    <t>HINDZINC</t>
  </si>
  <si>
    <t>JUBLFOOD</t>
  </si>
  <si>
    <t>KPITTECH</t>
  </si>
  <si>
    <t>LICHSGFIN</t>
  </si>
  <si>
    <t>BIRLACORPN</t>
  </si>
  <si>
    <t>TEJASNET</t>
  </si>
  <si>
    <t>NEULANDLAB</t>
  </si>
  <si>
    <t>DELHIVERY</t>
  </si>
  <si>
    <t>APARINDS</t>
  </si>
  <si>
    <t>KFINTECH</t>
  </si>
  <si>
    <t>AUROPHARMA</t>
  </si>
  <si>
    <t>JPPOWER</t>
  </si>
  <si>
    <t>WELCORP</t>
  </si>
  <si>
    <t>PROTEAN</t>
  </si>
  <si>
    <t>IRCTC</t>
  </si>
  <si>
    <t>EIHOTEL</t>
  </si>
  <si>
    <t>JCHAC</t>
  </si>
  <si>
    <t>SBICARD</t>
  </si>
  <si>
    <t>EXIDEIND</t>
  </si>
  <si>
    <t>BAJAJHFL</t>
  </si>
  <si>
    <t>RPOWER</t>
  </si>
  <si>
    <t>GOLDIETF</t>
  </si>
  <si>
    <t>SIGNATURE</t>
  </si>
  <si>
    <t>FEDERALBNK</t>
  </si>
  <si>
    <t>IGIL</t>
  </si>
  <si>
    <t>JWL</t>
  </si>
  <si>
    <t>TORNTPHARM</t>
  </si>
  <si>
    <t>RELINFRA</t>
  </si>
  <si>
    <t>BANKINDIA</t>
  </si>
  <si>
    <t>BLS</t>
  </si>
  <si>
    <t>APOLLO</t>
  </si>
  <si>
    <t>JUBLPHARMA</t>
  </si>
  <si>
    <t>PGIL</t>
  </si>
  <si>
    <t>SUNDRMFAST</t>
  </si>
  <si>
    <t>JSWINFRA</t>
  </si>
  <si>
    <t>IRB</t>
  </si>
  <si>
    <t>NAM-INDIA</t>
  </si>
  <si>
    <t>LIQUIDCASE</t>
  </si>
  <si>
    <t>DALBHARAT</t>
  </si>
  <si>
    <t>EASEMYTRIP</t>
  </si>
  <si>
    <t>NUVAMA</t>
  </si>
  <si>
    <t>LAURUSLABS</t>
  </si>
  <si>
    <t>MOBIKWIK</t>
  </si>
  <si>
    <t>HCC</t>
  </si>
  <si>
    <t>NATCOPHARM</t>
  </si>
  <si>
    <t>SHREECEM</t>
  </si>
  <si>
    <t>GLENMARK</t>
  </si>
  <si>
    <t>BIOCON</t>
  </si>
  <si>
    <t>AMIORG</t>
  </si>
  <si>
    <t>ASTRAZEN</t>
  </si>
  <si>
    <t>DAMCAPITAL</t>
  </si>
  <si>
    <t>STARHEALTH</t>
  </si>
  <si>
    <t>ABCAPITAL</t>
  </si>
  <si>
    <t>PARADEEP</t>
  </si>
  <si>
    <t>BAJAJHLDNG</t>
  </si>
  <si>
    <t>PREMIERENE</t>
  </si>
  <si>
    <t>PNBHOUSING</t>
  </si>
  <si>
    <t>IRCON</t>
  </si>
  <si>
    <t>KIMS</t>
  </si>
  <si>
    <t>ABFRL</t>
  </si>
  <si>
    <t>POONAWALLA</t>
  </si>
  <si>
    <t>GREAVESCOT</t>
  </si>
  <si>
    <t>INDGN</t>
  </si>
  <si>
    <t>DEVYANI</t>
  </si>
  <si>
    <t>MOTILALOFS</t>
  </si>
  <si>
    <t>BALRAMCHIN</t>
  </si>
  <si>
    <t>ACI</t>
  </si>
  <si>
    <t>MARICO</t>
  </si>
  <si>
    <t>ZAGGLE</t>
  </si>
  <si>
    <t>ABREL</t>
  </si>
  <si>
    <t>DOMS</t>
  </si>
  <si>
    <t>SUNDARMFIN</t>
  </si>
  <si>
    <t>PCJEWELLER</t>
  </si>
  <si>
    <t>JBCHEPHARM</t>
  </si>
  <si>
    <t>EMBDL</t>
  </si>
  <si>
    <t>ARE&amp;M</t>
  </si>
  <si>
    <t>JINDALSAW</t>
  </si>
  <si>
    <t>JINDRILL</t>
  </si>
  <si>
    <t>OLECTRA</t>
  </si>
  <si>
    <t>JSL</t>
  </si>
  <si>
    <t>GSPL</t>
  </si>
  <si>
    <t>HDFCGOLD</t>
  </si>
  <si>
    <t>IFCI</t>
  </si>
  <si>
    <t>JMFINANCIL</t>
  </si>
  <si>
    <t>GRAPHITE</t>
  </si>
  <si>
    <t>CONCOR</t>
  </si>
  <si>
    <t>PCBL</t>
  </si>
  <si>
    <t>FAIRCHEMOR</t>
  </si>
  <si>
    <t>WABAG</t>
  </si>
  <si>
    <t>NBCC</t>
  </si>
  <si>
    <t>GRAVITA</t>
  </si>
  <si>
    <t>IGL</t>
  </si>
  <si>
    <t>BIKAJI</t>
  </si>
  <si>
    <t>MAHABANK</t>
  </si>
  <si>
    <t>DBREALTY</t>
  </si>
  <si>
    <t>RADICO</t>
  </si>
  <si>
    <t>RAINBOW</t>
  </si>
  <si>
    <t>AEGISLOG</t>
  </si>
  <si>
    <t>ITDCEM</t>
  </si>
  <si>
    <t>KARURVYSYA</t>
  </si>
  <si>
    <t>HATSUN</t>
  </si>
  <si>
    <t>ALKEM</t>
  </si>
  <si>
    <t>YATHARTH</t>
  </si>
  <si>
    <t>DEEPAKNTR</t>
  </si>
  <si>
    <t>NLCINDIA</t>
  </si>
  <si>
    <t>SUPREMEIND</t>
  </si>
  <si>
    <t>ASHOKA</t>
  </si>
  <si>
    <t>TTML</t>
  </si>
  <si>
    <t>IEX</t>
  </si>
  <si>
    <t>PVRINOX</t>
  </si>
  <si>
    <t>TAJGVK</t>
  </si>
  <si>
    <t>PAGEIND</t>
  </si>
  <si>
    <t>RAILTEL</t>
  </si>
  <si>
    <t>BECTORFOOD</t>
  </si>
  <si>
    <t>PTC</t>
  </si>
  <si>
    <t>CHOLAHLDNG</t>
  </si>
  <si>
    <t>MASTEK</t>
  </si>
  <si>
    <t>CARTRADE</t>
  </si>
  <si>
    <t>SONATSOFTW</t>
  </si>
  <si>
    <t>CESC</t>
  </si>
  <si>
    <t>KIRLOSENG</t>
  </si>
  <si>
    <t>EIEL</t>
  </si>
  <si>
    <t>AZAD</t>
  </si>
  <si>
    <t>SJVN</t>
  </si>
  <si>
    <t>RATNAMANI</t>
  </si>
  <si>
    <t>BERGEPAINT</t>
  </si>
  <si>
    <t>IIFL</t>
  </si>
  <si>
    <t>HPL</t>
  </si>
  <si>
    <t>ELECON</t>
  </si>
  <si>
    <t>TORNTPOWER</t>
  </si>
  <si>
    <t>SUDARSCHEM</t>
  </si>
  <si>
    <t>NAVINFLUOR</t>
  </si>
  <si>
    <t>ASTERDM</t>
  </si>
  <si>
    <t>DEEPAKFERT</t>
  </si>
  <si>
    <t>GODREJIND</t>
  </si>
  <si>
    <t>CYIENT</t>
  </si>
  <si>
    <t>MANINDS</t>
  </si>
  <si>
    <t>BHARTIHEXA</t>
  </si>
  <si>
    <t>LEMONTREE</t>
  </si>
  <si>
    <t>LINDEINDIA</t>
  </si>
  <si>
    <t>ZYDUSLIFE</t>
  </si>
  <si>
    <t>RAYMOND</t>
  </si>
  <si>
    <t>TATAINVEST</t>
  </si>
  <si>
    <t>TDPOWERSYS</t>
  </si>
  <si>
    <t>LTF</t>
  </si>
  <si>
    <t>TATACHEM</t>
  </si>
  <si>
    <t>LIQUID1</t>
  </si>
  <si>
    <t>RCF</t>
  </si>
  <si>
    <t>GOLDIAM</t>
  </si>
  <si>
    <t>VOLTAMP</t>
  </si>
  <si>
    <t>KPIGREEN</t>
  </si>
  <si>
    <t>SYRMA</t>
  </si>
  <si>
    <t>BRIGADE</t>
  </si>
  <si>
    <t>SENORES</t>
  </si>
  <si>
    <t>SYNGENE</t>
  </si>
  <si>
    <t>ACMESOLAR</t>
  </si>
  <si>
    <t>GRWRHITECH</t>
  </si>
  <si>
    <t>HEXT</t>
  </si>
  <si>
    <t>GENSOL</t>
  </si>
  <si>
    <t>SGLTL</t>
  </si>
  <si>
    <t>AARTIIND</t>
  </si>
  <si>
    <t>KAMATHOTEL</t>
  </si>
  <si>
    <t>UJJIVANSFB</t>
  </si>
  <si>
    <t>BLUEJET</t>
  </si>
  <si>
    <t>TEXRAIL</t>
  </si>
  <si>
    <t>HSCL</t>
  </si>
  <si>
    <t>PEL</t>
  </si>
  <si>
    <t>FORCEMOT</t>
  </si>
  <si>
    <t>ECLERX</t>
  </si>
  <si>
    <t>GPIL</t>
  </si>
  <si>
    <t>JBMA</t>
  </si>
  <si>
    <t>ORIENTCEM</t>
  </si>
  <si>
    <t>GVT&amp;D</t>
  </si>
  <si>
    <t>NETWORK18</t>
  </si>
  <si>
    <t>TIRUMALCHM</t>
  </si>
  <si>
    <t>IDBI</t>
  </si>
  <si>
    <t>PRAJIND</t>
  </si>
  <si>
    <t>M&amp;MFIN</t>
  </si>
  <si>
    <t>EMAMILTD</t>
  </si>
  <si>
    <t>WOCKPHARMA</t>
  </si>
  <si>
    <t>INTELLECT</t>
  </si>
  <si>
    <t>ESCORTS</t>
  </si>
  <si>
    <t>JUNIORBEES</t>
  </si>
  <si>
    <t>AWL</t>
  </si>
  <si>
    <t>BOSCHLTD</t>
  </si>
  <si>
    <t>GUJGASLTD</t>
  </si>
  <si>
    <t>AJANTPHARM</t>
  </si>
  <si>
    <t>ICICIPRULI</t>
  </si>
  <si>
    <t>TECHNOE</t>
  </si>
  <si>
    <t>TRANSRAILL</t>
  </si>
  <si>
    <t>SHYAMMETL</t>
  </si>
  <si>
    <t>BALUFORGE</t>
  </si>
  <si>
    <t>ONESOURCE</t>
  </si>
  <si>
    <t>LLOYDSME</t>
  </si>
  <si>
    <t>HIMATSEIDE</t>
  </si>
  <si>
    <t>RKFORGE</t>
  </si>
  <si>
    <t>JKIL</t>
  </si>
  <si>
    <t>BBL</t>
  </si>
  <si>
    <t>AWFIS</t>
  </si>
  <si>
    <t>ZFCVINDIA</t>
  </si>
  <si>
    <t>GLAND</t>
  </si>
  <si>
    <t>KPIL</t>
  </si>
  <si>
    <t>AFCONS</t>
  </si>
  <si>
    <t>HEG</t>
  </si>
  <si>
    <t>RAIN</t>
  </si>
  <si>
    <t>HINDOILEXP</t>
  </si>
  <si>
    <t>SAGILITY</t>
  </si>
  <si>
    <t>MAHSEAMLES</t>
  </si>
  <si>
    <t>APOLLOTYRE</t>
  </si>
  <si>
    <t>SAREGAMA</t>
  </si>
  <si>
    <t>GOKEX</t>
  </si>
  <si>
    <t>FLUOROCHEM</t>
  </si>
  <si>
    <t>TIMETECHNO</t>
  </si>
  <si>
    <t>MGL</t>
  </si>
  <si>
    <t>INOXGREEN</t>
  </si>
  <si>
    <t>SCI</t>
  </si>
  <si>
    <t>AARTIPHARM</t>
  </si>
  <si>
    <t>QPOWER</t>
  </si>
  <si>
    <t>MSUMI</t>
  </si>
  <si>
    <t>JKCEMENT</t>
  </si>
  <si>
    <t>STAR</t>
  </si>
  <si>
    <t>ACE</t>
  </si>
  <si>
    <t>GABRIEL</t>
  </si>
  <si>
    <t>INDIAMART</t>
  </si>
  <si>
    <t>GESHIP</t>
  </si>
  <si>
    <t>GENESYS</t>
  </si>
  <si>
    <t>RELIGARE</t>
  </si>
  <si>
    <t>SAILIFE</t>
  </si>
  <si>
    <t>RATEGAIN</t>
  </si>
  <si>
    <t>PRUDENT</t>
  </si>
  <si>
    <t>NEWGEN</t>
  </si>
  <si>
    <t>GRANULES</t>
  </si>
  <si>
    <t>EDELWEISS</t>
  </si>
  <si>
    <t>GICRE</t>
  </si>
  <si>
    <t>ELECTCAST</t>
  </si>
  <si>
    <t>TARIL</t>
  </si>
  <si>
    <t>UBL</t>
  </si>
  <si>
    <t>BANKBEES</t>
  </si>
  <si>
    <t>MON100</t>
  </si>
  <si>
    <t>JKPAPER</t>
  </si>
  <si>
    <t>LLOYDSENGG</t>
  </si>
  <si>
    <t>VINDHYATEL</t>
  </si>
  <si>
    <t>HAPPSTMNDS</t>
  </si>
  <si>
    <t>HNGSNGBEES</t>
  </si>
  <si>
    <t>SPARC</t>
  </si>
  <si>
    <t>FINCABLES</t>
  </si>
  <si>
    <t>GSFC</t>
  </si>
  <si>
    <t>GPPL</t>
  </si>
  <si>
    <t>WELSPUNLIV</t>
  </si>
  <si>
    <t>KSB</t>
  </si>
  <si>
    <t>ROUTE</t>
  </si>
  <si>
    <t>SAPPHIRE</t>
  </si>
  <si>
    <t>CAMLINFINE</t>
  </si>
  <si>
    <t>VENTIVE</t>
  </si>
  <si>
    <t>JYOTISTRUC</t>
  </si>
  <si>
    <t>RITES</t>
  </si>
  <si>
    <t>INFIBEAM</t>
  </si>
  <si>
    <t>GMDCLTD</t>
  </si>
  <si>
    <t>SAMHI</t>
  </si>
  <si>
    <t>DISHTV</t>
  </si>
  <si>
    <t>GENUSPOWER</t>
  </si>
  <si>
    <t>MFSL</t>
  </si>
  <si>
    <t>GODREJAGRO</t>
  </si>
  <si>
    <t>KIRLOSBROS</t>
  </si>
  <si>
    <t>STLTECH</t>
  </si>
  <si>
    <t>PARAS</t>
  </si>
  <si>
    <t>GLAXO</t>
  </si>
  <si>
    <t>MAHLIFE</t>
  </si>
  <si>
    <t>ITDC</t>
  </si>
  <si>
    <t>NETWEB</t>
  </si>
  <si>
    <t>JISLJALEQS</t>
  </si>
  <si>
    <t>GILLETTE</t>
  </si>
  <si>
    <t>IPCALAB</t>
  </si>
  <si>
    <t>MOIL</t>
  </si>
  <si>
    <t>CUB</t>
  </si>
  <si>
    <t>ABBOTINDIA</t>
  </si>
  <si>
    <t>THANGAMAYL</t>
  </si>
  <si>
    <t>IONEXCHANG</t>
  </si>
  <si>
    <t>ASTRAMICRO</t>
  </si>
  <si>
    <t>DCXINDIA</t>
  </si>
  <si>
    <t>GMRP&amp;UI</t>
  </si>
  <si>
    <t>IKS</t>
  </si>
  <si>
    <t>KTKBANK</t>
  </si>
  <si>
    <t>GANDHITUBE</t>
  </si>
  <si>
    <t>FIVESTAR</t>
  </si>
  <si>
    <t>HOMEFIRST</t>
  </si>
  <si>
    <t>JSWHL</t>
  </si>
  <si>
    <t>NAZARA</t>
  </si>
  <si>
    <t>GODIGIT</t>
  </si>
  <si>
    <t>PFIZER</t>
  </si>
  <si>
    <t>SUVENPHAR</t>
  </si>
  <si>
    <t>LIQUID</t>
  </si>
  <si>
    <t>CEATLTD</t>
  </si>
  <si>
    <t>NOCIL</t>
  </si>
  <si>
    <t>MTARTECH</t>
  </si>
  <si>
    <t>CHOICEIN</t>
  </si>
  <si>
    <t>FMGOETZE</t>
  </si>
  <si>
    <t>DCMSHRIRAM</t>
  </si>
  <si>
    <t>TI</t>
  </si>
  <si>
    <t>GRMOVER</t>
  </si>
  <si>
    <t>EMSLIMITED</t>
  </si>
  <si>
    <t>NIFTYIETF</t>
  </si>
  <si>
    <t>ITBEES</t>
  </si>
  <si>
    <t>CAPACITE</t>
  </si>
  <si>
    <t>EPL</t>
  </si>
  <si>
    <t>CARERATING</t>
  </si>
  <si>
    <t>MOREPENLAB</t>
  </si>
  <si>
    <t>NSLNISP</t>
  </si>
  <si>
    <t>MAXESTATES</t>
  </si>
  <si>
    <t>METROPOLIS</t>
  </si>
  <si>
    <t>LALPATHLAB</t>
  </si>
  <si>
    <t>ARVINDFASN</t>
  </si>
  <si>
    <t>LATENTVIEW</t>
  </si>
  <si>
    <t>TANLA</t>
  </si>
  <si>
    <t>WELENT</t>
  </si>
  <si>
    <t>APTUS</t>
  </si>
  <si>
    <t>MEDANTA</t>
  </si>
  <si>
    <t>PATELENG</t>
  </si>
  <si>
    <t>SUYOG</t>
  </si>
  <si>
    <t>JSFB</t>
  </si>
  <si>
    <t>HONDAPOWER</t>
  </si>
  <si>
    <t>JUBLINGREA</t>
  </si>
  <si>
    <t>ATUL</t>
  </si>
  <si>
    <t>MANYAVAR</t>
  </si>
  <si>
    <t>BATAINDIA</t>
  </si>
  <si>
    <t>NEOGEN</t>
  </si>
  <si>
    <t>REDTAPE</t>
  </si>
  <si>
    <t>CENTRALBK</t>
  </si>
  <si>
    <t>AGARWALEYE</t>
  </si>
  <si>
    <t>INOXINDIA</t>
  </si>
  <si>
    <t>GRINFRA</t>
  </si>
  <si>
    <t>AGI</t>
  </si>
  <si>
    <t>TRIVENI</t>
  </si>
  <si>
    <t>KAJARIACER</t>
  </si>
  <si>
    <t>TASTYBITE</t>
  </si>
  <si>
    <t>IFBIND</t>
  </si>
  <si>
    <t>MARKSANS</t>
  </si>
  <si>
    <t>MINDACORP</t>
  </si>
  <si>
    <t>MIDHANI</t>
  </si>
  <si>
    <t>JUSTDIAL</t>
  </si>
  <si>
    <t>GMMPFAUDLR</t>
  </si>
  <si>
    <t>CAPLIPOINT</t>
  </si>
  <si>
    <t>SKIPPER</t>
  </si>
  <si>
    <t>PREMEXPLN</t>
  </si>
  <si>
    <t>KIRIINDUS</t>
  </si>
  <si>
    <t>TRIDENT</t>
  </si>
  <si>
    <t>CPSEETF</t>
  </si>
  <si>
    <t>FACT</t>
  </si>
  <si>
    <t>CIGNITITEC</t>
  </si>
  <si>
    <t>KNRCON</t>
  </si>
  <si>
    <t>RENUKA</t>
  </si>
  <si>
    <t>ANURAS</t>
  </si>
  <si>
    <t>HITECH</t>
  </si>
  <si>
    <t>SUMICHEM</t>
  </si>
  <si>
    <t>VIPIND</t>
  </si>
  <si>
    <t>PENIND</t>
  </si>
  <si>
    <t>EQUITASBNK</t>
  </si>
  <si>
    <t>HERITGFOOD</t>
  </si>
  <si>
    <t>JYOTHYLAB</t>
  </si>
  <si>
    <t>GEPIL</t>
  </si>
  <si>
    <t>LIQUIDETF</t>
  </si>
  <si>
    <t>CELLO</t>
  </si>
  <si>
    <t>ORCHPHARMA</t>
  </si>
  <si>
    <t>QUESS</t>
  </si>
  <si>
    <t>BANKNIFTY1</t>
  </si>
  <si>
    <t>IOB</t>
  </si>
  <si>
    <t>TFCILTD</t>
  </si>
  <si>
    <t>TVSSCS</t>
  </si>
  <si>
    <t>LTFOODS</t>
  </si>
  <si>
    <t>USHAMART</t>
  </si>
  <si>
    <t>TCPLPACK</t>
  </si>
  <si>
    <t>SANGHVIMOV</t>
  </si>
  <si>
    <t>SKFINDIA</t>
  </si>
  <si>
    <t>LIQUIDBETF</t>
  </si>
  <si>
    <t>CHALET</t>
  </si>
  <si>
    <t>SAFARI</t>
  </si>
  <si>
    <t>ABSLAMC</t>
  </si>
  <si>
    <t>KSCL</t>
  </si>
  <si>
    <t>BALAMINES</t>
  </si>
  <si>
    <t>FCL</t>
  </si>
  <si>
    <t>PNCINFRA</t>
  </si>
  <si>
    <t>ASALCBR</t>
  </si>
  <si>
    <t>BAJAJHIND</t>
  </si>
  <si>
    <t>SHRIRAMPPS</t>
  </si>
  <si>
    <t>SETFGOLD</t>
  </si>
  <si>
    <t>RAYMONDLSL</t>
  </si>
  <si>
    <t>CRISIL</t>
  </si>
  <si>
    <t>GULFOILLUB</t>
  </si>
  <si>
    <t>MSTCLTD</t>
  </si>
  <si>
    <t>INDIACEM</t>
  </si>
  <si>
    <t>TIMKEN</t>
  </si>
  <si>
    <t>AJAXENGG</t>
  </si>
  <si>
    <t>INTERARCH</t>
  </si>
  <si>
    <t>SUNTV</t>
  </si>
  <si>
    <t>MAPMYINDIA</t>
  </si>
  <si>
    <t>MANINFRA</t>
  </si>
  <si>
    <t>VGUARD</t>
  </si>
  <si>
    <t>GANESHHOUC</t>
  </si>
  <si>
    <t>ETHOSLTD</t>
  </si>
  <si>
    <t>DCBBANK</t>
  </si>
  <si>
    <t>SCHAEFFLER</t>
  </si>
  <si>
    <t>BOMDYEING</t>
  </si>
  <si>
    <t>EMUDHRA</t>
  </si>
  <si>
    <t>POWERMECH</t>
  </si>
  <si>
    <t>GLOBUSSPR</t>
  </si>
  <si>
    <t>ANUP</t>
  </si>
  <si>
    <t>J&amp;KBANK</t>
  </si>
  <si>
    <t>GNFC</t>
  </si>
  <si>
    <t>MAHLOG</t>
  </si>
  <si>
    <t>ISGEC</t>
  </si>
  <si>
    <t>BASF</t>
  </si>
  <si>
    <t>KPRMILL</t>
  </si>
  <si>
    <t>AADHARHFC</t>
  </si>
  <si>
    <t>FIRSTCRY</t>
  </si>
  <si>
    <t>CENTUM</t>
  </si>
  <si>
    <t>SHILPAMED</t>
  </si>
  <si>
    <t>PGHH</t>
  </si>
  <si>
    <t>JAICORPLTD</t>
  </si>
  <si>
    <t>BBTC</t>
  </si>
  <si>
    <t>EIDPARRY</t>
  </si>
  <si>
    <t>GOLD1</t>
  </si>
  <si>
    <t>CERA</t>
  </si>
  <si>
    <t>FINPIPE</t>
  </si>
  <si>
    <t>DHANI</t>
  </si>
  <si>
    <t>RRKABEL</t>
  </si>
  <si>
    <t>APLLTD</t>
  </si>
  <si>
    <t>SULA</t>
  </si>
  <si>
    <t>KIRLPNU</t>
  </si>
  <si>
    <t>EPACK</t>
  </si>
  <si>
    <t>MOSCHIP</t>
  </si>
  <si>
    <t>INDIASHLTR</t>
  </si>
  <si>
    <t>OPTIEMUS</t>
  </si>
  <si>
    <t>HIL</t>
  </si>
  <si>
    <t>BAJAJCON</t>
  </si>
  <si>
    <t>IXIGO</t>
  </si>
  <si>
    <t>VENUSPIPES</t>
  </si>
  <si>
    <t>JASH</t>
  </si>
  <si>
    <t>UTIAMC</t>
  </si>
  <si>
    <t>NAVKARCORP</t>
  </si>
  <si>
    <t>SOUTHBANK</t>
  </si>
  <si>
    <t>SUPRIYA</t>
  </si>
  <si>
    <t>RSYSTEMS</t>
  </si>
  <si>
    <t>PANACEABIO</t>
  </si>
  <si>
    <t>STALLION</t>
  </si>
  <si>
    <t>HONASA</t>
  </si>
  <si>
    <t>CSBBANK</t>
  </si>
  <si>
    <t>INDIAGLYCO</t>
  </si>
  <si>
    <t>CANFINHOME</t>
  </si>
  <si>
    <t>LXCHEM</t>
  </si>
  <si>
    <t>SHAREINDIA</t>
  </si>
  <si>
    <t>POLYMED</t>
  </si>
  <si>
    <t>INDOSTAR</t>
  </si>
  <si>
    <t>PRAKASH</t>
  </si>
  <si>
    <t>VAKRANGEE</t>
  </si>
  <si>
    <t>THOMASCOOK</t>
  </si>
  <si>
    <t>VAIBHAVGBL</t>
  </si>
  <si>
    <t>AIAENG</t>
  </si>
  <si>
    <t>PNGJL</t>
  </si>
  <si>
    <t>E2E</t>
  </si>
  <si>
    <t>VARROC</t>
  </si>
  <si>
    <t>UCOBANK</t>
  </si>
  <si>
    <t>WONDERLA</t>
  </si>
  <si>
    <t>INDRAMEDCO</t>
  </si>
  <si>
    <t>JTLIND</t>
  </si>
  <si>
    <t>AVALON</t>
  </si>
  <si>
    <t>SOBHA</t>
  </si>
  <si>
    <t>INDIGOPNTS</t>
  </si>
  <si>
    <t>SURAJEST</t>
  </si>
  <si>
    <t>CMSINFO</t>
  </si>
  <si>
    <t>RGL</t>
  </si>
  <si>
    <t>JUNIPER</t>
  </si>
  <si>
    <t>PRICOLLTD</t>
  </si>
  <si>
    <t>PSUBNKBEES</t>
  </si>
  <si>
    <t>SCHNEIDER</t>
  </si>
  <si>
    <t>RTNINDIA</t>
  </si>
  <si>
    <t>NAVA</t>
  </si>
  <si>
    <t>HEMIPROP</t>
  </si>
  <si>
    <t>SILVERIETF</t>
  </si>
  <si>
    <t>KPEL</t>
  </si>
  <si>
    <t>BBOX</t>
  </si>
  <si>
    <t>BARBEQUE</t>
  </si>
  <si>
    <t>63MOONS</t>
  </si>
  <si>
    <t>FMCGIETF</t>
  </si>
  <si>
    <t>SPANDANA</t>
  </si>
  <si>
    <t>BAYERCROP</t>
  </si>
  <si>
    <t>SHRIPISTON</t>
  </si>
  <si>
    <t>ALLCARGO</t>
  </si>
  <si>
    <t>BAJAJHCARE</t>
  </si>
  <si>
    <t>INNOVACAP</t>
  </si>
  <si>
    <t>APTECHT</t>
  </si>
  <si>
    <t>NIITLTD</t>
  </si>
  <si>
    <t>JINDWORLD</t>
  </si>
  <si>
    <t>HDFCSML250</t>
  </si>
  <si>
    <t>NFL</t>
  </si>
  <si>
    <t>GTPL</t>
  </si>
  <si>
    <t>KANSAINER</t>
  </si>
  <si>
    <t>ENDURANCE</t>
  </si>
  <si>
    <t>AEROFLEX</t>
  </si>
  <si>
    <t>SYMPHONY</t>
  </si>
  <si>
    <t>DELTACORP</t>
  </si>
  <si>
    <t>RTNPOWER</t>
  </si>
  <si>
    <t>DYNAMATECH</t>
  </si>
  <si>
    <t>AARTIDRUGS</t>
  </si>
  <si>
    <t>SETFNIF50</t>
  </si>
  <si>
    <t>MOL</t>
  </si>
  <si>
    <t>MAFANG</t>
  </si>
  <si>
    <t>SANSERA</t>
  </si>
  <si>
    <t>HONAUT</t>
  </si>
  <si>
    <t>CARBORUNIV</t>
  </si>
  <si>
    <t>MID150BEES</t>
  </si>
  <si>
    <t>BANCOINDIA</t>
  </si>
  <si>
    <t>JKTYRE</t>
  </si>
  <si>
    <t>CHEMPLASTS</t>
  </si>
  <si>
    <t>ABDL</t>
  </si>
  <si>
    <t>IDEAFORGE</t>
  </si>
  <si>
    <t>JAIBALAJI</t>
  </si>
  <si>
    <t>3MINDIA</t>
  </si>
  <si>
    <t>INGERRAND</t>
  </si>
  <si>
    <t>SEQUENT</t>
  </si>
  <si>
    <t>ARKADE</t>
  </si>
  <si>
    <t>EMCURE</t>
  </si>
  <si>
    <t>RBA</t>
  </si>
  <si>
    <t>GAEL</t>
  </si>
  <si>
    <t>ALOKINDS</t>
  </si>
  <si>
    <t>IIFLCAPS</t>
  </si>
  <si>
    <t>JAMNAAUTO</t>
  </si>
  <si>
    <t>ADVENZYMES</t>
  </si>
  <si>
    <t>AHLUCONT</t>
  </si>
  <si>
    <t>VSTIND</t>
  </si>
  <si>
    <t>SJS</t>
  </si>
  <si>
    <t>CCL</t>
  </si>
  <si>
    <t>RIIL</t>
  </si>
  <si>
    <t>ASHAPURMIN</t>
  </si>
  <si>
    <t>WSTCSTPAPR</t>
  </si>
  <si>
    <t>NSIL</t>
  </si>
  <si>
    <t>SHK</t>
  </si>
  <si>
    <t>SURAKSHA</t>
  </si>
  <si>
    <t>CANTABIL</t>
  </si>
  <si>
    <t>ARIHANTCAP</t>
  </si>
  <si>
    <t>SHARDAMOTR</t>
  </si>
  <si>
    <t>CONCORDBIO</t>
  </si>
  <si>
    <t>REPCOHOME</t>
  </si>
  <si>
    <t>PLATIND</t>
  </si>
  <si>
    <t>SALZERELEC</t>
  </si>
  <si>
    <t>AVANTEL</t>
  </si>
  <si>
    <t>FINOPB</t>
  </si>
  <si>
    <t>HGINFRA</t>
  </si>
  <si>
    <t>SHALBY</t>
  </si>
  <si>
    <t>CLEAN</t>
  </si>
  <si>
    <t>PTCIL</t>
  </si>
  <si>
    <t>WALCHANNAG</t>
  </si>
  <si>
    <t>MAMATA</t>
  </si>
  <si>
    <t>PAISALO</t>
  </si>
  <si>
    <t>SUNTECK</t>
  </si>
  <si>
    <t>TBOTEK</t>
  </si>
  <si>
    <t>IPL</t>
  </si>
  <si>
    <t>AKUMS</t>
  </si>
  <si>
    <t>DHANUKA</t>
  </si>
  <si>
    <t>GATEWAY</t>
  </si>
  <si>
    <t>TIPSMUSIC</t>
  </si>
  <si>
    <t>SIGACHI</t>
  </si>
  <si>
    <t>STYLEBAAZA</t>
  </si>
  <si>
    <t>SBFC</t>
  </si>
  <si>
    <t>EXICOM</t>
  </si>
  <si>
    <t>CYIENTDLM</t>
  </si>
  <si>
    <t>IKIO</t>
  </si>
  <si>
    <t>VADILALIND</t>
  </si>
  <si>
    <t>ARVIND</t>
  </si>
  <si>
    <t>SANDUMA</t>
  </si>
  <si>
    <t>AIIL</t>
  </si>
  <si>
    <t>SMALLCAP</t>
  </si>
  <si>
    <t>GOODLUCK</t>
  </si>
  <si>
    <t>VTL</t>
  </si>
  <si>
    <t>PARKHOTELS</t>
  </si>
  <si>
    <t>ONWARDTEC</t>
  </si>
  <si>
    <t>BLUEDART</t>
  </si>
  <si>
    <t>DEEPINDS</t>
  </si>
  <si>
    <t>IWEL</t>
  </si>
  <si>
    <t>KAMDHENU</t>
  </si>
  <si>
    <t>EUREKAFORB</t>
  </si>
  <si>
    <t>MAHSCOOTER</t>
  </si>
  <si>
    <t>PARACABLES</t>
  </si>
  <si>
    <t>ICIL</t>
  </si>
  <si>
    <t>KITEX</t>
  </si>
  <si>
    <t>RELAXO</t>
  </si>
  <si>
    <t>NIACL</t>
  </si>
  <si>
    <t>CAMPUS</t>
  </si>
  <si>
    <t>DODLA</t>
  </si>
  <si>
    <t>RALLIS</t>
  </si>
  <si>
    <t>ZOTA</t>
  </si>
  <si>
    <t>MAHKTECH</t>
  </si>
  <si>
    <t>GIPCL</t>
  </si>
  <si>
    <t>ARVSMART</t>
  </si>
  <si>
    <t>SBC</t>
  </si>
  <si>
    <t>DREDGECORP</t>
  </si>
  <si>
    <t>SHARDACROP</t>
  </si>
  <si>
    <t>VPRPL</t>
  </si>
  <si>
    <t>VESUVIUS</t>
  </si>
  <si>
    <t>DBL</t>
  </si>
  <si>
    <t>TARC</t>
  </si>
  <si>
    <t>TIIL</t>
  </si>
  <si>
    <t>PASUPTAC</t>
  </si>
  <si>
    <t>MONARCH</t>
  </si>
  <si>
    <t>GALAPREC</t>
  </si>
  <si>
    <t>UNIMECH</t>
  </si>
  <si>
    <t>SSWL</t>
  </si>
  <si>
    <t>ALIVUS</t>
  </si>
  <si>
    <t>PITTIENG</t>
  </si>
  <si>
    <t>LTGILTBEES</t>
  </si>
  <si>
    <t>HIKAL</t>
  </si>
  <si>
    <t>FINEORG</t>
  </si>
  <si>
    <t>SANOFI</t>
  </si>
  <si>
    <t>SUBEXLTD</t>
  </si>
  <si>
    <t>MEDPLUS</t>
  </si>
  <si>
    <t>UNIECOM</t>
  </si>
  <si>
    <t>ERIS</t>
  </si>
  <si>
    <t>PHARMABEES</t>
  </si>
  <si>
    <t>ORISSAMINE</t>
  </si>
  <si>
    <t>MEDIASSIST</t>
  </si>
  <si>
    <t>ASKAUTOLTD</t>
  </si>
  <si>
    <t>HDFCSILVER</t>
  </si>
  <si>
    <t>DIAMONDYD</t>
  </si>
  <si>
    <t>LLOYDSENT</t>
  </si>
  <si>
    <t>EIMCOELECO</t>
  </si>
  <si>
    <t>VASCONEQ</t>
  </si>
  <si>
    <t>AGIIL</t>
  </si>
  <si>
    <t>SANATHAN</t>
  </si>
  <si>
    <t>BFUTILITIE</t>
  </si>
  <si>
    <t>LAOPALA</t>
  </si>
  <si>
    <t>ONEPOINT</t>
  </si>
  <si>
    <t>CRAFTSMAN</t>
  </si>
  <si>
    <t>DREAMFOLKS</t>
  </si>
  <si>
    <t>IMAGICAA</t>
  </si>
  <si>
    <t>BALMLAWRIE</t>
  </si>
  <si>
    <t>QUICKHEAL</t>
  </si>
  <si>
    <t>MEDICO</t>
  </si>
  <si>
    <t>TEAMLEASE</t>
  </si>
  <si>
    <t>TATVA</t>
  </si>
  <si>
    <t>HCG</t>
  </si>
  <si>
    <t>NELCO</t>
  </si>
  <si>
    <t>DENTA</t>
  </si>
  <si>
    <t>CUPID</t>
  </si>
  <si>
    <t>LUXIND</t>
  </si>
  <si>
    <t>KELLTONTEC</t>
  </si>
  <si>
    <t>SOTL</t>
  </si>
  <si>
    <t>RAJESHEXPO</t>
  </si>
  <si>
    <t>BLSE</t>
  </si>
  <si>
    <t>SUVEN</t>
  </si>
  <si>
    <t>ASTEC</t>
  </si>
  <si>
    <t>JKLAKSHMI</t>
  </si>
  <si>
    <t>ALKYLAMINE</t>
  </si>
  <si>
    <t>PAKKA</t>
  </si>
  <si>
    <t>ROLEXRINGS</t>
  </si>
  <si>
    <t>IOLCP</t>
  </si>
  <si>
    <t>TATAGOLD</t>
  </si>
  <si>
    <t>VIMTALABS</t>
  </si>
  <si>
    <t>CIEINDIA</t>
  </si>
  <si>
    <t>STARCEMENT</t>
  </si>
  <si>
    <t>ACLGATI</t>
  </si>
  <si>
    <t>GANECOS</t>
  </si>
  <si>
    <t>MMTC</t>
  </si>
  <si>
    <t>HITECHCORP</t>
  </si>
  <si>
    <t>KALAMANDIR</t>
  </si>
  <si>
    <t>POLYPLEX</t>
  </si>
  <si>
    <t>STYRENIX</t>
  </si>
  <si>
    <t>METROBRAND</t>
  </si>
  <si>
    <t>SBCL</t>
  </si>
  <si>
    <t>PIXTRANS</t>
  </si>
  <si>
    <t>SHIVALIK</t>
  </si>
  <si>
    <t>SHANKARA</t>
  </si>
  <si>
    <t>PRINCEPIPE</t>
  </si>
  <si>
    <t>SURYAROSNI</t>
  </si>
  <si>
    <t>BLKASHYAP</t>
  </si>
  <si>
    <t>SALASAR</t>
  </si>
  <si>
    <t>PFS</t>
  </si>
  <si>
    <t>SERVOTECH</t>
  </si>
  <si>
    <t>AETHER</t>
  </si>
  <si>
    <t>AWHCL</t>
  </si>
  <si>
    <t>FUSION</t>
  </si>
  <si>
    <t>GHCL</t>
  </si>
  <si>
    <t>SATIN</t>
  </si>
  <si>
    <t>MIDSMALL</t>
  </si>
  <si>
    <t>SANSTAR</t>
  </si>
  <si>
    <t>POCL</t>
  </si>
  <si>
    <t>KRBL</t>
  </si>
  <si>
    <t>GULPOLY</t>
  </si>
  <si>
    <t>ALPHA</t>
  </si>
  <si>
    <t>SANOFICONR</t>
  </si>
  <si>
    <t>ELIN</t>
  </si>
  <si>
    <t>RSWM</t>
  </si>
  <si>
    <t>MOLDTKPAC</t>
  </si>
  <si>
    <t>SCILAL</t>
  </si>
  <si>
    <t>PRECAM</t>
  </si>
  <si>
    <t>PRSMJOHNSN</t>
  </si>
  <si>
    <t>DCW</t>
  </si>
  <si>
    <t>NORTHARC</t>
  </si>
  <si>
    <t>OCCLLTD</t>
  </si>
  <si>
    <t>PARAGMILK</t>
  </si>
  <si>
    <t>ORIENTTECH</t>
  </si>
  <si>
    <t>AURIONPRO</t>
  </si>
  <si>
    <t>CAREERP</t>
  </si>
  <si>
    <t>VENKEYS</t>
  </si>
  <si>
    <t>ENTERO</t>
  </si>
  <si>
    <t>MANGLMCEM</t>
  </si>
  <si>
    <t>UDS</t>
  </si>
  <si>
    <t>SWARAJENG</t>
  </si>
  <si>
    <t>CGCL</t>
  </si>
  <si>
    <t>DHARMAJ</t>
  </si>
  <si>
    <t>DCAL</t>
  </si>
  <si>
    <t>HUBTOWN</t>
  </si>
  <si>
    <t>SIRCA</t>
  </si>
  <si>
    <t>WINDLAS</t>
  </si>
  <si>
    <t>RAMASTEEL</t>
  </si>
  <si>
    <t>TVSHLTD</t>
  </si>
  <si>
    <t>GOCOLORS</t>
  </si>
  <si>
    <t>COSMOFIRST</t>
  </si>
  <si>
    <t>RHIM</t>
  </si>
  <si>
    <t>ESTER</t>
  </si>
  <si>
    <t>BEPL</t>
  </si>
  <si>
    <t>LIQUIDPLUS</t>
  </si>
  <si>
    <t>DEN</t>
  </si>
  <si>
    <t>SIYSIL</t>
  </si>
  <si>
    <t>NEXT50IETF</t>
  </si>
  <si>
    <t>MPSLTD</t>
  </si>
  <si>
    <t>SANGHIIND</t>
  </si>
  <si>
    <t>VERANDA</t>
  </si>
  <si>
    <t>TCIEXP</t>
  </si>
  <si>
    <t>SFL</t>
  </si>
  <si>
    <t>PDSL</t>
  </si>
  <si>
    <t>BAJEL</t>
  </si>
  <si>
    <t>EPIGRAL</t>
  </si>
  <si>
    <t>GOCLCORP</t>
  </si>
  <si>
    <t>NIBE</t>
  </si>
  <si>
    <t>DATAMATICS</t>
  </si>
  <si>
    <t>CENTENKA</t>
  </si>
  <si>
    <t>DALMIASUG</t>
  </si>
  <si>
    <t>IMFA</t>
  </si>
  <si>
    <t>BOROLTD</t>
  </si>
  <si>
    <t>LAXMIDENTL</t>
  </si>
  <si>
    <t>DHAMPURSUG</t>
  </si>
  <si>
    <t>UGROCAP</t>
  </si>
  <si>
    <t>MARATHON</t>
  </si>
  <si>
    <t>TRACXN</t>
  </si>
  <si>
    <t>GOPAL</t>
  </si>
  <si>
    <t>EMIL</t>
  </si>
  <si>
    <t>STYLAMIND</t>
  </si>
  <si>
    <t>HINDMOTORS</t>
  </si>
  <si>
    <t>ADSL</t>
  </si>
  <si>
    <t>EKC</t>
  </si>
  <si>
    <t>KCP</t>
  </si>
  <si>
    <t>CEWATER</t>
  </si>
  <si>
    <t>RPSGVENT</t>
  </si>
  <si>
    <t>KOPRAN</t>
  </si>
  <si>
    <t>DDEVPLSTIK</t>
  </si>
  <si>
    <t>HESTERBIO</t>
  </si>
  <si>
    <t>MODEFENCE</t>
  </si>
  <si>
    <t>UNIPARTS</t>
  </si>
  <si>
    <t>UFLEX</t>
  </si>
  <si>
    <t>ADORWELD</t>
  </si>
  <si>
    <t>KSOLVES</t>
  </si>
  <si>
    <t>AJMERA</t>
  </si>
  <si>
    <t>GEOJITFSL</t>
  </si>
  <si>
    <t>MOTISONS</t>
  </si>
  <si>
    <t>INDOTECH</t>
  </si>
  <si>
    <t>AUTOBEES</t>
  </si>
  <si>
    <t>DCMSRIND</t>
  </si>
  <si>
    <t>OMINFRAL</t>
  </si>
  <si>
    <t>MVGJL</t>
  </si>
  <si>
    <t>BLAL</t>
  </si>
  <si>
    <t>RAMKY</t>
  </si>
  <si>
    <t>MOM30IETF</t>
  </si>
  <si>
    <t>LUMAXIND</t>
  </si>
  <si>
    <t>RATNAVEER</t>
  </si>
  <si>
    <t>GREENPOWER</t>
  </si>
  <si>
    <t>PRIVISCL</t>
  </si>
  <si>
    <t>ZEEMEDIA</t>
  </si>
  <si>
    <t>ALPHAETF</t>
  </si>
  <si>
    <t>YATRA</t>
  </si>
  <si>
    <t>GREENPANEL</t>
  </si>
  <si>
    <t>EVEREADY</t>
  </si>
  <si>
    <t>SELAN</t>
  </si>
  <si>
    <t>SOLARA</t>
  </si>
  <si>
    <t>PRECWIRE</t>
  </si>
  <si>
    <t>CENTURYPLY</t>
  </si>
  <si>
    <t>SANDHAR</t>
  </si>
  <si>
    <t>HATHWAY</t>
  </si>
  <si>
    <t>VRLLOG</t>
  </si>
  <si>
    <t>NAGAFERT</t>
  </si>
  <si>
    <t>GARFIBRES</t>
  </si>
  <si>
    <t>LOWVOLIETF</t>
  </si>
  <si>
    <t>GANDHAR</t>
  </si>
  <si>
    <t>KRSNAA</t>
  </si>
  <si>
    <t>ABINFRA</t>
  </si>
  <si>
    <t>SPIC</t>
  </si>
  <si>
    <t>LANDMARK</t>
  </si>
  <si>
    <t>POKARNA</t>
  </si>
  <si>
    <t>TNPL</t>
  </si>
  <si>
    <t>DOLLAR</t>
  </si>
  <si>
    <t>SURYODAY</t>
  </si>
  <si>
    <t>MICEL</t>
  </si>
  <si>
    <t>ROHLTD</t>
  </si>
  <si>
    <t>LMW</t>
  </si>
  <si>
    <t>BCLIND</t>
  </si>
  <si>
    <t>HUHTAMAKI</t>
  </si>
  <si>
    <t>ROSSARI</t>
  </si>
  <si>
    <t>FILATEX</t>
  </si>
  <si>
    <t>SMLISUZU</t>
  </si>
  <si>
    <t>HARIOMPIPE</t>
  </si>
  <si>
    <t>METALIETF</t>
  </si>
  <si>
    <t>SPAL</t>
  </si>
  <si>
    <t>BLISSGVS</t>
  </si>
  <si>
    <t>ZYDUSWELL</t>
  </si>
  <si>
    <t>RADIANTCMS</t>
  </si>
  <si>
    <t>MAYURUNIQ</t>
  </si>
  <si>
    <t>AKZOINDIA</t>
  </si>
  <si>
    <t>VINCOFE</t>
  </si>
  <si>
    <t>MIRCELECTR</t>
  </si>
  <si>
    <t>MCLOUD</t>
  </si>
  <si>
    <t>MANORAMA</t>
  </si>
  <si>
    <t>KDDL</t>
  </si>
  <si>
    <t>SNOWMAN</t>
  </si>
  <si>
    <t>THYROCARE</t>
  </si>
  <si>
    <t>GTLINFRA</t>
  </si>
  <si>
    <t>PVTBANIETF</t>
  </si>
  <si>
    <t>NIFTYETF</t>
  </si>
  <si>
    <t>FIEMIND</t>
  </si>
  <si>
    <t>SASKEN</t>
  </si>
  <si>
    <t>KMEW</t>
  </si>
  <si>
    <t>HLEGLAS</t>
  </si>
  <si>
    <t>RUPA</t>
  </si>
  <si>
    <t>JAGRAN</t>
  </si>
  <si>
    <t>FOODSIN</t>
  </si>
  <si>
    <t>DWARKESH</t>
  </si>
  <si>
    <t>UTKARSHBNK</t>
  </si>
  <si>
    <t>NITINSPIN</t>
  </si>
  <si>
    <t>ATFL</t>
  </si>
  <si>
    <t>MHRIL</t>
  </si>
  <si>
    <t>ARMANFIN</t>
  </si>
  <si>
    <t>INDOFARM</t>
  </si>
  <si>
    <t>ASIANTILES</t>
  </si>
  <si>
    <t>BHAGCHEM</t>
  </si>
  <si>
    <t>ATULAUTO</t>
  </si>
  <si>
    <t>PUNJABCHEM</t>
  </si>
  <si>
    <t>VINATIORGA</t>
  </si>
  <si>
    <t>EXPLEOSOL</t>
  </si>
  <si>
    <t>RAJRATAN</t>
  </si>
  <si>
    <t>MUKANDLTD</t>
  </si>
  <si>
    <t>CEIGALL</t>
  </si>
  <si>
    <t>MASPTOP50</t>
  </si>
  <si>
    <t>KSL</t>
  </si>
  <si>
    <t>NIITMTS</t>
  </si>
  <si>
    <t>MUTHOOTMF</t>
  </si>
  <si>
    <t>GOLDETF</t>
  </si>
  <si>
    <t>GUJTHEM</t>
  </si>
  <si>
    <t>HDFCNIFTY</t>
  </si>
  <si>
    <t>WEL</t>
  </si>
  <si>
    <t>DEEDEV</t>
  </si>
  <si>
    <t>CONFIPET</t>
  </si>
  <si>
    <t>ITIETF</t>
  </si>
  <si>
    <t>IRMENERGY</t>
  </si>
  <si>
    <t>ESABINDIA</t>
  </si>
  <si>
    <t>DYCL</t>
  </si>
  <si>
    <t>ORIENTPPR</t>
  </si>
  <si>
    <t>NRBBEARING</t>
  </si>
  <si>
    <t>TALBROAUTO</t>
  </si>
  <si>
    <t>GRINDWELL</t>
  </si>
  <si>
    <t>MANGCHEFER</t>
  </si>
  <si>
    <t>ALPL30IETF</t>
  </si>
  <si>
    <t>PSB</t>
  </si>
  <si>
    <t>UTTAMSUGAR</t>
  </si>
  <si>
    <t>NESCO</t>
  </si>
  <si>
    <t>ADFFOODS</t>
  </si>
  <si>
    <t>SIS</t>
  </si>
  <si>
    <t>VRAJ</t>
  </si>
  <si>
    <t>KICL</t>
  </si>
  <si>
    <t>ALEMBICLTD</t>
  </si>
  <si>
    <t>KROSS</t>
  </si>
  <si>
    <t>MUFTI</t>
  </si>
  <si>
    <t>RANEHOLDIN</t>
  </si>
  <si>
    <t>GARUDA</t>
  </si>
  <si>
    <t>SHALPAINTS</t>
  </si>
  <si>
    <t>MANBA</t>
  </si>
  <si>
    <t>VISHNU</t>
  </si>
  <si>
    <t>BODALCHEM</t>
  </si>
  <si>
    <t>HAPPYFORGE</t>
  </si>
  <si>
    <t>GEEKAYWIRE</t>
  </si>
  <si>
    <t>XPROINDIA</t>
  </si>
  <si>
    <t>NIVABUPA</t>
  </si>
  <si>
    <t>BAJAJELEC</t>
  </si>
  <si>
    <t>GOKULAGRO</t>
  </si>
  <si>
    <t>GICHSGFIN</t>
  </si>
  <si>
    <t>TREL</t>
  </si>
  <si>
    <t>GALAXYSURF</t>
  </si>
  <si>
    <t>NUVOCO</t>
  </si>
  <si>
    <t>RUSTOMJEE</t>
  </si>
  <si>
    <t>CLEDUCATE</t>
  </si>
  <si>
    <t>ICEMAKE</t>
  </si>
  <si>
    <t>TEXINFRA</t>
  </si>
  <si>
    <t>VISAKAIND</t>
  </si>
  <si>
    <t>DLINKINDIA</t>
  </si>
  <si>
    <t>ASHIANA</t>
  </si>
  <si>
    <t>AVADHSUGAR</t>
  </si>
  <si>
    <t>GROWWGOLD</t>
  </si>
  <si>
    <t>KKCL</t>
  </si>
  <si>
    <t>IGPL</t>
  </si>
  <si>
    <t>STERTOOLS</t>
  </si>
  <si>
    <t>MAITHANALL</t>
  </si>
  <si>
    <t>PNBGILTS</t>
  </si>
  <si>
    <t>TEGA</t>
  </si>
  <si>
    <t>ORIENTELEC</t>
  </si>
  <si>
    <t>LUMAXTECH</t>
  </si>
  <si>
    <t>TVSSRICHAK</t>
  </si>
  <si>
    <t>GREENPLY</t>
  </si>
  <si>
    <t>TARSONS</t>
  </si>
  <si>
    <t>RPTECH</t>
  </si>
  <si>
    <t>RESPONIND</t>
  </si>
  <si>
    <t>HGS</t>
  </si>
  <si>
    <t>BLACKBUCK</t>
  </si>
  <si>
    <t>KIOCL</t>
  </si>
  <si>
    <t>FDC</t>
  </si>
  <si>
    <t>WESTLIFE</t>
  </si>
  <si>
    <t>GPTHEALTH</t>
  </si>
  <si>
    <t>RICOAUTO</t>
  </si>
  <si>
    <t>SENSEXIETF</t>
  </si>
  <si>
    <t>LGBBROSLTD</t>
  </si>
  <si>
    <t>UNIVCABLES</t>
  </si>
  <si>
    <t>ESAFSFB</t>
  </si>
  <si>
    <t>ASAHIINDIA</t>
  </si>
  <si>
    <t>GUJALKALI</t>
  </si>
  <si>
    <t>OILIETF</t>
  </si>
  <si>
    <t>SATINDLTD</t>
  </si>
  <si>
    <t>LINCOLN</t>
  </si>
  <si>
    <t>HINDWAREAP</t>
  </si>
  <si>
    <t>SETFNN50</t>
  </si>
  <si>
    <t>PGHL</t>
  </si>
  <si>
    <t>KRYSTAL</t>
  </si>
  <si>
    <t>HNDFDS</t>
  </si>
  <si>
    <t>CENTRUM</t>
  </si>
  <si>
    <t>SHOPERSTOP</t>
  </si>
  <si>
    <t>PANAMAPET</t>
  </si>
  <si>
    <t>JUBLCPL</t>
  </si>
  <si>
    <t>SPLPETRO</t>
  </si>
  <si>
    <t>BHARATWIRE</t>
  </si>
  <si>
    <t>WANBURY</t>
  </si>
  <si>
    <t>MOM100</t>
  </si>
  <si>
    <t>INDOCO</t>
  </si>
  <si>
    <t>RPGLIFE</t>
  </si>
  <si>
    <t>TRANSWORLD</t>
  </si>
  <si>
    <t>BPL</t>
  </si>
  <si>
    <t>CREST</t>
  </si>
  <si>
    <t>SESHAPAPER</t>
  </si>
  <si>
    <t>EIHAHOTELS</t>
  </si>
  <si>
    <t>GOLDSHARE</t>
  </si>
  <si>
    <t>JNKINDIA</t>
  </si>
  <si>
    <t>SILVER</t>
  </si>
  <si>
    <t>DSSL</t>
  </si>
  <si>
    <t>ORIENTHOT</t>
  </si>
  <si>
    <t>TOP10ADD</t>
  </si>
  <si>
    <t>HLVLTD</t>
  </si>
  <si>
    <t>ECOSMOBLTY</t>
  </si>
  <si>
    <t>AUTOAXLES</t>
  </si>
  <si>
    <t>DECCANCE</t>
  </si>
  <si>
    <t>SYNCOMF</t>
  </si>
  <si>
    <t>GREENLAM</t>
  </si>
  <si>
    <t>ATALREAL</t>
  </si>
  <si>
    <t>TCI</t>
  </si>
  <si>
    <t>MMFL</t>
  </si>
  <si>
    <t>MSPL</t>
  </si>
  <si>
    <t>DENORA</t>
  </si>
  <si>
    <t>JINDALPOLY</t>
  </si>
  <si>
    <t>PSPPROJECT</t>
  </si>
  <si>
    <t>WCIL</t>
  </si>
  <si>
    <t>ALMONDZ</t>
  </si>
  <si>
    <t>APEX</t>
  </si>
  <si>
    <t>FOCUS</t>
  </si>
  <si>
    <t>TNPETRO</t>
  </si>
  <si>
    <t>BASML</t>
  </si>
  <si>
    <t>APCOTEXIND</t>
  </si>
  <si>
    <t>VMART</t>
  </si>
  <si>
    <t>GUFICBIO</t>
  </si>
  <si>
    <t>SUPRAJIT</t>
  </si>
  <si>
    <t>LIQUIDSHRI</t>
  </si>
  <si>
    <t>STANLEY</t>
  </si>
  <si>
    <t>GILT5YBEES</t>
  </si>
  <si>
    <t>JLHL</t>
  </si>
  <si>
    <t>SUNCLAY</t>
  </si>
  <si>
    <t>ROTO</t>
  </si>
  <si>
    <t>PURVA</t>
  </si>
  <si>
    <t>TVTODAY</t>
  </si>
  <si>
    <t>DOLATALGO</t>
  </si>
  <si>
    <t>EBBETF0433</t>
  </si>
  <si>
    <t>CARRARO</t>
  </si>
  <si>
    <t>SUNDARMHLD</t>
  </si>
  <si>
    <t>MOMENTUM50</t>
  </si>
  <si>
    <t>INDSWFTLAB</t>
  </si>
  <si>
    <t>ABSLBANETF</t>
  </si>
  <si>
    <t>APOLLOPIPE</t>
  </si>
  <si>
    <t>GOLDCASE</t>
  </si>
  <si>
    <t>PPL</t>
  </si>
  <si>
    <t>VALIANTORG</t>
  </si>
  <si>
    <t>TMB</t>
  </si>
  <si>
    <t>LYKALABS</t>
  </si>
  <si>
    <t>GPTINFRA</t>
  </si>
  <si>
    <t>DIVOPPBEES</t>
  </si>
  <si>
    <t>GANESHBE</t>
  </si>
  <si>
    <t>ANDHRSUGAR</t>
  </si>
  <si>
    <t>AURUM</t>
  </si>
  <si>
    <t>GNA</t>
  </si>
  <si>
    <t>SUBROS</t>
  </si>
  <si>
    <t>DBCORP</t>
  </si>
  <si>
    <t>SHREDIGCEM</t>
  </si>
  <si>
    <t>THEMISMED</t>
  </si>
  <si>
    <t>ASIANENE</t>
  </si>
  <si>
    <t>CONTROLPR</t>
  </si>
  <si>
    <t>MONQ50</t>
  </si>
  <si>
    <t>SASTASUNDR</t>
  </si>
  <si>
    <t>NUCLEUS</t>
  </si>
  <si>
    <t>MOREALTY</t>
  </si>
  <si>
    <t>SPECIALITY</t>
  </si>
  <si>
    <t>ZUARI</t>
  </si>
  <si>
    <t>VEEDOL</t>
  </si>
  <si>
    <t>RKSWAMY</t>
  </si>
  <si>
    <t>OMAXE</t>
  </si>
  <si>
    <t>DAVANGERE</t>
  </si>
  <si>
    <t>MANALIPETC</t>
  </si>
  <si>
    <t>STOVEKRAFT</t>
  </si>
  <si>
    <t>FEDFINA</t>
  </si>
  <si>
    <t>SPENCERS</t>
  </si>
  <si>
    <t>AFIL</t>
  </si>
  <si>
    <t>RBZJEWEL</t>
  </si>
  <si>
    <t>GRPLTD</t>
  </si>
  <si>
    <t>SOMANYCERA</t>
  </si>
  <si>
    <t>SHREEPUSHK</t>
  </si>
  <si>
    <t>KABRAEXTRU</t>
  </si>
  <si>
    <t>BHARATRAS</t>
  </si>
  <si>
    <t>RPEL</t>
  </si>
  <si>
    <t>SETFNIFBK</t>
  </si>
  <si>
    <t>MUFIN</t>
  </si>
  <si>
    <t>RUSHIL</t>
  </si>
  <si>
    <t>SUMMITSEC</t>
  </si>
  <si>
    <t>PYRAMID</t>
  </si>
  <si>
    <t>EBBETF0430</t>
  </si>
  <si>
    <t>KIRLOSIND</t>
  </si>
  <si>
    <t>CHEMBOND</t>
  </si>
  <si>
    <t>VSTTILLERS</t>
  </si>
  <si>
    <t>FLAIR</t>
  </si>
  <si>
    <t>VSSL</t>
  </si>
  <si>
    <t>ARTEMISMED</t>
  </si>
  <si>
    <t>INFRABEES</t>
  </si>
  <si>
    <t>HARSHA</t>
  </si>
  <si>
    <t>KECL</t>
  </si>
  <si>
    <t>TTKHLTCARE</t>
  </si>
  <si>
    <t>NDL</t>
  </si>
  <si>
    <t>MOSMALL250</t>
  </si>
  <si>
    <t>JAGSNPHARM</t>
  </si>
  <si>
    <t>XCHANGING</t>
  </si>
  <si>
    <t>BANSALWIRE</t>
  </si>
  <si>
    <t>RAMCOIND</t>
  </si>
  <si>
    <t>ONMOBILE</t>
  </si>
  <si>
    <t>INDOAMIN</t>
  </si>
  <si>
    <t>PILANIINVS</t>
  </si>
  <si>
    <t>BIRLACABLE</t>
  </si>
  <si>
    <t>HMAAGRO</t>
  </si>
  <si>
    <t>NDRAUTO</t>
  </si>
  <si>
    <t>ABSLLIQUID</t>
  </si>
  <si>
    <t>RISHABH</t>
  </si>
  <si>
    <t>USK</t>
  </si>
  <si>
    <t>TTKPRESTIG</t>
  </si>
  <si>
    <t>EXCELINDUS</t>
  </si>
  <si>
    <t>AXITA</t>
  </si>
  <si>
    <t>SAKSOFT</t>
  </si>
  <si>
    <t>MOLDTECH</t>
  </si>
  <si>
    <t>SBISILVER</t>
  </si>
  <si>
    <t>UGARSUGAR</t>
  </si>
  <si>
    <t>TRF</t>
  </si>
  <si>
    <t>BALAJEE</t>
  </si>
  <si>
    <t>INTLCONV</t>
  </si>
  <si>
    <t>MONTECARLO</t>
  </si>
  <si>
    <t>MATRIMONY</t>
  </si>
  <si>
    <t>ASAL</t>
  </si>
  <si>
    <t>ICICIB22</t>
  </si>
  <si>
    <t>NDTV</t>
  </si>
  <si>
    <t>APOLSINHOT</t>
  </si>
  <si>
    <t>TBZ</t>
  </si>
  <si>
    <t>MBLINFRA</t>
  </si>
  <si>
    <t>KINGFA</t>
  </si>
  <si>
    <t>AMBIKCO</t>
  </si>
  <si>
    <t>STEELXIND</t>
  </si>
  <si>
    <t>LIBERTSHOE</t>
  </si>
  <si>
    <t>ANDHRAPAP</t>
  </si>
  <si>
    <t>3IINFOLTD</t>
  </si>
  <si>
    <t>FOSECOIND</t>
  </si>
  <si>
    <t>KAYA</t>
  </si>
  <si>
    <t>EGOLD</t>
  </si>
  <si>
    <t>MASFIN</t>
  </si>
  <si>
    <t>NAVNETEDUL</t>
  </si>
  <si>
    <t>LIKHITHA</t>
  </si>
  <si>
    <t>HILTON</t>
  </si>
  <si>
    <t>SARVESHWAR</t>
  </si>
  <si>
    <t>ICRA</t>
  </si>
  <si>
    <t>ORIENTALTL</t>
  </si>
  <si>
    <t>HEIDELBERG</t>
  </si>
  <si>
    <t>WINDMACHIN</t>
  </si>
  <si>
    <t>MIDCAPIETF</t>
  </si>
  <si>
    <t>HEUBACHIND</t>
  </si>
  <si>
    <t>NOVAAGRI</t>
  </si>
  <si>
    <t>GOACARBON</t>
  </si>
  <si>
    <t>SUMIT</t>
  </si>
  <si>
    <t>MOMOMENTUM</t>
  </si>
  <si>
    <t>WENDT</t>
  </si>
  <si>
    <t>RITCO</t>
  </si>
  <si>
    <t>SEAMECLTD</t>
  </si>
  <si>
    <t>NRL</t>
  </si>
  <si>
    <t>MIDCAPETF</t>
  </si>
  <si>
    <t>TATSILV</t>
  </si>
  <si>
    <t>INSECTICID</t>
  </si>
  <si>
    <t>CYBERTECH</t>
  </si>
  <si>
    <t>SATIA</t>
  </si>
  <si>
    <t>RADHIKAJWE</t>
  </si>
  <si>
    <t>ATL</t>
  </si>
  <si>
    <t>SPORTKING</t>
  </si>
  <si>
    <t>VISHWARAJ</t>
  </si>
  <si>
    <t>CLSEL</t>
  </si>
  <si>
    <t>SMCGLOBAL</t>
  </si>
  <si>
    <t>KANORICHEM</t>
  </si>
  <si>
    <t>ORICONENT</t>
  </si>
  <si>
    <t>UNICHEMLAB</t>
  </si>
  <si>
    <t>SILVERETF</t>
  </si>
  <si>
    <t>AVL</t>
  </si>
  <si>
    <t>MEDICAMEQ</t>
  </si>
  <si>
    <t>YUKEN</t>
  </si>
  <si>
    <t>GHCLTEXTIL</t>
  </si>
  <si>
    <t>AXISGOLD</t>
  </si>
  <si>
    <t>AMRUTANJAN</t>
  </si>
  <si>
    <t>JTEKTINDIA</t>
  </si>
  <si>
    <t>GLOBE</t>
  </si>
  <si>
    <t>HIRECT</t>
  </si>
  <si>
    <t>SAGCEM</t>
  </si>
  <si>
    <t>SILVERTUC</t>
  </si>
  <si>
    <t>SIMPLEXINF</t>
  </si>
  <si>
    <t>UFO</t>
  </si>
  <si>
    <t>GROWWLIQID</t>
  </si>
  <si>
    <t>INDIANHUME</t>
  </si>
  <si>
    <t>ARIHANTSUP</t>
  </si>
  <si>
    <t>INTENTECH</t>
  </si>
  <si>
    <t>ZUARIIND</t>
  </si>
  <si>
    <t>SILVER1</t>
  </si>
  <si>
    <t>20MICRONS</t>
  </si>
  <si>
    <t>VIKASECO</t>
  </si>
  <si>
    <t>LINC</t>
  </si>
  <si>
    <t>ALICON</t>
  </si>
  <si>
    <t>AGARIND</t>
  </si>
  <si>
    <t>MAXIND</t>
  </si>
  <si>
    <t>NETF</t>
  </si>
  <si>
    <t>MMP</t>
  </si>
  <si>
    <t>GROWWDEFNC</t>
  </si>
  <si>
    <t>PAVNAIND</t>
  </si>
  <si>
    <t>BIGBLOC</t>
  </si>
  <si>
    <t>INDTERRAIN</t>
  </si>
  <si>
    <t>GENCON</t>
  </si>
  <si>
    <t>PVSL</t>
  </si>
  <si>
    <t>UTINIFTETF</t>
  </si>
  <si>
    <t>HERCULES</t>
  </si>
  <si>
    <t>GSLSU</t>
  </si>
  <si>
    <t>MINDTECK</t>
  </si>
  <si>
    <t>PLASTIBLEN</t>
  </si>
  <si>
    <t>LICMFGOLD</t>
  </si>
  <si>
    <t>INNOVANA</t>
  </si>
  <si>
    <t>VSTL</t>
  </si>
  <si>
    <t>IGARASHI</t>
  </si>
  <si>
    <t>SANGAMIND</t>
  </si>
  <si>
    <t>BHAGERIA</t>
  </si>
  <si>
    <t>SUTLEJTEX</t>
  </si>
  <si>
    <t>CAPITALSFB</t>
  </si>
  <si>
    <t>STCINDIA</t>
  </si>
  <si>
    <t>GMBREW</t>
  </si>
  <si>
    <t>MOKSH</t>
  </si>
  <si>
    <t>SURANASOL</t>
  </si>
  <si>
    <t>ALBERTDAVD</t>
  </si>
  <si>
    <t>KRITI</t>
  </si>
  <si>
    <t>DBEIL</t>
  </si>
  <si>
    <t>MUKKA</t>
  </si>
  <si>
    <t>HPAL</t>
  </si>
  <si>
    <t>CAPTRUST</t>
  </si>
  <si>
    <t>PRITIKAUTO</t>
  </si>
  <si>
    <t>JINDALPHOT</t>
  </si>
  <si>
    <t>RAMCOSYS</t>
  </si>
  <si>
    <t>BANKIETF</t>
  </si>
  <si>
    <t>IRISDOREME</t>
  </si>
  <si>
    <t>LOWVOL1</t>
  </si>
  <si>
    <t>NATHBIOGEN</t>
  </si>
  <si>
    <t>ALLDIGI</t>
  </si>
  <si>
    <t>NCLIND</t>
  </si>
  <si>
    <t>STEELCAS</t>
  </si>
  <si>
    <t>VIDHIING</t>
  </si>
  <si>
    <t>5PAISA</t>
  </si>
  <si>
    <t>SMSPHARMA</t>
  </si>
  <si>
    <t>HARRMALAYA</t>
  </si>
  <si>
    <t>OSIAHYPER</t>
  </si>
  <si>
    <t>NIF100BEES</t>
  </si>
  <si>
    <t>JGCHEM</t>
  </si>
  <si>
    <t>BOROSCI</t>
  </si>
  <si>
    <t>NIFTY1</t>
  </si>
  <si>
    <t>SCHAND</t>
  </si>
  <si>
    <t>UDAICEMENT</t>
  </si>
  <si>
    <t>SAKAR</t>
  </si>
  <si>
    <t>VARDHACRLC</t>
  </si>
  <si>
    <t>MBAPL</t>
  </si>
  <si>
    <t>REPRO</t>
  </si>
  <si>
    <t>TNIDETF</t>
  </si>
  <si>
    <t>WHEELS</t>
  </si>
  <si>
    <t>NAHARSPING</t>
  </si>
  <si>
    <t>EMMBI</t>
  </si>
  <si>
    <t>PRAXIS</t>
  </si>
  <si>
    <t>VIKASLIFE</t>
  </si>
  <si>
    <t>ANMOL</t>
  </si>
  <si>
    <t>CSLFINANCE</t>
  </si>
  <si>
    <t>BAJAJINDEF</t>
  </si>
  <si>
    <t>BFINVEST</t>
  </si>
  <si>
    <t>SHANTIGEAR</t>
  </si>
  <si>
    <t>NEXT50</t>
  </si>
  <si>
    <t>BCONCEPTS</t>
  </si>
  <si>
    <t>SINDHUTRAD</t>
  </si>
  <si>
    <t>DCMNVL</t>
  </si>
  <si>
    <t>DIVGIITTS</t>
  </si>
  <si>
    <t>HTMEDIA</t>
  </si>
  <si>
    <t>CHEMFAB</t>
  </si>
  <si>
    <t>CONSUMBEES</t>
  </si>
  <si>
    <t>MKPL</t>
  </si>
  <si>
    <t>INDOBORAX</t>
  </si>
  <si>
    <t>OSWALGREEN</t>
  </si>
  <si>
    <t>AKG</t>
  </si>
  <si>
    <t>SAURASHCEM</t>
  </si>
  <si>
    <t>BUTTERFLY</t>
  </si>
  <si>
    <t>MUNJALAU</t>
  </si>
  <si>
    <t>DONEAR</t>
  </si>
  <si>
    <t>DYNPRO</t>
  </si>
  <si>
    <t>THEJO</t>
  </si>
  <si>
    <t>AFFORDABLE</t>
  </si>
  <si>
    <t>PVP</t>
  </si>
  <si>
    <t>RAJMET</t>
  </si>
  <si>
    <t>INFOBEAN</t>
  </si>
  <si>
    <t>SIGMA</t>
  </si>
  <si>
    <t>MANAKSIA</t>
  </si>
  <si>
    <t>CREATIVE</t>
  </si>
  <si>
    <t>KHAICHEM</t>
  </si>
  <si>
    <t>RBL</t>
  </si>
  <si>
    <t>SKMEGGPROD</t>
  </si>
  <si>
    <t>AUTOIND</t>
  </si>
  <si>
    <t>HMVL</t>
  </si>
  <si>
    <t>NELCAST</t>
  </si>
  <si>
    <t>EIFFL</t>
  </si>
  <si>
    <t>SRHHYPOLTD</t>
  </si>
  <si>
    <t>SRGHFL</t>
  </si>
  <si>
    <t>UNITEDPOLY</t>
  </si>
  <si>
    <t>NV20BEES</t>
  </si>
  <si>
    <t>NV20IETF</t>
  </si>
  <si>
    <t>ALANKIT</t>
  </si>
  <si>
    <t>JPOLYINVST</t>
  </si>
  <si>
    <t>VENUSREM</t>
  </si>
  <si>
    <t>CONSUMIETF</t>
  </si>
  <si>
    <t>ZIMLAB</t>
  </si>
  <si>
    <t>ATAM</t>
  </si>
  <si>
    <t>ITETF</t>
  </si>
  <si>
    <t>FCSSOFT</t>
  </si>
  <si>
    <t>DEVIT</t>
  </si>
  <si>
    <t>ZODIAC</t>
  </si>
  <si>
    <t>GFLLIMITED</t>
  </si>
  <si>
    <t>VAISHALI</t>
  </si>
  <si>
    <t>MAGNUM</t>
  </si>
  <si>
    <t>RKEC</t>
  </si>
  <si>
    <t>DUCON</t>
  </si>
  <si>
    <t>KCPSUGIND</t>
  </si>
  <si>
    <t>JAYBARMARU</t>
  </si>
  <si>
    <t>ACCELYA</t>
  </si>
  <si>
    <t>URAVIDEF</t>
  </si>
  <si>
    <t>VETO</t>
  </si>
  <si>
    <t>VLSFINANCE</t>
  </si>
  <si>
    <t>INDNIPPON</t>
  </si>
  <si>
    <t>RML</t>
  </si>
  <si>
    <t>AYMSYNTEX</t>
  </si>
  <si>
    <t>NIF100IETF</t>
  </si>
  <si>
    <t>AJOONI</t>
  </si>
  <si>
    <t>HDFCMOMENT</t>
  </si>
  <si>
    <t>EBBETF0431</t>
  </si>
  <si>
    <t>DPABHUSHAN</t>
  </si>
  <si>
    <t>SSDL</t>
  </si>
  <si>
    <t>MONIFTY500</t>
  </si>
  <si>
    <t>KRISHANA</t>
  </si>
  <si>
    <t>NECLIFE</t>
  </si>
  <si>
    <t>EBBETF0425</t>
  </si>
  <si>
    <t>MUTHOOTCAP</t>
  </si>
  <si>
    <t>APCL</t>
  </si>
  <si>
    <t>UTINEXT50</t>
  </si>
  <si>
    <t>HCL-INSYS</t>
  </si>
  <si>
    <t>UTIBANKETF</t>
  </si>
  <si>
    <t>SIKKO</t>
  </si>
  <si>
    <t>GROWWRAIL</t>
  </si>
  <si>
    <t>COASTCORP</t>
  </si>
  <si>
    <t>TIL</t>
  </si>
  <si>
    <t>BANSWRAS</t>
  </si>
  <si>
    <t>VALIANTLAB</t>
  </si>
  <si>
    <t>DBSTOCKBRO</t>
  </si>
  <si>
    <t>GULFPETRO</t>
  </si>
  <si>
    <t>MITTAL</t>
  </si>
  <si>
    <t>REMSONSIND</t>
  </si>
  <si>
    <t>ASHIMASYN</t>
  </si>
  <si>
    <t>LICNETFN50</t>
  </si>
  <si>
    <t>KOKUYOCMLN</t>
  </si>
  <si>
    <t>SHREYANIND</t>
  </si>
  <si>
    <t>TRIGYN</t>
  </si>
  <si>
    <t>EVINDIA</t>
  </si>
  <si>
    <t>PSUBNKIETF</t>
  </si>
  <si>
    <t>OAL</t>
  </si>
  <si>
    <t>KOTHARIPET</t>
  </si>
  <si>
    <t>GOLDETFADD</t>
  </si>
  <si>
    <t>ZEELEARN</t>
  </si>
  <si>
    <t>GROWWEV</t>
  </si>
  <si>
    <t>JAYSREETEA</t>
  </si>
  <si>
    <t>LANCORHOL</t>
  </si>
  <si>
    <t>BANKETF</t>
  </si>
  <si>
    <t>ASAHISONG</t>
  </si>
  <si>
    <t>SOUTHWEST</t>
  </si>
  <si>
    <t>BALAXI</t>
  </si>
  <si>
    <t>HDFCNEXT50</t>
  </si>
  <si>
    <t>RPPL</t>
  </si>
  <si>
    <t>KUANTUM</t>
  </si>
  <si>
    <t>YASHO</t>
  </si>
  <si>
    <t>BSE500IETF</t>
  </si>
  <si>
    <t>GSS</t>
  </si>
  <si>
    <t>RANASUG</t>
  </si>
  <si>
    <t>OSWALAGRO</t>
  </si>
  <si>
    <t>MGEL</t>
  </si>
  <si>
    <t>BANKA</t>
  </si>
  <si>
    <t>AUTOIETF</t>
  </si>
  <si>
    <t>DIAMINESQ</t>
  </si>
  <si>
    <t>RAMRAT</t>
  </si>
  <si>
    <t>EXXARO</t>
  </si>
  <si>
    <t>BFSI</t>
  </si>
  <si>
    <t>GENUSPAPER</t>
  </si>
  <si>
    <t>GUJAPOLLO</t>
  </si>
  <si>
    <t>KHADIM</t>
  </si>
  <si>
    <t>SCPL</t>
  </si>
  <si>
    <t>CHEMCON</t>
  </si>
  <si>
    <t>VIPCLOTHNG</t>
  </si>
  <si>
    <t>MADRASFERT</t>
  </si>
  <si>
    <t>ESSENTIA</t>
  </si>
  <si>
    <t>KRONOX</t>
  </si>
  <si>
    <t>PFOCUS</t>
  </si>
  <si>
    <t>AVTNPL</t>
  </si>
  <si>
    <t>SBINEQWETF</t>
  </si>
  <si>
    <t>HDFCMID150</t>
  </si>
  <si>
    <t>NAHARCAP</t>
  </si>
  <si>
    <t>CROWN</t>
  </si>
  <si>
    <t>NILAINFRA</t>
  </si>
  <si>
    <t>TOTAL</t>
  </si>
  <si>
    <t>JAYNECOIND</t>
  </si>
  <si>
    <t>MALLCOM</t>
  </si>
  <si>
    <t>RELTD</t>
  </si>
  <si>
    <t>SILGO</t>
  </si>
  <si>
    <t>ORIENTBELL</t>
  </si>
  <si>
    <t>METAL</t>
  </si>
  <si>
    <t>DIGISPICE</t>
  </si>
  <si>
    <t>BROOKS</t>
  </si>
  <si>
    <t>MIRZAINT</t>
  </si>
  <si>
    <t>PODDARMENT</t>
  </si>
  <si>
    <t>ASMS</t>
  </si>
  <si>
    <t>SHEMAROO</t>
  </si>
  <si>
    <t>RANEENGINE</t>
  </si>
  <si>
    <t>VINYLINDIA</t>
  </si>
  <si>
    <t>PREMIERPOL</t>
  </si>
  <si>
    <t>RUBFILA</t>
  </si>
  <si>
    <t>PONNIERODE</t>
  </si>
  <si>
    <t>MIDSELIETF</t>
  </si>
  <si>
    <t>KOHINOOR</t>
  </si>
  <si>
    <t>AIRAN</t>
  </si>
  <si>
    <t>AAATECH</t>
  </si>
  <si>
    <t>BSLGOLDETF</t>
  </si>
  <si>
    <t>GTL</t>
  </si>
  <si>
    <t>RUCHINFRA</t>
  </si>
  <si>
    <t>INDOWIND</t>
  </si>
  <si>
    <t>GOLDTECH</t>
  </si>
  <si>
    <t>MID150CASE</t>
  </si>
  <si>
    <t>SINCLAIR</t>
  </si>
  <si>
    <t>KRITINUT</t>
  </si>
  <si>
    <t>ENIL</t>
  </si>
  <si>
    <t>INFRAIETF</t>
  </si>
  <si>
    <t>SOMICONVEY</t>
  </si>
  <si>
    <t>MRO-TEK</t>
  </si>
  <si>
    <t>VIRINCHI</t>
  </si>
  <si>
    <t>AVROIND</t>
  </si>
  <si>
    <t>MAGADSUGAR</t>
  </si>
  <si>
    <t>HDFCLIQUID</t>
  </si>
  <si>
    <t>DVL</t>
  </si>
  <si>
    <t>IFGLEXPOR</t>
  </si>
  <si>
    <t>BAIDFIN</t>
  </si>
  <si>
    <t>DPSCLTD</t>
  </si>
  <si>
    <t>RACE</t>
  </si>
  <si>
    <t>PRIMESECU</t>
  </si>
  <si>
    <t>AARTISURF</t>
  </si>
  <si>
    <t>MIDCAP</t>
  </si>
  <si>
    <t>MUNJALSHOW</t>
  </si>
  <si>
    <t>DICIND</t>
  </si>
  <si>
    <t>NDGL</t>
  </si>
  <si>
    <t>NRAIL</t>
  </si>
  <si>
    <t>BANARISUG</t>
  </si>
  <si>
    <t>MAWANASUG</t>
  </si>
  <si>
    <t>MANORG</t>
  </si>
  <si>
    <t>PRAENG</t>
  </si>
  <si>
    <t>MENONBE</t>
  </si>
  <si>
    <t>TOP100CASE</t>
  </si>
  <si>
    <t>ALPA</t>
  </si>
  <si>
    <t>MANCREDIT</t>
  </si>
  <si>
    <t>SUPERHOUSE</t>
  </si>
  <si>
    <t>SBIETFIT</t>
  </si>
  <si>
    <t>SHIVAMAUTO</t>
  </si>
  <si>
    <t>ISFT</t>
  </si>
  <si>
    <t>HDFCVALUE</t>
  </si>
  <si>
    <t>STARPAPER</t>
  </si>
  <si>
    <t>MASTERTR</t>
  </si>
  <si>
    <t>DPWIRES</t>
  </si>
  <si>
    <t>NATCAPSUQ</t>
  </si>
  <si>
    <t>FAZE3Q</t>
  </si>
  <si>
    <t>MANAKSTEEL</t>
  </si>
  <si>
    <t>SHAH</t>
  </si>
  <si>
    <t>SANDESH</t>
  </si>
  <si>
    <t>RUBYMILLS</t>
  </si>
  <si>
    <t>STARTECK</t>
  </si>
  <si>
    <t>VHL</t>
  </si>
  <si>
    <t>HDFCSENSEX</t>
  </si>
  <si>
    <t>RACLGEAR</t>
  </si>
  <si>
    <t>UNIDT</t>
  </si>
  <si>
    <t>TARMAT</t>
  </si>
  <si>
    <t>LASA</t>
  </si>
  <si>
    <t>PSUBANK</t>
  </si>
  <si>
    <t>ACL</t>
  </si>
  <si>
    <t>IT</t>
  </si>
  <si>
    <t>OCCL</t>
  </si>
  <si>
    <t>SUKHJITS</t>
  </si>
  <si>
    <t>JISLDVREQS</t>
  </si>
  <si>
    <t>SAKHTISUG</t>
  </si>
  <si>
    <t>BSLNIFTY</t>
  </si>
  <si>
    <t>LOTUSEYE</t>
  </si>
  <si>
    <t>GATECH</t>
  </si>
  <si>
    <t>GALLANTT</t>
  </si>
  <si>
    <t>SREEL</t>
  </si>
  <si>
    <t>SETF10GILT</t>
  </si>
  <si>
    <t>ADVANIHOTR</t>
  </si>
  <si>
    <t>ACEINTEG</t>
  </si>
  <si>
    <t>TEXMOPIPES</t>
  </si>
  <si>
    <t>AHLADA</t>
  </si>
  <si>
    <t>LOVABLE</t>
  </si>
  <si>
    <t>BBETF0432</t>
  </si>
  <si>
    <t>NECCLTD</t>
  </si>
  <si>
    <t>GINNIFILA</t>
  </si>
  <si>
    <t>ZODIACLOTH</t>
  </si>
  <si>
    <t>TICL</t>
  </si>
  <si>
    <t>PLAZACABLE</t>
  </si>
  <si>
    <t>AAREYDRUGS</t>
  </si>
  <si>
    <t>NIRAJ</t>
  </si>
  <si>
    <t>LIQUIDSBI</t>
  </si>
  <si>
    <t>TPLPLASTEH</t>
  </si>
  <si>
    <t>SONAMLTD</t>
  </si>
  <si>
    <t>UMAEXPORTS</t>
  </si>
  <si>
    <t>RADIOCITY</t>
  </si>
  <si>
    <t>COMPUSOFT</t>
  </si>
  <si>
    <t>COMMOIETF</t>
  </si>
  <si>
    <t>MEGASTAR</t>
  </si>
  <si>
    <t>HEALTHIETF</t>
  </si>
  <si>
    <t>RELIABLE</t>
  </si>
  <si>
    <t>IFBAGRO</t>
  </si>
  <si>
    <t>SRD</t>
  </si>
  <si>
    <t>CORDSCABLE</t>
  </si>
  <si>
    <t>BHAGYANGR</t>
  </si>
  <si>
    <t>CHEVIOT</t>
  </si>
  <si>
    <t>NILKAMAL</t>
  </si>
  <si>
    <t>BANKBETF</t>
  </si>
  <si>
    <t>XELPMOC</t>
  </si>
  <si>
    <t>ORIENTCER</t>
  </si>
  <si>
    <t>SUNDARAM</t>
  </si>
  <si>
    <t>HDFCNIFBAN</t>
  </si>
  <si>
    <t>OMAXAUTO</t>
  </si>
  <si>
    <t>SILVERADD</t>
  </si>
  <si>
    <t>INVENTURE</t>
  </si>
  <si>
    <t>NITIRAJ</t>
  </si>
  <si>
    <t>MANGALAM</t>
  </si>
  <si>
    <t>BHARATGEAR</t>
  </si>
  <si>
    <t>CELEBRITY</t>
  </si>
  <si>
    <t>AARON</t>
  </si>
  <si>
    <t>BEDMUTHA</t>
  </si>
  <si>
    <t>PATINTLOG</t>
  </si>
  <si>
    <t>NV20</t>
  </si>
  <si>
    <t>MODISONLTD</t>
  </si>
  <si>
    <t>MAHESHWARI</t>
  </si>
  <si>
    <t>HDFCLOWVOL</t>
  </si>
  <si>
    <t>TVSELECT</t>
  </si>
  <si>
    <t>IVC</t>
  </si>
  <si>
    <t>AMNPLST</t>
  </si>
  <si>
    <t>MOVALUE</t>
  </si>
  <si>
    <t>NAHARPOLY</t>
  </si>
  <si>
    <t>NAHARINDUS</t>
  </si>
  <si>
    <t>BANARBEADS</t>
  </si>
  <si>
    <t>NINSYS</t>
  </si>
  <si>
    <t>EMAMIPAP</t>
  </si>
  <si>
    <t>JAYAGROGN</t>
  </si>
  <si>
    <t>AXISNIFTY</t>
  </si>
  <si>
    <t>OILCOUNTUB</t>
  </si>
  <si>
    <t>KOTARISUG</t>
  </si>
  <si>
    <t>GROWWN200</t>
  </si>
  <si>
    <t>AMBICAAGAR</t>
  </si>
  <si>
    <t>INDORAMA</t>
  </si>
  <si>
    <t>SHARIABEES</t>
  </si>
  <si>
    <t>SURANAT&amp;P</t>
  </si>
  <si>
    <t>KMSUGAR</t>
  </si>
  <si>
    <t>HOVS</t>
  </si>
  <si>
    <t>MAKEINDIA</t>
  </si>
  <si>
    <t>PILITA</t>
  </si>
  <si>
    <t>STEL</t>
  </si>
  <si>
    <t>DRCSYSTEMS</t>
  </si>
  <si>
    <t>NIFTY50ADD</t>
  </si>
  <si>
    <t>MITCON</t>
  </si>
  <si>
    <t>SAH</t>
  </si>
  <si>
    <t>HPIL</t>
  </si>
  <si>
    <t>ANUHPHR</t>
  </si>
  <si>
    <t>SURYALAXMI</t>
  </si>
  <si>
    <t>RUCHIRA</t>
  </si>
  <si>
    <t>FINIETF</t>
  </si>
  <si>
    <t>TREJHARA</t>
  </si>
  <si>
    <t>DCM</t>
  </si>
  <si>
    <t>NIPPOBATRY</t>
  </si>
  <si>
    <t>SMLT</t>
  </si>
  <si>
    <t>CONSOFINVT</t>
  </si>
  <si>
    <t>AHLEAST</t>
  </si>
  <si>
    <t>VASWANI</t>
  </si>
  <si>
    <t>KEYFINSERV</t>
  </si>
  <si>
    <t>RAJSREESUG</t>
  </si>
  <si>
    <t>JAIPURKURT</t>
  </si>
  <si>
    <t>INSPIRISYS</t>
  </si>
  <si>
    <t>RVTH</t>
  </si>
  <si>
    <t>MULTICAP</t>
  </si>
  <si>
    <t>AGRITECH</t>
  </si>
  <si>
    <t>ACCURACY</t>
  </si>
  <si>
    <t>AXISILVER</t>
  </si>
  <si>
    <t>SALSTEEL</t>
  </si>
  <si>
    <t>EMULTIMQ</t>
  </si>
  <si>
    <t>BHANDARI</t>
  </si>
  <si>
    <t>ARCHIDPLY</t>
  </si>
  <si>
    <t>SHANTI</t>
  </si>
  <si>
    <t>AKSHARCHEM</t>
  </si>
  <si>
    <t>SUPREME</t>
  </si>
  <si>
    <t>KILITCH</t>
  </si>
  <si>
    <t>UTISENSETF</t>
  </si>
  <si>
    <t>SILVRETF</t>
  </si>
  <si>
    <t>IMPAL</t>
  </si>
  <si>
    <t>SMARTLINK</t>
  </si>
  <si>
    <t>ARCHIES</t>
  </si>
  <si>
    <t>FIBERWEB</t>
  </si>
  <si>
    <t>AIROLAM</t>
  </si>
  <si>
    <t>DIGIDRIVE</t>
  </si>
  <si>
    <t>INDBANK</t>
  </si>
  <si>
    <t>AONETOTAL</t>
  </si>
  <si>
    <t>STEELCITY</t>
  </si>
  <si>
    <t>WORTH</t>
  </si>
  <si>
    <t>KHAITANLTD</t>
  </si>
  <si>
    <t>GLOBAL</t>
  </si>
  <si>
    <t>MUKTAARTS</t>
  </si>
  <si>
    <t>NIFTYBETF</t>
  </si>
  <si>
    <t>HEXATRADEX</t>
  </si>
  <si>
    <t>CORALFINAC</t>
  </si>
  <si>
    <t>HISARMETAL</t>
  </si>
  <si>
    <t>BALPHARMA</t>
  </si>
  <si>
    <t>BSHSL</t>
  </si>
  <si>
    <t>BALKRISHNA</t>
  </si>
  <si>
    <t>PEARLPOLY</t>
  </si>
  <si>
    <t>PRAKASHSTL</t>
  </si>
  <si>
    <t>AARVI</t>
  </si>
  <si>
    <t>ANIKINDS</t>
  </si>
  <si>
    <t>GOKUL</t>
  </si>
  <si>
    <t>PTL</t>
  </si>
  <si>
    <t>BIOFILCHEM</t>
  </si>
  <si>
    <t>CENTEXT</t>
  </si>
  <si>
    <t>MAHAPEXLTD</t>
  </si>
  <si>
    <t>SIGIND</t>
  </si>
  <si>
    <t>THEINVEST</t>
  </si>
  <si>
    <t>NDLVENTURE</t>
  </si>
  <si>
    <t>NPBET</t>
  </si>
  <si>
    <t>SAHYADRI</t>
  </si>
  <si>
    <t>IVZINGOLD</t>
  </si>
  <si>
    <t>UYFINCORP</t>
  </si>
  <si>
    <t>SEJALLTD</t>
  </si>
  <si>
    <t>WELINV</t>
  </si>
  <si>
    <t>HEALTHY</t>
  </si>
  <si>
    <t>BBTCL</t>
  </si>
  <si>
    <t>SECURKLOUD</t>
  </si>
  <si>
    <t>CONSUMER</t>
  </si>
  <si>
    <t>RELCHEMQ</t>
  </si>
  <si>
    <t>BLBLIMITED</t>
  </si>
  <si>
    <t>AROGRANITE</t>
  </si>
  <si>
    <t>SILINV</t>
  </si>
  <si>
    <t>PPAP</t>
  </si>
  <si>
    <t>BVCL</t>
  </si>
  <si>
    <t>BRNL</t>
  </si>
  <si>
    <t>KANPRPLA</t>
  </si>
  <si>
    <t>NIFTYQLITY</t>
  </si>
  <si>
    <t>ABSLPSE</t>
  </si>
  <si>
    <t>SHAHALLOYS</t>
  </si>
  <si>
    <t>RAMAPHO</t>
  </si>
  <si>
    <t>SHIVATEX</t>
  </si>
  <si>
    <t>SHRENIK</t>
  </si>
  <si>
    <t>AMJLAND</t>
  </si>
  <si>
    <t>DANGEE</t>
  </si>
  <si>
    <t>MANOMAY</t>
  </si>
  <si>
    <t>MALUPAPER</t>
  </si>
  <si>
    <t>AGROPHOS</t>
  </si>
  <si>
    <t>HINDCOMPOS</t>
  </si>
  <si>
    <t>UNITEDTEA</t>
  </si>
  <si>
    <t>PARASPETRO</t>
  </si>
  <si>
    <t>EQUAL50ADD</t>
  </si>
  <si>
    <t>HDFCPVTBAN</t>
  </si>
  <si>
    <t>MOMENTUM</t>
  </si>
  <si>
    <t>GANGAFORGE</t>
  </si>
  <si>
    <t>GEECEE</t>
  </si>
  <si>
    <t>NAGREEKEXP</t>
  </si>
  <si>
    <t>HDFCNIF100</t>
  </si>
  <si>
    <t>LAGNAM</t>
  </si>
  <si>
    <t>LEXUS</t>
  </si>
  <si>
    <t>PALASHSECU</t>
  </si>
  <si>
    <t>ASTRON</t>
  </si>
  <si>
    <t>DTIL</t>
  </si>
  <si>
    <t>DCI</t>
  </si>
  <si>
    <t>VINEETLAB</t>
  </si>
  <si>
    <t>ZENITHSTL</t>
  </si>
  <si>
    <t>BEARDSELL</t>
  </si>
  <si>
    <t>MURUDCERA</t>
  </si>
  <si>
    <t>AMDIND</t>
  </si>
  <si>
    <t>OSWALSEEDS</t>
  </si>
  <si>
    <t>IITL</t>
  </si>
  <si>
    <t>RAJTV</t>
  </si>
  <si>
    <t>JOCIL</t>
  </si>
  <si>
    <t>SOMATEX</t>
  </si>
  <si>
    <t>SADBHIN</t>
  </si>
  <si>
    <t>ASPINWALL</t>
  </si>
  <si>
    <t>QNIFTY</t>
  </si>
  <si>
    <t>LIBAS</t>
  </si>
  <si>
    <t>QUAL30IETF</t>
  </si>
  <si>
    <t>ALKALI</t>
  </si>
  <si>
    <t>GLOSTERLTD</t>
  </si>
  <si>
    <t>SINTERCOM</t>
  </si>
  <si>
    <t>KAPSTON</t>
  </si>
  <si>
    <t>SUVIDHAA</t>
  </si>
  <si>
    <t>MOHEALTH</t>
  </si>
  <si>
    <t>LICNETFGSC</t>
  </si>
  <si>
    <t>GSEC5IETF</t>
  </si>
  <si>
    <t>GOYALALUM</t>
  </si>
  <si>
    <t>JMA</t>
  </si>
  <si>
    <t>LYPSAGEMS</t>
  </si>
  <si>
    <t>IVP</t>
  </si>
  <si>
    <t>SBIETFQLTY</t>
  </si>
  <si>
    <t>LFIC</t>
  </si>
  <si>
    <t>DHUNINV</t>
  </si>
  <si>
    <t>MNC</t>
  </si>
  <si>
    <t>SMSLIFE</t>
  </si>
  <si>
    <t>SECMARK</t>
  </si>
  <si>
    <t>ORCHASP</t>
  </si>
  <si>
    <t>HDFCNIFIT</t>
  </si>
  <si>
    <t>MOTOGENFIN</t>
  </si>
  <si>
    <t>PRITI</t>
  </si>
  <si>
    <t>HDFCGROWTH</t>
  </si>
  <si>
    <t>UNIONGOLD</t>
  </si>
  <si>
    <t>QGOLDHALF</t>
  </si>
  <si>
    <t>ELDEHSG</t>
  </si>
  <si>
    <t>LICNMID100</t>
  </si>
  <si>
    <t>DAMODARIND</t>
  </si>
  <si>
    <t>CINEVISTA</t>
  </si>
  <si>
    <t>SIL</t>
  </si>
  <si>
    <t>ECAPINSURE</t>
  </si>
  <si>
    <t>KAKATCEM</t>
  </si>
  <si>
    <t>OBCL</t>
  </si>
  <si>
    <t>SHIVAMILLS</t>
  </si>
  <si>
    <t>AXISBPSETF</t>
  </si>
  <si>
    <t>ABSLNN50ET</t>
  </si>
  <si>
    <t>GVPTECH</t>
  </si>
  <si>
    <t>SAGARDEEP</t>
  </si>
  <si>
    <t>SBIETFCON</t>
  </si>
  <si>
    <t>ITETFADD</t>
  </si>
  <si>
    <t>AUSOMENT</t>
  </si>
  <si>
    <t>RKDL</t>
  </si>
  <si>
    <t>AAKASH</t>
  </si>
  <si>
    <t>SPLIL</t>
  </si>
  <si>
    <t>ADL</t>
  </si>
  <si>
    <t>AXISBNKETF</t>
  </si>
  <si>
    <t>GSEC10IETF</t>
  </si>
  <si>
    <t>SENSEXETF</t>
  </si>
  <si>
    <t>TAINWALCHM</t>
  </si>
  <si>
    <t>SELMC</t>
  </si>
  <si>
    <t>MIDQ50ADD</t>
  </si>
  <si>
    <t>UNIENTER</t>
  </si>
  <si>
    <t>GANGESSECU</t>
  </si>
  <si>
    <t>SANGINITA</t>
  </si>
  <si>
    <t>SBIETFPB</t>
  </si>
  <si>
    <t>DNAMEDIA</t>
  </si>
  <si>
    <t>MANUGRAPH</t>
  </si>
  <si>
    <t>CONS</t>
  </si>
  <si>
    <t>VIVIDHA</t>
  </si>
  <si>
    <t>SUPERSPIN</t>
  </si>
  <si>
    <t>VCL</t>
  </si>
  <si>
    <t>TREEHOUSE</t>
  </si>
  <si>
    <t>HBSL</t>
  </si>
  <si>
    <t>NBIFIN</t>
  </si>
  <si>
    <t>LAXMICOT</t>
  </si>
  <si>
    <t>HDFCBSE500</t>
  </si>
  <si>
    <t>AXISCETF</t>
  </si>
  <si>
    <t>MOM50</t>
  </si>
  <si>
    <t>TGBHOTELS</t>
  </si>
  <si>
    <t>RETAIL</t>
  </si>
  <si>
    <t>HDFCPSUBK</t>
  </si>
  <si>
    <t>WEIZMANIND</t>
  </si>
  <si>
    <t>GSEC10YEAR</t>
  </si>
  <si>
    <t>AXISTECETF</t>
  </si>
  <si>
    <t>CCHHL</t>
  </si>
  <si>
    <t>KANANIIND</t>
  </si>
  <si>
    <t>PVTBANKADD</t>
  </si>
  <si>
    <t>AKASH</t>
  </si>
  <si>
    <t>MARALOVER</t>
  </si>
  <si>
    <t>MOGSEC</t>
  </si>
  <si>
    <t>HDFCQUAL</t>
  </si>
  <si>
    <t>XTGLOBAL</t>
  </si>
  <si>
    <t>LICNFNHGP</t>
  </si>
  <si>
    <t>MANAKALUCO</t>
  </si>
  <si>
    <t>ORTINGLOBE</t>
  </si>
  <si>
    <t>SDL26BEES</t>
  </si>
  <si>
    <t>KARMAENG</t>
  </si>
  <si>
    <t>COUNCODOS</t>
  </si>
  <si>
    <t>AXISHCETF</t>
  </si>
  <si>
    <t>ASHOKAMET</t>
  </si>
  <si>
    <t>NIFMID150</t>
  </si>
  <si>
    <t>NIFTY100EW</t>
  </si>
  <si>
    <t>MOCAPITAL</t>
  </si>
  <si>
    <t>SVLL</t>
  </si>
  <si>
    <t>PSUBANKADD</t>
  </si>
  <si>
    <t>TECH</t>
  </si>
  <si>
    <t>ANTGRAPHIC</t>
  </si>
  <si>
    <t>TOKYOPLAST</t>
  </si>
  <si>
    <t>UTISXN50</t>
  </si>
  <si>
    <t>ESILVER</t>
  </si>
  <si>
    <t>SGL</t>
  </si>
  <si>
    <t>BBNPPGOLD</t>
  </si>
  <si>
    <t>MADHAV</t>
  </si>
  <si>
    <t>BANKPSU</t>
  </si>
  <si>
    <t>NIFITETF</t>
  </si>
  <si>
    <t>BINANIIND</t>
  </si>
  <si>
    <t>SURAJLTD</t>
  </si>
  <si>
    <t>ADROITINFO</t>
  </si>
  <si>
    <t>INFOMEDIA</t>
  </si>
  <si>
    <t>SENSEXADD</t>
  </si>
  <si>
    <t>GROBTEA</t>
  </si>
  <si>
    <t>MADHUCON</t>
  </si>
  <si>
    <t>VAL30IETF</t>
  </si>
  <si>
    <t>AXSENSEX</t>
  </si>
  <si>
    <t>NGIL</t>
  </si>
  <si>
    <t>SALONA</t>
  </si>
  <si>
    <t>S&amp;SPOWER</t>
  </si>
  <si>
    <t>KAUSHALYA</t>
  </si>
  <si>
    <t>CREATIVEYE</t>
  </si>
  <si>
    <t>NEXTMEDIA</t>
  </si>
  <si>
    <t>MSCIINDIA</t>
  </si>
  <si>
    <t>UMESLTD</t>
  </si>
  <si>
    <t>HECPROJECT</t>
  </si>
  <si>
    <t>KHANDSE</t>
  </si>
  <si>
    <t>LICNETFSEN</t>
  </si>
  <si>
    <t>BSLSENETFG</t>
  </si>
  <si>
    <t>IVZINNIFTY</t>
  </si>
  <si>
    <t>LOWVOL</t>
  </si>
  <si>
    <t>HYBRIDFIN</t>
  </si>
  <si>
    <t>MOLOWVOL</t>
  </si>
  <si>
    <t>IDFNIFTYET</t>
  </si>
  <si>
    <t>WILLAMAGOR</t>
  </si>
  <si>
    <t>NAGREEKCAP</t>
  </si>
  <si>
    <t>HAVISHA</t>
  </si>
  <si>
    <t>NEXT30ADD</t>
  </si>
  <si>
    <t>SILLYMONKS</t>
  </si>
  <si>
    <t>ROML</t>
  </si>
  <si>
    <t>ESG</t>
  </si>
  <si>
    <t>MOQUALITY</t>
  </si>
  <si>
    <t>MODTHREAD</t>
  </si>
  <si>
    <t>BANKETFADD</t>
  </si>
  <si>
    <t>INCREDIBLE</t>
  </si>
  <si>
    <t>ABMINTLLTD</t>
  </si>
  <si>
    <t>MODIRUBBER</t>
  </si>
  <si>
    <t>GAYAHWS</t>
  </si>
  <si>
    <t>NIF10GETF</t>
  </si>
  <si>
    <t>DCMFINSERV</t>
  </si>
  <si>
    <t>HEALTHADD</t>
  </si>
  <si>
    <t>ABGSEC</t>
  </si>
  <si>
    <t>TECILCHEM</t>
  </si>
  <si>
    <t>BBNPNBETF</t>
  </si>
  <si>
    <t>EBANKNIFTY</t>
  </si>
  <si>
    <t>ARVEE</t>
  </si>
  <si>
    <t>Open</t>
  </si>
  <si>
    <t>High</t>
  </si>
  <si>
    <t>Low</t>
  </si>
  <si>
    <t>LTP</t>
  </si>
  <si>
    <t>%Change</t>
  </si>
  <si>
    <t>Voleume</t>
  </si>
  <si>
    <t>52 High</t>
  </si>
  <si>
    <t>52 Low</t>
  </si>
  <si>
    <t>PE</t>
  </si>
  <si>
    <t>sbin</t>
  </si>
  <si>
    <t>reliance</t>
  </si>
  <si>
    <t>mobikwik</t>
  </si>
  <si>
    <t>bhel</t>
  </si>
  <si>
    <t>rvnl</t>
  </si>
  <si>
    <t>Srinivas</t>
  </si>
  <si>
    <t>Target Data</t>
  </si>
  <si>
    <t>Day</t>
  </si>
  <si>
    <t>Date</t>
  </si>
  <si>
    <t>Investment</t>
  </si>
  <si>
    <t>Target Profit %</t>
  </si>
  <si>
    <t>Target Profit per Day</t>
  </si>
  <si>
    <t>Closing Balance</t>
  </si>
  <si>
    <t>Today Target Amount</t>
  </si>
  <si>
    <t>Today Profit/Loss</t>
  </si>
  <si>
    <t>Net Profit/Loss</t>
  </si>
  <si>
    <t>Net Target Profit</t>
  </si>
  <si>
    <t>Difference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</si>
  <si>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</si>
  <si>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</si>
  <si>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</si>
  <si>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</si>
  <si>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</si>
  <si>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</si>
  <si>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</si>
  <si>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</si>
  <si>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</si>
  <si>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</si>
  <si>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</si>
  <si>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</si>
  <si>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</si>
  <si>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</si>
  <si>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</si>
  <si>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</si>
  <si>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</si>
  <si>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</si>
  <si>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</si>
  <si>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</si>
  <si>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</si>
  <si>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</si>
  <si>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</si>
  <si>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</si>
  <si>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</si>
  <si>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</si>
  <si>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</si>
  <si>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</si>
  <si>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</si>
  <si>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</si>
  <si>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</si>
  <si>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</si>
  <si>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</si>
  <si>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</si>
  <si>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</si>
  <si>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</si>
  <si>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</si>
  <si>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</si>
  <si>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</si>
  <si>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</si>
  <si>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</si>
  <si>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</si>
  <si>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</si>
  <si>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</si>
  <si>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</si>
  <si>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</si>
  <si>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</si>
  <si>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day48</t>
  </si>
  <si>
    <t>day49</t>
  </si>
  <si>
    <t>day50</t>
  </si>
  <si>
    <t>day51</t>
  </si>
  <si>
    <t>day52</t>
  </si>
  <si>
    <t>day53</t>
  </si>
  <si>
    <t>day54</t>
  </si>
  <si>
    <t>day55</t>
  </si>
  <si>
    <t>day56</t>
  </si>
  <si>
    <t>day57</t>
  </si>
  <si>
    <t>day58</t>
  </si>
  <si>
    <t>day59</t>
  </si>
  <si>
    <t>day60</t>
  </si>
  <si>
    <t>day61</t>
  </si>
  <si>
    <t>day62</t>
  </si>
  <si>
    <t>day63</t>
  </si>
  <si>
    <t>day64</t>
  </si>
  <si>
    <t>day65</t>
  </si>
  <si>
    <t>day66</t>
  </si>
  <si>
    <t>day67</t>
  </si>
  <si>
    <t>day68</t>
  </si>
  <si>
    <t>day69</t>
  </si>
  <si>
    <t>day70</t>
  </si>
  <si>
    <t>day71</t>
  </si>
  <si>
    <t>day72</t>
  </si>
  <si>
    <t>day73</t>
  </si>
  <si>
    <t>day74</t>
  </si>
  <si>
    <t>day75</t>
  </si>
  <si>
    <t>day76</t>
  </si>
  <si>
    <t>day77</t>
  </si>
  <si>
    <t>day78</t>
  </si>
  <si>
    <t>day79</t>
  </si>
  <si>
    <t>day80</t>
  </si>
  <si>
    <t>day81</t>
  </si>
  <si>
    <t>day82</t>
  </si>
  <si>
    <t>day83</t>
  </si>
  <si>
    <t>day84</t>
  </si>
  <si>
    <t>day85</t>
  </si>
  <si>
    <t>day86</t>
  </si>
  <si>
    <t>day87</t>
  </si>
  <si>
    <t>day88</t>
  </si>
  <si>
    <t>day89</t>
  </si>
  <si>
    <t>day90</t>
  </si>
  <si>
    <t>day91</t>
  </si>
  <si>
    <t>day92</t>
  </si>
  <si>
    <t>day93</t>
  </si>
  <si>
    <t>day94</t>
  </si>
  <si>
    <t>day95</t>
  </si>
  <si>
    <t>day96</t>
  </si>
  <si>
    <t>day97</t>
  </si>
  <si>
    <t>day98</t>
  </si>
  <si>
    <t>day99</t>
  </si>
  <si>
    <t>day100</t>
  </si>
  <si>
    <t>day101</t>
  </si>
  <si>
    <t>day102</t>
  </si>
  <si>
    <t>day103</t>
  </si>
  <si>
    <t>day104</t>
  </si>
  <si>
    <t>day105</t>
  </si>
  <si>
    <t>day106</t>
  </si>
  <si>
    <t>day107</t>
  </si>
  <si>
    <t>day108</t>
  </si>
  <si>
    <t>day109</t>
  </si>
  <si>
    <t>day110</t>
  </si>
  <si>
    <t>day111</t>
  </si>
  <si>
    <t>day112</t>
  </si>
  <si>
    <t>day113</t>
  </si>
  <si>
    <t>day114</t>
  </si>
  <si>
    <t>day115</t>
  </si>
  <si>
    <t>day116</t>
  </si>
  <si>
    <t>day117</t>
  </si>
  <si>
    <t>day118</t>
  </si>
  <si>
    <t>day119</t>
  </si>
  <si>
    <t>day120</t>
  </si>
  <si>
    <t>day121</t>
  </si>
  <si>
    <t>day122</t>
  </si>
  <si>
    <t>day123</t>
  </si>
  <si>
    <t>day124</t>
  </si>
  <si>
    <t>day125</t>
  </si>
  <si>
    <t>day126</t>
  </si>
  <si>
    <t>day127</t>
  </si>
  <si>
    <t>day128</t>
  </si>
  <si>
    <t>day129</t>
  </si>
  <si>
    <t>day130</t>
  </si>
  <si>
    <t>day131</t>
  </si>
  <si>
    <t>day132</t>
  </si>
  <si>
    <t>day133</t>
  </si>
  <si>
    <t>day134</t>
  </si>
  <si>
    <t>day135</t>
  </si>
  <si>
    <t>day136</t>
  </si>
  <si>
    <t>day137</t>
  </si>
  <si>
    <t>day138</t>
  </si>
  <si>
    <t>day139</t>
  </si>
  <si>
    <t>day140</t>
  </si>
  <si>
    <t>day141</t>
  </si>
  <si>
    <t>day142</t>
  </si>
  <si>
    <t>day143</t>
  </si>
  <si>
    <t>day144</t>
  </si>
  <si>
    <t>day145</t>
  </si>
  <si>
    <t>day146</t>
  </si>
  <si>
    <t>day147</t>
  </si>
  <si>
    <t>day148</t>
  </si>
  <si>
    <t>day149</t>
  </si>
  <si>
    <t>day150</t>
  </si>
  <si>
    <t>day151</t>
  </si>
  <si>
    <t>day152</t>
  </si>
  <si>
    <t>day153</t>
  </si>
  <si>
    <t>day154</t>
  </si>
  <si>
    <t>day155</t>
  </si>
  <si>
    <t>day156</t>
  </si>
  <si>
    <t>day157</t>
  </si>
  <si>
    <t>day158</t>
  </si>
  <si>
    <t>day159</t>
  </si>
  <si>
    <t>day160</t>
  </si>
  <si>
    <t>day161</t>
  </si>
  <si>
    <t>day162</t>
  </si>
  <si>
    <t>day163</t>
  </si>
  <si>
    <t>day164</t>
  </si>
  <si>
    <t>day165</t>
  </si>
  <si>
    <t>day166</t>
  </si>
  <si>
    <t>day167</t>
  </si>
  <si>
    <t>day168</t>
  </si>
  <si>
    <t>day169</t>
  </si>
  <si>
    <t>day170</t>
  </si>
  <si>
    <t>day171</t>
  </si>
  <si>
    <t>day172</t>
  </si>
  <si>
    <t>day173</t>
  </si>
  <si>
    <t>day174</t>
  </si>
  <si>
    <t>day175</t>
  </si>
  <si>
    <t>day176</t>
  </si>
  <si>
    <t>day177</t>
  </si>
  <si>
    <t>day178</t>
  </si>
  <si>
    <t>day179</t>
  </si>
  <si>
    <t>day180</t>
  </si>
  <si>
    <t>day181</t>
  </si>
  <si>
    <t>day182</t>
  </si>
  <si>
    <t>day183</t>
  </si>
  <si>
    <t>day184</t>
  </si>
  <si>
    <t>day185</t>
  </si>
  <si>
    <t>day186</t>
  </si>
  <si>
    <t>day187</t>
  </si>
  <si>
    <t>day188</t>
  </si>
  <si>
    <t>day189</t>
  </si>
  <si>
    <t>day190</t>
  </si>
  <si>
    <t>day191</t>
  </si>
  <si>
    <t>day192</t>
  </si>
  <si>
    <t>day193</t>
  </si>
  <si>
    <t>day194</t>
  </si>
  <si>
    <t>day195</t>
  </si>
  <si>
    <t>day196</t>
  </si>
  <si>
    <t>day197</t>
  </si>
  <si>
    <t>day198</t>
  </si>
  <si>
    <t>day199</t>
  </si>
  <si>
    <t>day200</t>
  </si>
  <si>
    <t>day201</t>
  </si>
  <si>
    <t>day202</t>
  </si>
  <si>
    <t>day203</t>
  </si>
  <si>
    <t>day204</t>
  </si>
  <si>
    <t>day205</t>
  </si>
  <si>
    <t>day206</t>
  </si>
  <si>
    <t>day207</t>
  </si>
  <si>
    <t>day208</t>
  </si>
  <si>
    <t>day209</t>
  </si>
  <si>
    <t>day210</t>
  </si>
  <si>
    <t>day211</t>
  </si>
  <si>
    <t>day212</t>
  </si>
  <si>
    <t>day213</t>
  </si>
  <si>
    <t>day214</t>
  </si>
  <si>
    <t>day215</t>
  </si>
  <si>
    <t>day216</t>
  </si>
  <si>
    <t>day217</t>
  </si>
  <si>
    <t>day218</t>
  </si>
  <si>
    <t>day219</t>
  </si>
  <si>
    <t>day220</t>
  </si>
  <si>
    <t>day221</t>
  </si>
  <si>
    <t>day222</t>
  </si>
  <si>
    <t>day223</t>
  </si>
  <si>
    <t>day224</t>
  </si>
  <si>
    <t>day225</t>
  </si>
  <si>
    <t>day226</t>
  </si>
  <si>
    <t>day227</t>
  </si>
  <si>
    <t>day228</t>
  </si>
  <si>
    <t>day229</t>
  </si>
  <si>
    <t>day230</t>
  </si>
  <si>
    <t>day231</t>
  </si>
  <si>
    <t>day232</t>
  </si>
  <si>
    <t>day233</t>
  </si>
  <si>
    <t>day234</t>
  </si>
  <si>
    <t>day235</t>
  </si>
  <si>
    <t>day236</t>
  </si>
  <si>
    <t>day237</t>
  </si>
  <si>
    <t>day238</t>
  </si>
  <si>
    <t>day239</t>
  </si>
  <si>
    <t>day240</t>
  </si>
  <si>
    <t>day241</t>
  </si>
  <si>
    <t>day242</t>
  </si>
  <si>
    <t>day243</t>
  </si>
  <si>
    <t>day244</t>
  </si>
  <si>
    <t>day245</t>
  </si>
  <si>
    <t>day246</t>
  </si>
  <si>
    <t>day247</t>
  </si>
  <si>
    <t>day248</t>
  </si>
  <si>
    <t>day249</t>
  </si>
  <si>
    <t>day250</t>
  </si>
  <si>
    <t>day251</t>
  </si>
  <si>
    <t>day252</t>
  </si>
  <si>
    <t>day253</t>
  </si>
  <si>
    <t>day254</t>
  </si>
  <si>
    <t>day255</t>
  </si>
  <si>
    <t>day256</t>
  </si>
  <si>
    <t>day257</t>
  </si>
  <si>
    <t>day258</t>
  </si>
  <si>
    <t>day259</t>
  </si>
  <si>
    <t>day260</t>
  </si>
  <si>
    <t>day261</t>
  </si>
  <si>
    <t>day262</t>
  </si>
  <si>
    <t>day263</t>
  </si>
  <si>
    <t>day264</t>
  </si>
  <si>
    <t>day265</t>
  </si>
  <si>
    <t>day266</t>
  </si>
  <si>
    <t>day267</t>
  </si>
  <si>
    <t>day268</t>
  </si>
  <si>
    <t>day269</t>
  </si>
  <si>
    <t>day270</t>
  </si>
  <si>
    <t>day271</t>
  </si>
  <si>
    <t>day272</t>
  </si>
  <si>
    <t>day273</t>
  </si>
  <si>
    <t>day274</t>
  </si>
  <si>
    <t>day275</t>
  </si>
  <si>
    <t>day276</t>
  </si>
  <si>
    <t>day277</t>
  </si>
  <si>
    <t>day278</t>
  </si>
  <si>
    <t>day279</t>
  </si>
  <si>
    <t>day280</t>
  </si>
  <si>
    <t>day281</t>
  </si>
  <si>
    <t>day282</t>
  </si>
  <si>
    <t>day283</t>
  </si>
  <si>
    <t>day284</t>
  </si>
  <si>
    <t>day285</t>
  </si>
  <si>
    <t>day286</t>
  </si>
  <si>
    <t>day287</t>
  </si>
  <si>
    <t>day288</t>
  </si>
  <si>
    <t>day289</t>
  </si>
  <si>
    <t>day290</t>
  </si>
  <si>
    <t>day291</t>
  </si>
  <si>
    <t>day292</t>
  </si>
  <si>
    <t>day293</t>
  </si>
  <si>
    <t>day294</t>
  </si>
  <si>
    <t>day295</t>
  </si>
  <si>
    <t>day296</t>
  </si>
  <si>
    <t>day297</t>
  </si>
  <si>
    <t>day298</t>
  </si>
  <si>
    <t>day299</t>
  </si>
  <si>
    <t>day300</t>
  </si>
  <si>
    <t>day301</t>
  </si>
  <si>
    <t>day302</t>
  </si>
  <si>
    <t>day303</t>
  </si>
  <si>
    <t>day304</t>
  </si>
  <si>
    <t>day305</t>
  </si>
  <si>
    <t>day306</t>
  </si>
  <si>
    <t>day307</t>
  </si>
  <si>
    <t>day308</t>
  </si>
  <si>
    <t>day309</t>
  </si>
  <si>
    <t>day310</t>
  </si>
  <si>
    <t>day311</t>
  </si>
  <si>
    <t>day312</t>
  </si>
  <si>
    <t>day313</t>
  </si>
  <si>
    <t>day314</t>
  </si>
  <si>
    <t>day315</t>
  </si>
  <si>
    <t>day316</t>
  </si>
  <si>
    <t>day317</t>
  </si>
  <si>
    <t>day318</t>
  </si>
  <si>
    <t>day319</t>
  </si>
  <si>
    <t>day320</t>
  </si>
  <si>
    <t>day321</t>
  </si>
  <si>
    <t>day322</t>
  </si>
  <si>
    <t>day323</t>
  </si>
  <si>
    <t>day324</t>
  </si>
  <si>
    <t>day325</t>
  </si>
  <si>
    <t>day326</t>
  </si>
  <si>
    <t>day327</t>
  </si>
  <si>
    <t>day328</t>
  </si>
  <si>
    <t>day329</t>
  </si>
  <si>
    <t>day330</t>
  </si>
  <si>
    <t>day331</t>
  </si>
  <si>
    <t>day332</t>
  </si>
  <si>
    <t>day333</t>
  </si>
  <si>
    <t>day334</t>
  </si>
  <si>
    <t>day335</t>
  </si>
  <si>
    <t>day336</t>
  </si>
  <si>
    <t>day337</t>
  </si>
  <si>
    <t>day338</t>
  </si>
  <si>
    <t>day339</t>
  </si>
  <si>
    <t>day340</t>
  </si>
  <si>
    <t>day341</t>
  </si>
  <si>
    <t>day342</t>
  </si>
  <si>
    <t>day343</t>
  </si>
  <si>
    <t>day344</t>
  </si>
  <si>
    <t>day345</t>
  </si>
  <si>
    <t>day346</t>
  </si>
  <si>
    <t>day347</t>
  </si>
  <si>
    <t>day348</t>
  </si>
  <si>
    <t>day349</t>
  </si>
  <si>
    <t>day350</t>
  </si>
  <si>
    <t>day351</t>
  </si>
  <si>
    <t>day352</t>
  </si>
  <si>
    <t>day353</t>
  </si>
  <si>
    <t>day354</t>
  </si>
  <si>
    <t>day355</t>
  </si>
  <si>
    <t>day356</t>
  </si>
  <si>
    <t>day357</t>
  </si>
  <si>
    <t>day358</t>
  </si>
  <si>
    <t>day359</t>
  </si>
  <si>
    <t>day360</t>
  </si>
  <si>
    <t>day361</t>
  </si>
  <si>
    <t>day362</t>
  </si>
  <si>
    <t>day363</t>
  </si>
  <si>
    <t>day364</t>
  </si>
  <si>
    <t>day365</t>
  </si>
  <si>
    <t>day366</t>
  </si>
  <si>
    <t>day367</t>
  </si>
  <si>
    <t>day368</t>
  </si>
  <si>
    <t>day369</t>
  </si>
  <si>
    <t>day370</t>
  </si>
  <si>
    <t>day371</t>
  </si>
  <si>
    <t>day372</t>
  </si>
  <si>
    <t>day373</t>
  </si>
  <si>
    <t>day374</t>
  </si>
  <si>
    <t>day375</t>
  </si>
  <si>
    <t>day376</t>
  </si>
  <si>
    <t>day377</t>
  </si>
  <si>
    <t>day378</t>
  </si>
  <si>
    <t>day379</t>
  </si>
  <si>
    <t>day380</t>
  </si>
  <si>
    <t>day381</t>
  </si>
  <si>
    <t>day382</t>
  </si>
  <si>
    <t>day383</t>
  </si>
  <si>
    <t>day384</t>
  </si>
  <si>
    <t>day385</t>
  </si>
  <si>
    <t>day386</t>
  </si>
  <si>
    <t>day387</t>
  </si>
  <si>
    <t>day388</t>
  </si>
  <si>
    <t>day389</t>
  </si>
  <si>
    <t>day390</t>
  </si>
  <si>
    <t>day391</t>
  </si>
  <si>
    <t>day392</t>
  </si>
  <si>
    <t>day393</t>
  </si>
  <si>
    <t>day394</t>
  </si>
  <si>
    <t>day395</t>
  </si>
  <si>
    <t>day396</t>
  </si>
  <si>
    <t>day397</t>
  </si>
  <si>
    <t>day398</t>
  </si>
  <si>
    <t>day399</t>
  </si>
  <si>
    <t>day400</t>
  </si>
  <si>
    <t>day401</t>
  </si>
  <si>
    <t>day402</t>
  </si>
  <si>
    <t>day403</t>
  </si>
  <si>
    <t>day404</t>
  </si>
  <si>
    <t>day405</t>
  </si>
  <si>
    <t>day406</t>
  </si>
  <si>
    <t>day407</t>
  </si>
  <si>
    <t>day408</t>
  </si>
  <si>
    <t>day409</t>
  </si>
  <si>
    <t>day410</t>
  </si>
  <si>
    <t>day411</t>
  </si>
  <si>
    <t>day412</t>
  </si>
  <si>
    <t>day413</t>
  </si>
  <si>
    <t>day414</t>
  </si>
  <si>
    <t>day415</t>
  </si>
  <si>
    <t>day416</t>
  </si>
  <si>
    <t>day417</t>
  </si>
  <si>
    <t>day418</t>
  </si>
  <si>
    <t>day419</t>
  </si>
  <si>
    <t>day420</t>
  </si>
  <si>
    <t>day421</t>
  </si>
  <si>
    <t>day422</t>
  </si>
  <si>
    <t>day423</t>
  </si>
  <si>
    <t>day424</t>
  </si>
  <si>
    <t>day425</t>
  </si>
  <si>
    <t>day426</t>
  </si>
  <si>
    <t>day427</t>
  </si>
  <si>
    <t>day428</t>
  </si>
  <si>
    <t>day429</t>
  </si>
  <si>
    <t>day430</t>
  </si>
  <si>
    <t>day431</t>
  </si>
  <si>
    <t>day432</t>
  </si>
  <si>
    <t>day433</t>
  </si>
  <si>
    <t>day434</t>
  </si>
  <si>
    <t>day435</t>
  </si>
  <si>
    <t>day436</t>
  </si>
  <si>
    <t>day437</t>
  </si>
  <si>
    <t>day438</t>
  </si>
  <si>
    <t>day439</t>
  </si>
  <si>
    <t>day440</t>
  </si>
  <si>
    <t>day441</t>
  </si>
  <si>
    <t>day442</t>
  </si>
  <si>
    <t>day443</t>
  </si>
  <si>
    <t>day444</t>
  </si>
  <si>
    <t>day445</t>
  </si>
  <si>
    <t>day446</t>
  </si>
  <si>
    <t>day447</t>
  </si>
  <si>
    <t>day448</t>
  </si>
  <si>
    <t>day449</t>
  </si>
  <si>
    <t>day450</t>
  </si>
  <si>
    <t>day451</t>
  </si>
  <si>
    <t>day452</t>
  </si>
  <si>
    <t>day453</t>
  </si>
  <si>
    <t>day454</t>
  </si>
  <si>
    <t>day455</t>
  </si>
  <si>
    <t>day456</t>
  </si>
  <si>
    <t>day457</t>
  </si>
  <si>
    <t>day458</t>
  </si>
  <si>
    <t>day459</t>
  </si>
  <si>
    <t>day460</t>
  </si>
  <si>
    <t>day461</t>
  </si>
  <si>
    <t>day462</t>
  </si>
  <si>
    <t>day463</t>
  </si>
  <si>
    <t>day464</t>
  </si>
  <si>
    <t>day465</t>
  </si>
  <si>
    <t>day466</t>
  </si>
  <si>
    <t>day467</t>
  </si>
  <si>
    <t>day468</t>
  </si>
  <si>
    <t>day469</t>
  </si>
  <si>
    <t>day470</t>
  </si>
  <si>
    <t>day471</t>
  </si>
  <si>
    <t>day472</t>
  </si>
  <si>
    <t>day473</t>
  </si>
  <si>
    <t>day474</t>
  </si>
  <si>
    <t>day475</t>
  </si>
  <si>
    <t>day476</t>
  </si>
  <si>
    <t>day477</t>
  </si>
  <si>
    <t>day478</t>
  </si>
  <si>
    <t>day479</t>
  </si>
  <si>
    <t>day480</t>
  </si>
  <si>
    <t>day481</t>
  </si>
  <si>
    <t>day482</t>
  </si>
  <si>
    <t>day483</t>
  </si>
  <si>
    <t>day484</t>
  </si>
  <si>
    <t>day485</t>
  </si>
  <si>
    <t>day486</t>
  </si>
  <si>
    <t>day487</t>
  </si>
  <si>
    <t>day488</t>
  </si>
  <si>
    <t>day489</t>
  </si>
  <si>
    <t>day490</t>
  </si>
  <si>
    <t>day491</t>
  </si>
  <si>
    <t>day492</t>
  </si>
  <si>
    <t>day493</t>
  </si>
  <si>
    <t>day494</t>
  </si>
  <si>
    <t>day495</t>
  </si>
  <si>
    <t>day496</t>
  </si>
  <si>
    <t>day497</t>
  </si>
  <si>
    <t>day498</t>
  </si>
  <si>
    <t>day499</t>
  </si>
  <si>
    <t>day500</t>
  </si>
  <si>
    <t>day501</t>
  </si>
  <si>
    <t>day502</t>
  </si>
  <si>
    <t>day503</t>
  </si>
  <si>
    <t>day504</t>
  </si>
  <si>
    <t>day505</t>
  </si>
  <si>
    <t>day506</t>
  </si>
  <si>
    <t>day507</t>
  </si>
  <si>
    <t>day508</t>
  </si>
  <si>
    <t>day509</t>
  </si>
  <si>
    <t>day510</t>
  </si>
  <si>
    <t>day511</t>
  </si>
  <si>
    <t>day512</t>
  </si>
  <si>
    <t>day513</t>
  </si>
  <si>
    <t>day514</t>
  </si>
  <si>
    <t>day515</t>
  </si>
  <si>
    <t>day516</t>
  </si>
  <si>
    <t>day517</t>
  </si>
  <si>
    <t>day518</t>
  </si>
  <si>
    <t>day519</t>
  </si>
  <si>
    <t>day520</t>
  </si>
  <si>
    <t>day521</t>
  </si>
  <si>
    <t>day522</t>
  </si>
  <si>
    <t>day523</t>
  </si>
  <si>
    <t>day524</t>
  </si>
  <si>
    <t>day525</t>
  </si>
  <si>
    <t>day526</t>
  </si>
  <si>
    <t>day527</t>
  </si>
  <si>
    <t>day528</t>
  </si>
  <si>
    <t>day529</t>
  </si>
  <si>
    <t>day530</t>
  </si>
  <si>
    <t>day531</t>
  </si>
  <si>
    <t>day532</t>
  </si>
  <si>
    <t>day533</t>
  </si>
  <si>
    <t>day534</t>
  </si>
  <si>
    <t>day535</t>
  </si>
  <si>
    <t>day536</t>
  </si>
  <si>
    <t>day537</t>
  </si>
  <si>
    <t>day538</t>
  </si>
  <si>
    <t>day539</t>
  </si>
  <si>
    <t>day540</t>
  </si>
  <si>
    <t>day541</t>
  </si>
  <si>
    <t>day542</t>
  </si>
  <si>
    <t>day543</t>
  </si>
  <si>
    <t>day544</t>
  </si>
  <si>
    <t>day545</t>
  </si>
  <si>
    <t>day546</t>
  </si>
  <si>
    <t>day547</t>
  </si>
  <si>
    <t>day548</t>
  </si>
  <si>
    <t>day549</t>
  </si>
  <si>
    <t>day550</t>
  </si>
  <si>
    <t>day551</t>
  </si>
  <si>
    <t>day552</t>
  </si>
  <si>
    <t>day553</t>
  </si>
  <si>
    <t>day554</t>
  </si>
  <si>
    <t>day555</t>
  </si>
  <si>
    <t>day556</t>
  </si>
  <si>
    <t>day557</t>
  </si>
  <si>
    <t>day558</t>
  </si>
  <si>
    <t>day559</t>
  </si>
  <si>
    <t>day560</t>
  </si>
  <si>
    <t>day561</t>
  </si>
  <si>
    <t>day562</t>
  </si>
  <si>
    <t>day563</t>
  </si>
  <si>
    <t>day564</t>
  </si>
  <si>
    <t>day565</t>
  </si>
  <si>
    <t>day566</t>
  </si>
  <si>
    <t>day567</t>
  </si>
  <si>
    <t>day568</t>
  </si>
  <si>
    <t>day569</t>
  </si>
  <si>
    <t>day570</t>
  </si>
  <si>
    <t>day571</t>
  </si>
  <si>
    <t>day572</t>
  </si>
  <si>
    <t>day573</t>
  </si>
  <si>
    <t>day574</t>
  </si>
  <si>
    <t>day575</t>
  </si>
  <si>
    <t>day576</t>
  </si>
  <si>
    <t>day577</t>
  </si>
  <si>
    <t>day578</t>
  </si>
  <si>
    <t>day579</t>
  </si>
  <si>
    <t>day580</t>
  </si>
  <si>
    <t>day581</t>
  </si>
  <si>
    <t>day582</t>
  </si>
  <si>
    <t>day583</t>
  </si>
  <si>
    <t>day584</t>
  </si>
  <si>
    <t>day585</t>
  </si>
  <si>
    <t>day586</t>
  </si>
  <si>
    <t>day587</t>
  </si>
  <si>
    <t>day588</t>
  </si>
  <si>
    <t>day589</t>
  </si>
  <si>
    <t>day590</t>
  </si>
  <si>
    <t>day591</t>
  </si>
  <si>
    <t>day592</t>
  </si>
  <si>
    <t>day593</t>
  </si>
  <si>
    <t>day594</t>
  </si>
  <si>
    <t>day595</t>
  </si>
  <si>
    <t>day596</t>
  </si>
  <si>
    <t>day597</t>
  </si>
  <si>
    <t>day598</t>
  </si>
  <si>
    <t>day599</t>
  </si>
  <si>
    <t>day600</t>
  </si>
  <si>
    <t>day601</t>
  </si>
  <si>
    <t>day602</t>
  </si>
  <si>
    <t>day603</t>
  </si>
  <si>
    <t>day604</t>
  </si>
  <si>
    <t>day605</t>
  </si>
  <si>
    <t>day606</t>
  </si>
  <si>
    <t>day607</t>
  </si>
  <si>
    <t>day608</t>
  </si>
  <si>
    <t>day609</t>
  </si>
  <si>
    <t>day610</t>
  </si>
  <si>
    <t>day611</t>
  </si>
  <si>
    <t>day612</t>
  </si>
  <si>
    <t>day613</t>
  </si>
  <si>
    <t>day614</t>
  </si>
  <si>
    <t>day615</t>
  </si>
  <si>
    <t>day616</t>
  </si>
  <si>
    <t>day617</t>
  </si>
  <si>
    <t>day618</t>
  </si>
  <si>
    <t>day619</t>
  </si>
  <si>
    <t>day620</t>
  </si>
  <si>
    <t>day621</t>
  </si>
  <si>
    <t>day622</t>
  </si>
  <si>
    <t>day623</t>
  </si>
  <si>
    <t>day624</t>
  </si>
  <si>
    <t>day625</t>
  </si>
  <si>
    <t>day626</t>
  </si>
  <si>
    <t>day627</t>
  </si>
  <si>
    <t>day628</t>
  </si>
  <si>
    <t>day629</t>
  </si>
  <si>
    <t>day630</t>
  </si>
  <si>
    <t>day631</t>
  </si>
  <si>
    <t>day632</t>
  </si>
  <si>
    <t>day633</t>
  </si>
  <si>
    <t>day634</t>
  </si>
  <si>
    <t>day635</t>
  </si>
  <si>
    <t>day636</t>
  </si>
  <si>
    <t>day637</t>
  </si>
  <si>
    <t>day638</t>
  </si>
  <si>
    <t>day639</t>
  </si>
  <si>
    <t>day640</t>
  </si>
  <si>
    <t>day641</t>
  </si>
  <si>
    <t>day642</t>
  </si>
  <si>
    <t>day643</t>
  </si>
  <si>
    <t>day644</t>
  </si>
  <si>
    <t>day645</t>
  </si>
  <si>
    <t>day646</t>
  </si>
  <si>
    <t>day647</t>
  </si>
  <si>
    <t>day648</t>
  </si>
  <si>
    <t>day649</t>
  </si>
  <si>
    <t>day650</t>
  </si>
  <si>
    <t>day651</t>
  </si>
  <si>
    <t>day652</t>
  </si>
  <si>
    <t>day653</t>
  </si>
  <si>
    <t>day654</t>
  </si>
  <si>
    <t>day655</t>
  </si>
  <si>
    <t>day656</t>
  </si>
  <si>
    <t>day657</t>
  </si>
  <si>
    <t>day658</t>
  </si>
  <si>
    <t>day659</t>
  </si>
  <si>
    <t>day660</t>
  </si>
  <si>
    <t>day661</t>
  </si>
  <si>
    <t>day662</t>
  </si>
  <si>
    <t>day663</t>
  </si>
  <si>
    <t>day664</t>
  </si>
  <si>
    <t>day665</t>
  </si>
  <si>
    <t>day666</t>
  </si>
  <si>
    <t>day667</t>
  </si>
  <si>
    <t>day668</t>
  </si>
  <si>
    <t>day669</t>
  </si>
  <si>
    <t>day670</t>
  </si>
  <si>
    <t>day671</t>
  </si>
  <si>
    <t>day672</t>
  </si>
  <si>
    <t>day673</t>
  </si>
  <si>
    <t>day674</t>
  </si>
  <si>
    <t>day675</t>
  </si>
  <si>
    <t>day676</t>
  </si>
  <si>
    <t>day677</t>
  </si>
  <si>
    <t>day678</t>
  </si>
  <si>
    <t>day679</t>
  </si>
  <si>
    <t>day680</t>
  </si>
  <si>
    <t>day681</t>
  </si>
  <si>
    <t>day682</t>
  </si>
  <si>
    <t>day683</t>
  </si>
  <si>
    <t>day684</t>
  </si>
  <si>
    <t>day685</t>
  </si>
  <si>
    <t>day686</t>
  </si>
  <si>
    <t>day687</t>
  </si>
  <si>
    <t>day688</t>
  </si>
  <si>
    <t>day689</t>
  </si>
  <si>
    <t>day690</t>
  </si>
  <si>
    <t>day691</t>
  </si>
  <si>
    <t>day692</t>
  </si>
  <si>
    <t>day693</t>
  </si>
  <si>
    <t>day694</t>
  </si>
  <si>
    <t>day695</t>
  </si>
  <si>
    <t>day696</t>
  </si>
  <si>
    <t>day697</t>
  </si>
  <si>
    <t>day698</t>
  </si>
  <si>
    <t>day699</t>
  </si>
  <si>
    <t>day700</t>
  </si>
  <si>
    <t>day701</t>
  </si>
  <si>
    <t>day702</t>
  </si>
  <si>
    <t>day703</t>
  </si>
  <si>
    <t>day704</t>
  </si>
  <si>
    <t>day705</t>
  </si>
  <si>
    <t>day706</t>
  </si>
  <si>
    <t>day707</t>
  </si>
  <si>
    <t>day708</t>
  </si>
  <si>
    <t>day709</t>
  </si>
  <si>
    <t>day710</t>
  </si>
  <si>
    <t>day711</t>
  </si>
  <si>
    <t>day712</t>
  </si>
  <si>
    <t>day713</t>
  </si>
  <si>
    <t>day714</t>
  </si>
  <si>
    <t>day715</t>
  </si>
  <si>
    <t>day716</t>
  </si>
  <si>
    <t>day717</t>
  </si>
  <si>
    <t>day718</t>
  </si>
  <si>
    <t>day719</t>
  </si>
  <si>
    <t>day720</t>
  </si>
  <si>
    <t>day721</t>
  </si>
  <si>
    <t>day722</t>
  </si>
  <si>
    <t>day723</t>
  </si>
  <si>
    <t>day724</t>
  </si>
  <si>
    <t>day725</t>
  </si>
  <si>
    <t>day726</t>
  </si>
  <si>
    <t>day727</t>
  </si>
  <si>
    <t>day728</t>
  </si>
  <si>
    <t>day729</t>
  </si>
  <si>
    <t>day730</t>
  </si>
  <si>
    <t>day731</t>
  </si>
  <si>
    <t>day732</t>
  </si>
  <si>
    <t>day733</t>
  </si>
  <si>
    <t>day734</t>
  </si>
  <si>
    <t>day735</t>
  </si>
  <si>
    <t>day736</t>
  </si>
  <si>
    <t>day737</t>
  </si>
  <si>
    <t>day738</t>
  </si>
  <si>
    <t>day739</t>
  </si>
  <si>
    <t>day740</t>
  </si>
  <si>
    <t>day741</t>
  </si>
  <si>
    <t>day742</t>
  </si>
  <si>
    <t>day743</t>
  </si>
  <si>
    <t>day744</t>
  </si>
  <si>
    <t>day745</t>
  </si>
  <si>
    <t>day746</t>
  </si>
  <si>
    <t>day747</t>
  </si>
  <si>
    <t>day748</t>
  </si>
  <si>
    <t>day749</t>
  </si>
  <si>
    <t>day750</t>
  </si>
  <si>
    <t>day751</t>
  </si>
  <si>
    <t>day752</t>
  </si>
  <si>
    <t>day753</t>
  </si>
  <si>
    <t>day754</t>
  </si>
  <si>
    <t>day755</t>
  </si>
  <si>
    <t>day756</t>
  </si>
  <si>
    <t>day757</t>
  </si>
  <si>
    <t>day758</t>
  </si>
  <si>
    <t>day759</t>
  </si>
  <si>
    <t>day760</t>
  </si>
  <si>
    <t>day761</t>
  </si>
  <si>
    <t>day762</t>
  </si>
  <si>
    <t>day763</t>
  </si>
  <si>
    <t>day764</t>
  </si>
  <si>
    <t>day765</t>
  </si>
  <si>
    <t>day766</t>
  </si>
  <si>
    <t>day767</t>
  </si>
  <si>
    <t>day768</t>
  </si>
  <si>
    <t>day769</t>
  </si>
  <si>
    <t>day770</t>
  </si>
  <si>
    <t>day771</t>
  </si>
  <si>
    <t>day772</t>
  </si>
  <si>
    <t>day773</t>
  </si>
  <si>
    <t>day774</t>
  </si>
  <si>
    <t>day775</t>
  </si>
  <si>
    <t>day776</t>
  </si>
  <si>
    <t>day777</t>
  </si>
  <si>
    <t>day778</t>
  </si>
  <si>
    <t>day779</t>
  </si>
  <si>
    <t>day780</t>
  </si>
  <si>
    <t>day781</t>
  </si>
  <si>
    <t>day782</t>
  </si>
  <si>
    <t>day783</t>
  </si>
  <si>
    <t>day784</t>
  </si>
  <si>
    <t>day785</t>
  </si>
  <si>
    <t>day786</t>
  </si>
  <si>
    <t>day787</t>
  </si>
  <si>
    <t>day788</t>
  </si>
  <si>
    <t>day789</t>
  </si>
  <si>
    <t>day790</t>
  </si>
  <si>
    <t>day791</t>
  </si>
  <si>
    <t>day792</t>
  </si>
  <si>
    <t>day793</t>
  </si>
  <si>
    <t>day794</t>
  </si>
  <si>
    <t>day795</t>
  </si>
  <si>
    <t>day796</t>
  </si>
  <si>
    <t>day797</t>
  </si>
  <si>
    <t>day798</t>
  </si>
  <si>
    <t>day799</t>
  </si>
  <si>
    <t>day800</t>
  </si>
  <si>
    <t>day801</t>
  </si>
  <si>
    <t>day802</t>
  </si>
  <si>
    <t>day803</t>
  </si>
  <si>
    <t>day804</t>
  </si>
  <si>
    <t>day805</t>
  </si>
  <si>
    <t>day806</t>
  </si>
  <si>
    <t>day807</t>
  </si>
  <si>
    <t>day808</t>
  </si>
  <si>
    <t>day809</t>
  </si>
  <si>
    <t>day810</t>
  </si>
  <si>
    <t>day811</t>
  </si>
  <si>
    <t>day812</t>
  </si>
  <si>
    <t>day813</t>
  </si>
  <si>
    <t>day814</t>
  </si>
  <si>
    <t>day815</t>
  </si>
  <si>
    <t>day816</t>
  </si>
  <si>
    <t>day817</t>
  </si>
  <si>
    <t>day818</t>
  </si>
  <si>
    <t>day819</t>
  </si>
  <si>
    <t>day820</t>
  </si>
  <si>
    <t>day821</t>
  </si>
  <si>
    <t>day822</t>
  </si>
  <si>
    <t>day823</t>
  </si>
  <si>
    <t>day824</t>
  </si>
  <si>
    <t>day825</t>
  </si>
  <si>
    <t>day826</t>
  </si>
  <si>
    <t>day827</t>
  </si>
  <si>
    <t>day828</t>
  </si>
  <si>
    <t>day829</t>
  </si>
  <si>
    <t>day830</t>
  </si>
  <si>
    <t>day831</t>
  </si>
  <si>
    <t>day832</t>
  </si>
  <si>
    <t>day833</t>
  </si>
  <si>
    <t>day834</t>
  </si>
  <si>
    <t>day835</t>
  </si>
  <si>
    <t>day836</t>
  </si>
  <si>
    <t>day837</t>
  </si>
  <si>
    <t>day838</t>
  </si>
  <si>
    <t>day839</t>
  </si>
  <si>
    <t>day840</t>
  </si>
  <si>
    <t>day841</t>
  </si>
  <si>
    <t>day842</t>
  </si>
  <si>
    <t>day843</t>
  </si>
  <si>
    <t>day844</t>
  </si>
  <si>
    <t>day845</t>
  </si>
  <si>
    <t>day846</t>
  </si>
  <si>
    <t>day847</t>
  </si>
  <si>
    <t>day848</t>
  </si>
  <si>
    <t>day849</t>
  </si>
  <si>
    <t>day850</t>
  </si>
  <si>
    <t>day851</t>
  </si>
  <si>
    <t>day852</t>
  </si>
  <si>
    <t>day853</t>
  </si>
  <si>
    <t>day854</t>
  </si>
  <si>
    <t>day855</t>
  </si>
  <si>
    <t>day856</t>
  </si>
  <si>
    <t>day857</t>
  </si>
  <si>
    <t>day858</t>
  </si>
  <si>
    <t>day859</t>
  </si>
  <si>
    <t>day860</t>
  </si>
  <si>
    <t>day861</t>
  </si>
  <si>
    <t>day862</t>
  </si>
  <si>
    <t>day863</t>
  </si>
  <si>
    <t>day864</t>
  </si>
  <si>
    <t>day865</t>
  </si>
  <si>
    <t>day866</t>
  </si>
  <si>
    <t>day867</t>
  </si>
  <si>
    <t>day868</t>
  </si>
  <si>
    <t>day869</t>
  </si>
  <si>
    <t>day870</t>
  </si>
  <si>
    <t>day871</t>
  </si>
  <si>
    <t>day872</t>
  </si>
  <si>
    <t>day873</t>
  </si>
  <si>
    <t>day874</t>
  </si>
  <si>
    <t>day875</t>
  </si>
  <si>
    <t>day876</t>
  </si>
  <si>
    <t>day877</t>
  </si>
  <si>
    <t>day878</t>
  </si>
  <si>
    <t>day879</t>
  </si>
  <si>
    <t>day880</t>
  </si>
  <si>
    <t>day881</t>
  </si>
  <si>
    <t>day882</t>
  </si>
  <si>
    <t>day883</t>
  </si>
  <si>
    <t>day884</t>
  </si>
  <si>
    <t>day885</t>
  </si>
  <si>
    <t>day886</t>
  </si>
  <si>
    <t>day887</t>
  </si>
  <si>
    <t>day888</t>
  </si>
  <si>
    <t>day889</t>
  </si>
  <si>
    <t>day890</t>
  </si>
  <si>
    <t>day891</t>
  </si>
  <si>
    <t>day892</t>
  </si>
  <si>
    <t>day893</t>
  </si>
  <si>
    <t>day894</t>
  </si>
  <si>
    <t>day895</t>
  </si>
  <si>
    <t>day896</t>
  </si>
  <si>
    <t>day897</t>
  </si>
  <si>
    <t>day898</t>
  </si>
  <si>
    <t>day899</t>
  </si>
  <si>
    <t>day900</t>
  </si>
  <si>
    <t>day901</t>
  </si>
  <si>
    <t>day902</t>
  </si>
  <si>
    <t>day903</t>
  </si>
  <si>
    <t>day904</t>
  </si>
  <si>
    <t>day905</t>
  </si>
  <si>
    <t>day906</t>
  </si>
  <si>
    <t>day907</t>
  </si>
  <si>
    <t>day908</t>
  </si>
  <si>
    <t>day909</t>
  </si>
  <si>
    <t>day910</t>
  </si>
  <si>
    <t>day911</t>
  </si>
  <si>
    <t>day912</t>
  </si>
  <si>
    <t>day913</t>
  </si>
  <si>
    <t>day914</t>
  </si>
  <si>
    <t>day915</t>
  </si>
  <si>
    <t>day916</t>
  </si>
  <si>
    <t>day917</t>
  </si>
  <si>
    <t>day918</t>
  </si>
  <si>
    <t>day919</t>
  </si>
  <si>
    <t>day920</t>
  </si>
  <si>
    <t>day921</t>
  </si>
  <si>
    <t>day922</t>
  </si>
  <si>
    <t>day923</t>
  </si>
  <si>
    <t>day924</t>
  </si>
  <si>
    <t>day925</t>
  </si>
  <si>
    <t>day926</t>
  </si>
  <si>
    <t>day927</t>
  </si>
  <si>
    <t>day928</t>
  </si>
  <si>
    <t>day929</t>
  </si>
  <si>
    <t>day930</t>
  </si>
  <si>
    <t>day931</t>
  </si>
  <si>
    <t>day932</t>
  </si>
  <si>
    <t>day933</t>
  </si>
  <si>
    <t>day934</t>
  </si>
  <si>
    <t>day935</t>
  </si>
  <si>
    <t>day936</t>
  </si>
  <si>
    <t>day937</t>
  </si>
  <si>
    <t>day938</t>
  </si>
  <si>
    <t>day939</t>
  </si>
  <si>
    <t>day940</t>
  </si>
  <si>
    <t>day941</t>
  </si>
  <si>
    <t>day942</t>
  </si>
  <si>
    <t>day943</t>
  </si>
  <si>
    <t>day944</t>
  </si>
  <si>
    <t>day945</t>
  </si>
  <si>
    <t>day946</t>
  </si>
  <si>
    <t>day947</t>
  </si>
  <si>
    <t>day948</t>
  </si>
  <si>
    <t>day949</t>
  </si>
  <si>
    <t>day950</t>
  </si>
  <si>
    <t>day951</t>
  </si>
  <si>
    <t>day952</t>
  </si>
  <si>
    <t>day953</t>
  </si>
  <si>
    <t>day954</t>
  </si>
  <si>
    <t>day955</t>
  </si>
  <si>
    <t>day956</t>
  </si>
  <si>
    <t>day957</t>
  </si>
  <si>
    <t>day958</t>
  </si>
  <si>
    <t>day959</t>
  </si>
  <si>
    <t>day960</t>
  </si>
  <si>
    <t>day961</t>
  </si>
  <si>
    <t>day962</t>
  </si>
  <si>
    <t>day963</t>
  </si>
  <si>
    <t>day964</t>
  </si>
  <si>
    <t>day965</t>
  </si>
  <si>
    <t>day966</t>
  </si>
  <si>
    <t>day967</t>
  </si>
  <si>
    <t>day968</t>
  </si>
  <si>
    <t>day969</t>
  </si>
  <si>
    <t>day970</t>
  </si>
  <si>
    <t>day971</t>
  </si>
  <si>
    <t>day972</t>
  </si>
  <si>
    <t>day973</t>
  </si>
  <si>
    <t>day974</t>
  </si>
  <si>
    <t>day975</t>
  </si>
  <si>
    <t>day976</t>
  </si>
  <si>
    <t>day977</t>
  </si>
  <si>
    <t>day978</t>
  </si>
  <si>
    <t>day979</t>
  </si>
  <si>
    <t>day980</t>
  </si>
  <si>
    <t>day981</t>
  </si>
  <si>
    <t>day982</t>
  </si>
  <si>
    <t>day983</t>
  </si>
  <si>
    <t>day984</t>
  </si>
  <si>
    <t>day985</t>
  </si>
  <si>
    <t>day986</t>
  </si>
  <si>
    <t>day987</t>
  </si>
  <si>
    <t>day988</t>
  </si>
  <si>
    <t>day989</t>
  </si>
  <si>
    <t>day990</t>
  </si>
  <si>
    <t>day991</t>
  </si>
  <si>
    <t>day992</t>
  </si>
  <si>
    <t>day993</t>
  </si>
  <si>
    <t>day994</t>
  </si>
  <si>
    <t>day995</t>
  </si>
  <si>
    <t>day996</t>
  </si>
  <si>
    <t>day997</t>
  </si>
  <si>
    <t>day998</t>
  </si>
  <si>
    <t>day999</t>
  </si>
  <si>
    <t>day1000</t>
  </si>
  <si>
    <t>S.no</t>
  </si>
  <si>
    <t>Buy Date</t>
  </si>
  <si>
    <t>Sell Date</t>
  </si>
  <si>
    <t>Intraday/Delivery</t>
  </si>
  <si>
    <t>No.of Stocks</t>
  </si>
  <si>
    <t>Buy Amount</t>
  </si>
  <si>
    <t>Sell Amount</t>
  </si>
  <si>
    <t>Profit/Loss</t>
  </si>
  <si>
    <t xml:space="preserve">Intraday </t>
  </si>
  <si>
    <t>Vishal Megamart</t>
  </si>
  <si>
    <t>20/02/2025</t>
  </si>
  <si>
    <t>Delivery</t>
  </si>
  <si>
    <t>Wipro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</si>
</sst>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&quot;-&quot;dd&quot;-&quot;yyyy"/>
    <numFmt numFmtId="165" formatCode="M/d/yyyy"/>
    <numFmt numFmtId="166" formatCode="# &quot;Day %&quot;"/>
    <numFmt numFmtId="167" formatCode="# &quot;Day  Chart&quot;"/>
    <numFmt numFmtId="168" formatCode="&quot;₹&quot;\ #,##0"/>
    <numFmt numFmtId="169" formatCode="[$₹]#,##0.00"/>
    <numFmt numFmtId="170" formatCode="&quot;₹&quot;\ #,##0.00"/>
    <numFmt numFmtId="171" formatCode="[$₹]#,##0"/>
    <numFmt numFmtId="172" formatCode="dd/mm/yyyy"/>
  </numFmts>
  <fonts count="19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rgb="FF000000"/>
      <name val="Monospace"/>
    </font>
    <font>
      <b/>
      <sz val="14.0"/>
      <color rgb="FF006100"/>
      <name val="Calibri"/>
    </font>
    <font>
      <sz val="14.0"/>
      <color theme="1"/>
      <name val="Calibri"/>
      <scheme val="minor"/>
    </font>
    <font>
      <sz val="11.0"/>
      <color rgb="FF000000"/>
      <name val="Calibri"/>
    </font>
    <font>
      <sz val="14.0"/>
      <color theme="1"/>
      <name val="Arial"/>
    </font>
    <font/>
    <font>
      <sz val="12.0"/>
      <color rgb="FF545D7E"/>
      <name val="Monospace"/>
    </font>
    <font>
      <sz val="11.0"/>
      <color rgb="FF1F1F1F"/>
      <name val="Arial"/>
    </font>
    <font>
      <color theme="1"/>
      <name val="Calibri"/>
      <scheme val="minor"/>
    </font>
    <font>
      <b/>
      <sz val="28.0"/>
      <color rgb="FFFFFFFF"/>
      <name val="Calibri"/>
    </font>
    <font>
      <sz val="11.0"/>
      <color theme="1"/>
      <name val="Calibri"/>
    </font>
    <font>
      <b/>
      <sz val="14.0"/>
      <color rgb="FF000000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5.0"/>
      <color theme="1"/>
      <name val="Calibri"/>
    </font>
    <font>
      <sz val="15.0"/>
      <color theme="1"/>
      <name val="Calibri"/>
    </font>
    <font>
      <sz val="13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5EDFF"/>
        <bgColor rgb="FFE5ED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9CC2E5"/>
        <bgColor rgb="FF9CC2E5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164" xfId="0" applyAlignment="1" applyFill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10" xfId="0" applyAlignment="1" applyBorder="1" applyFill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4" xfId="0" applyAlignment="1" applyFont="1" applyNumberFormat="1">
      <alignment horizontal="left" vertical="center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left" vertical="center"/>
    </xf>
    <xf borderId="1" fillId="0" fontId="6" numFmtId="0" xfId="0" applyAlignment="1" applyBorder="1" applyFont="1">
      <alignment readingOrder="0"/>
    </xf>
    <xf borderId="1" fillId="0" fontId="4" numFmtId="164" xfId="0" applyBorder="1" applyFont="1" applyNumberFormat="1"/>
    <xf borderId="1" fillId="0" fontId="4" numFmtId="0" xfId="0" applyBorder="1" applyFont="1"/>
    <xf borderId="1" fillId="0" fontId="4" numFmtId="10" xfId="0" applyBorder="1" applyFont="1" applyNumberFormat="1"/>
    <xf borderId="2" fillId="0" fontId="4" numFmtId="0" xfId="0" applyAlignment="1" applyBorder="1" applyFont="1">
      <alignment readingOrder="0"/>
    </xf>
    <xf borderId="3" fillId="0" fontId="7" numFmtId="0" xfId="0" applyBorder="1" applyFont="1"/>
    <xf borderId="4" fillId="0" fontId="7" numFmtId="0" xfId="0" applyBorder="1" applyFont="1"/>
    <xf borderId="1" fillId="3" fontId="4" numFmtId="4" xfId="0" applyAlignment="1" applyBorder="1" applyFill="1" applyFont="1" applyNumberFormat="1">
      <alignment horizontal="left" readingOrder="0"/>
    </xf>
    <xf borderId="0" fillId="0" fontId="4" numFmtId="0" xfId="0" applyFont="1"/>
    <xf borderId="1" fillId="0" fontId="5" numFmtId="0" xfId="0" applyAlignment="1" applyBorder="1" applyFont="1">
      <alignment readingOrder="0" shrinkToFit="0" vertical="bottom" wrapText="0"/>
    </xf>
    <xf borderId="0" fillId="0" fontId="4" numFmtId="165" xfId="0" applyFont="1" applyNumberFormat="1"/>
    <xf borderId="5" fillId="0" fontId="7" numFmtId="0" xfId="0" applyBorder="1" applyFont="1"/>
    <xf borderId="6" fillId="0" fontId="7" numFmtId="0" xfId="0" applyBorder="1" applyFont="1"/>
    <xf borderId="1" fillId="0" fontId="4" numFmtId="4" xfId="0" applyAlignment="1" applyBorder="1" applyFont="1" applyNumberFormat="1">
      <alignment horizontal="left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4" numFmtId="4" xfId="0" applyFont="1" applyNumberFormat="1"/>
    <xf borderId="0" fillId="0" fontId="4" numFmtId="0" xfId="0" applyAlignment="1" applyFont="1">
      <alignment horizontal="center" readingOrder="0"/>
    </xf>
    <xf borderId="0" fillId="4" fontId="4" numFmtId="4" xfId="0" applyAlignment="1" applyFill="1" applyFont="1" applyNumberFormat="1">
      <alignment readingOrder="0"/>
    </xf>
    <xf borderId="1" fillId="0" fontId="4" numFmtId="10" xfId="0" applyAlignment="1" applyBorder="1" applyFont="1" applyNumberFormat="1">
      <alignment horizontal="left"/>
    </xf>
    <xf borderId="0" fillId="0" fontId="4" numFmtId="4" xfId="0" applyAlignment="1" applyFont="1" applyNumberFormat="1">
      <alignment horizontal="left"/>
    </xf>
    <xf borderId="0" fillId="0" fontId="4" numFmtId="10" xfId="0" applyFont="1" applyNumberFormat="1"/>
    <xf borderId="0" fillId="5" fontId="4" numFmtId="0" xfId="0" applyAlignment="1" applyFill="1" applyFont="1">
      <alignment readingOrder="0"/>
    </xf>
    <xf borderId="0" fillId="5" fontId="4" numFmtId="4" xfId="0" applyAlignment="1" applyFill="1" applyFont="1" applyNumberFormat="1">
      <alignment readingOrder="0"/>
    </xf>
    <xf borderId="0" fillId="0" fontId="4" numFmtId="164" xfId="0" applyFont="1" applyNumberFormat="1"/>
    <xf borderId="1" fillId="3" fontId="1" numFmtId="0" xfId="0" applyAlignment="1" applyBorder="1" applyFill="1" applyFont="1">
      <alignment horizontal="center" readingOrder="0" vertical="center"/>
    </xf>
    <xf borderId="1" fillId="3" fontId="1" numFmtId="10" xfId="0" applyAlignment="1" applyBorder="1" applyFill="1" applyFont="1" applyNumberFormat="1">
      <alignment horizontal="center" readingOrder="0" vertical="center"/>
    </xf>
    <xf borderId="1" fillId="3" fontId="1" numFmtId="166" xfId="0" applyAlignment="1" applyBorder="1" applyFill="1" applyFont="1" applyNumberFormat="1">
      <alignment horizontal="center" readingOrder="0" vertical="center"/>
    </xf>
    <xf borderId="1" fillId="3" fontId="1" numFmtId="167" xfId="0" applyAlignment="1" applyBorder="1" applyFill="1" applyFont="1" applyNumberForma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/>
    </xf>
    <xf borderId="0" fillId="6" fontId="8" numFmtId="0" xfId="0" applyAlignment="1" applyFill="1" applyFont="1">
      <alignment horizontal="left"/>
    </xf>
    <xf borderId="0" fillId="7" fontId="9" numFmtId="0" xfId="0" applyAlignment="1" applyFill="1" applyFont="1">
      <alignment horizontal="left" readingOrder="0" shrinkToFit="0" vertical="center" wrapText="0"/>
    </xf>
    <xf borderId="0" fillId="7" fontId="9" numFmtId="0" xfId="0" applyAlignment="1" applyFill="1" applyFont="1">
      <alignment horizontal="left" readingOrder="0" shrinkToFit="0" vertical="center" wrapText="0"/>
    </xf>
    <xf borderId="1" fillId="0" fontId="4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0" xfId="0" applyFont="1" applyNumberFormat="1"/>
    <xf borderId="10" fillId="2" fontId="11" numFmtId="0" xfId="0" applyAlignment="1" applyBorder="1" applyFill="1" applyFont="1">
      <alignment horizontal="center" vertical="top"/>
    </xf>
    <xf borderId="11" fillId="0" fontId="7" numFmtId="0" xfId="0" applyBorder="1" applyFont="1"/>
    <xf borderId="12" fillId="0" fontId="7" numFmtId="0" xfId="0" applyBorder="1" applyFont="1"/>
    <xf borderId="13" fillId="8" fontId="12" numFmtId="0" xfId="0" applyAlignment="1" applyBorder="1" applyFill="1" applyFont="1">
      <alignment horizontal="center" vertical="center"/>
    </xf>
    <xf borderId="10" fillId="9" fontId="13" numFmtId="0" xfId="0" applyAlignment="1" applyBorder="1" applyFill="1" applyFont="1">
      <alignment horizontal="center" vertical="center"/>
    </xf>
    <xf borderId="10" fillId="10" fontId="13" numFmtId="0" xfId="0" applyAlignment="1" applyBorder="1" applyFill="1" applyFont="1">
      <alignment horizontal="center" readingOrder="0" shrinkToFit="0" vertical="center" wrapText="1"/>
    </xf>
    <xf borderId="1" fillId="9" fontId="13" numFmtId="0" xfId="0" applyAlignment="1" applyBorder="1" applyFill="1" applyFont="1">
      <alignment horizontal="center" vertical="center"/>
    </xf>
    <xf borderId="1" fillId="9" fontId="13" numFmtId="168" xfId="0" applyAlignment="1" applyBorder="1" applyFill="1" applyFont="1" applyNumberFormat="1">
      <alignment horizontal="center" vertical="center"/>
    </xf>
    <xf borderId="1" fillId="9" fontId="13" numFmtId="0" xfId="0" applyAlignment="1" applyBorder="1" applyFill="1" applyFont="1">
      <alignment horizontal="center" shrinkToFit="0" vertical="center" wrapText="1"/>
    </xf>
    <xf borderId="1" fillId="9" fontId="13" numFmtId="168" xfId="0" applyAlignment="1" applyBorder="1" applyFill="1" applyFont="1" applyNumberFormat="1">
      <alignment horizontal="center" shrinkToFit="0" vertical="center" wrapText="1"/>
    </xf>
    <xf borderId="1" fillId="10" fontId="13" numFmtId="1" xfId="0" applyAlignment="1" applyBorder="1" applyFill="1" applyFont="1" applyNumberFormat="1">
      <alignment horizontal="center" readingOrder="0" shrinkToFit="0" vertical="center" wrapText="1"/>
    </xf>
    <xf borderId="1" fillId="10" fontId="13" numFmtId="169" xfId="0" applyAlignment="1" applyBorder="1" applyFill="1" applyFont="1" applyNumberFormat="1">
      <alignment horizontal="center" vertical="center"/>
    </xf>
    <xf borderId="1" fillId="10" fontId="13" numFmtId="169" xfId="0" applyAlignment="1" applyBorder="1" applyFill="1" applyFont="1" applyNumberFormat="1">
      <alignment horizontal="center" shrinkToFit="0" vertical="center" wrapText="1"/>
    </xf>
    <xf borderId="1" fillId="10" fontId="14" numFmtId="0" xfId="0" applyAlignment="1" applyBorder="1" applyFill="1" applyFont="1">
      <alignment horizontal="center" readingOrder="0" shrinkToFit="0" vertical="center" wrapText="1"/>
    </xf>
    <xf borderId="1" fillId="10" fontId="14" numFmtId="0" xfId="0" applyAlignment="1" applyBorder="1" applyFill="1" applyFont="1">
      <alignment horizontal="center" vertical="center"/>
    </xf>
    <xf borderId="14" fillId="8" fontId="12" numFmtId="0" xfId="0" applyAlignment="1" applyBorder="1" applyFill="1" applyFont="1">
      <alignment horizontal="center" vertical="center"/>
    </xf>
    <xf borderId="1" fillId="8" fontId="15" numFmtId="0" xfId="0" applyAlignment="1" applyBorder="1" applyFill="1" applyFont="1">
      <alignment horizontal="center" vertical="center"/>
    </xf>
    <xf borderId="1" fillId="11" fontId="15" numFmtId="170" xfId="0" applyAlignment="1" applyBorder="1" applyFill="1" applyFont="1" applyNumberFormat="1">
      <alignment horizontal="center" vertical="center"/>
    </xf>
    <xf borderId="1" fillId="8" fontId="15" numFmtId="168" xfId="0" applyAlignment="1" applyBorder="1" applyFill="1" applyFont="1" applyNumberFormat="1">
      <alignment horizontal="center" readingOrder="0" vertical="center"/>
    </xf>
    <xf borderId="1" fillId="8" fontId="15" numFmtId="9" xfId="0" applyAlignment="1" applyBorder="1" applyFill="1" applyFont="1" applyNumberFormat="1">
      <alignment horizontal="center" vertical="center"/>
    </xf>
    <xf borderId="1" fillId="8" fontId="15" numFmtId="168" xfId="0" applyAlignment="1" applyBorder="1" applyFill="1" applyFont="1" applyNumberFormat="1">
      <alignment horizontal="center" vertical="center"/>
    </xf>
    <xf borderId="1" fillId="8" fontId="15" numFmtId="171" xfId="0" applyAlignment="1" applyBorder="1" applyFill="1" applyFont="1" applyNumberFormat="1">
      <alignment horizontal="center" readingOrder="0" vertical="center"/>
    </xf>
    <xf borderId="1" fillId="3" fontId="15" numFmtId="169" xfId="0" applyAlignment="1" applyBorder="1" applyFill="1" applyFont="1" applyNumberFormat="1">
      <alignment horizontal="center" readingOrder="0" vertical="center"/>
    </xf>
    <xf borderId="1" fillId="8" fontId="15" numFmtId="169" xfId="0" applyAlignment="1" applyBorder="1" applyFill="1" applyFont="1" applyNumberFormat="1">
      <alignment horizontal="center" vertical="center"/>
    </xf>
    <xf borderId="1" fillId="0" fontId="15" numFmtId="171" xfId="0" applyAlignment="1" applyBorder="1" applyFont="1" applyNumberFormat="1">
      <alignment horizontal="center" readingOrder="0" vertical="center"/>
    </xf>
    <xf borderId="1" fillId="0" fontId="15" numFmtId="169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1" fillId="8" fontId="15" numFmtId="171" xfId="0" applyAlignment="1" applyBorder="1" applyFill="1" applyFont="1" applyNumberFormat="1">
      <alignment horizontal="center" vertical="center"/>
    </xf>
    <xf borderId="1" fillId="0" fontId="15" numFmtId="168" xfId="0" applyAlignment="1" applyBorder="1" applyFont="1" applyNumberFormat="1">
      <alignment horizontal="center" vertical="center"/>
    </xf>
    <xf borderId="1" fillId="3" fontId="15" numFmtId="169" xfId="0" applyAlignment="1" applyBorder="1" applyFill="1" applyFont="1" applyNumberFormat="1">
      <alignment horizontal="center" vertical="center"/>
    </xf>
    <xf borderId="1" fillId="12" fontId="16" numFmtId="0" xfId="0" applyAlignment="1" applyBorder="1" applyFill="1" applyFont="1">
      <alignment horizontal="center" vertical="center"/>
    </xf>
    <xf borderId="1" fillId="12" fontId="16" numFmtId="169" xfId="0" applyAlignment="1" applyBorder="1" applyFill="1" applyFont="1" applyNumberFormat="1">
      <alignment horizontal="center" vertical="center"/>
    </xf>
    <xf borderId="0" fillId="0" fontId="17" numFmtId="0" xfId="0" applyFont="1"/>
    <xf borderId="1" fillId="0" fontId="18" numFmtId="0" xfId="0" applyBorder="1" applyFont="1"/>
    <xf borderId="1" fillId="0" fontId="18" numFmtId="172" xfId="0" applyAlignment="1" applyBorder="1" applyFont="1" applyNumberFormat="1">
      <alignment readingOrder="0"/>
    </xf>
    <xf borderId="1" fillId="0" fontId="18" numFmtId="0" xfId="0" applyAlignment="1" applyBorder="1" applyFont="1">
      <alignment readingOrder="0"/>
    </xf>
    <xf borderId="1" fillId="0" fontId="18" numFmtId="169" xfId="0" applyBorder="1" applyFont="1" applyNumberFormat="1"/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14"/>
    <col customWidth="1" min="2" max="2" width="13.57"/>
    <col customWidth="1" min="3" max="6" width="12.57"/>
    <col customWidth="1" min="7" max="7" width="12.0"/>
    <col customWidth="1" min="8" max="8" width="12.57"/>
    <col customWidth="1" min="9" max="9" width="6.43"/>
    <col customWidth="1" min="10" max="10" width="6.86"/>
    <col customWidth="1" min="11" max="11" width="9.14"/>
    <col customWidth="1" min="12" max="12" width="9.29"/>
    <col customWidth="1" min="13" max="13" width="10.71"/>
    <col customWidth="1" min="14" max="14" width="17.43"/>
    <col customWidth="1" min="19" max="19" width="18.71"/>
    <col hidden="1" min="20" max="20" width="14.43"/>
    <col customWidth="1" hidden="1" min="21" max="21" width="24.71"/>
  </cols>
  <sheetData>
    <row r="1">
      <c r="A1" s="1" t="s">
        <v>0</v>
      </c>
      <c r="B1" s="2" t="str">
        <f>IFERROR(__xludf.DUMMYFUNCTION("query(GOOGLEFINANCE(CONCATENATE(A5,A2),""ALL"", today()-90, TODAY(), ""DAILY""),""select * order by Col1 desc"",1)"),"Loading...")</f>
        <v>Loading...</v>
      </c>
      <c r="C1" s="3"/>
      <c r="D1" s="3"/>
      <c r="E1" s="3"/>
      <c r="F1" s="3"/>
      <c r="G1" s="3"/>
      <c r="H1" s="1" t="s">
        <v>1</v>
      </c>
      <c r="I1" s="4" t="s">
        <v>2</v>
      </c>
      <c r="J1" s="4" t="s">
        <v>3</v>
      </c>
      <c r="K1" s="4" t="s">
        <v>4</v>
      </c>
      <c r="L1" s="4" t="s">
        <v>5</v>
      </c>
      <c r="M1" s="5" t="s">
        <v>6</v>
      </c>
      <c r="N1" s="6"/>
      <c r="O1" s="6"/>
      <c r="P1" s="6"/>
      <c r="Q1" s="7"/>
      <c r="R1" s="6"/>
      <c r="S1" s="6"/>
      <c r="T1" s="8"/>
      <c r="U1" s="9" t="str">
        <f t="shared" ref="U1:U2031" si="1">"NSE:"&amp;T1</f>
        <v>NSE:</v>
      </c>
      <c r="V1" s="6"/>
      <c r="W1" s="6"/>
      <c r="X1" s="6"/>
    </row>
    <row r="2">
      <c r="A2" s="10" t="s">
        <v>7</v>
      </c>
      <c r="B2" s="11"/>
      <c r="C2" s="12"/>
      <c r="D2" s="12"/>
      <c r="E2" s="12"/>
      <c r="F2" s="12"/>
      <c r="G2" s="12"/>
      <c r="H2" s="12" t="str">
        <f t="shared" ref="H2:H63" si="2">F3</f>
        <v/>
      </c>
      <c r="I2" s="12">
        <f t="shared" ref="I2:I63" si="3">C2-E2</f>
        <v>0</v>
      </c>
      <c r="J2" s="12">
        <f t="shared" ref="J2:J63" si="4">D2-C2</f>
        <v>0</v>
      </c>
      <c r="K2" s="12">
        <f t="shared" ref="K2:K63" si="5">C2-H2</f>
        <v>0</v>
      </c>
      <c r="L2" s="12">
        <f t="shared" ref="L2:L63" si="6">F2-C2</f>
        <v>0</v>
      </c>
      <c r="M2" s="13" t="str">
        <f t="shared" ref="M2:M63" si="7">if(C2="","",(L2/C2))</f>
        <v/>
      </c>
      <c r="N2" s="14" t="str">
        <f>IFERROR(__xludf.DUMMYFUNCTION("if(A2="""","""",sparkline(index(GOOGLEFINANCE(CONCATENATE(""NSE:"",A2),""price"",workday(TODAY(),-60),today()),,2),{""charttype"",""column"";""color"",""green""}))"),"Loading...")</f>
        <v>Loading...</v>
      </c>
      <c r="O2" s="15"/>
      <c r="P2" s="16"/>
      <c r="Q2" s="17" t="s">
        <v>8</v>
      </c>
      <c r="R2" s="18"/>
      <c r="S2" s="18"/>
      <c r="T2" s="19" t="s">
        <v>9</v>
      </c>
      <c r="U2" s="9" t="str">
        <f t="shared" si="1"/>
        <v>NSE:Zomato</v>
      </c>
      <c r="V2" s="18"/>
      <c r="W2" s="18"/>
      <c r="X2" s="18"/>
    </row>
    <row r="3">
      <c r="A3" s="20"/>
      <c r="B3" s="11"/>
      <c r="C3" s="12"/>
      <c r="D3" s="12"/>
      <c r="E3" s="12"/>
      <c r="F3" s="12"/>
      <c r="G3" s="12"/>
      <c r="H3" s="12" t="str">
        <f t="shared" si="2"/>
        <v/>
      </c>
      <c r="I3" s="12">
        <f t="shared" si="3"/>
        <v>0</v>
      </c>
      <c r="J3" s="12">
        <f t="shared" si="4"/>
        <v>0</v>
      </c>
      <c r="K3" s="12">
        <f t="shared" si="5"/>
        <v>0</v>
      </c>
      <c r="L3" s="12">
        <f t="shared" si="6"/>
        <v>0</v>
      </c>
      <c r="M3" s="13" t="str">
        <f t="shared" si="7"/>
        <v/>
      </c>
      <c r="N3" s="21"/>
      <c r="P3" s="22"/>
      <c r="Q3" s="23">
        <f>AVERAGE(I:I)</f>
        <v>0</v>
      </c>
      <c r="R3" s="18"/>
      <c r="S3" s="18"/>
      <c r="T3" s="19" t="s">
        <v>7</v>
      </c>
      <c r="U3" s="9" t="str">
        <f t="shared" si="1"/>
        <v>NSE:RELIANCE</v>
      </c>
      <c r="V3" s="18"/>
      <c r="W3" s="18"/>
      <c r="X3" s="18"/>
    </row>
    <row r="4">
      <c r="A4" s="24" t="s">
        <v>10</v>
      </c>
      <c r="B4" s="11"/>
      <c r="C4" s="12"/>
      <c r="D4" s="12"/>
      <c r="E4" s="12"/>
      <c r="F4" s="12"/>
      <c r="G4" s="12"/>
      <c r="H4" s="12" t="str">
        <f t="shared" si="2"/>
        <v/>
      </c>
      <c r="I4" s="12">
        <f t="shared" si="3"/>
        <v>0</v>
      </c>
      <c r="J4" s="12">
        <f t="shared" si="4"/>
        <v>0</v>
      </c>
      <c r="K4" s="12">
        <f t="shared" si="5"/>
        <v>0</v>
      </c>
      <c r="L4" s="12">
        <f t="shared" si="6"/>
        <v>0</v>
      </c>
      <c r="M4" s="13" t="str">
        <f t="shared" si="7"/>
        <v/>
      </c>
      <c r="N4" s="21"/>
      <c r="P4" s="22"/>
      <c r="Q4" s="17" t="s">
        <v>11</v>
      </c>
      <c r="R4" s="18"/>
      <c r="S4" s="18"/>
      <c r="T4" s="19" t="s">
        <v>12</v>
      </c>
      <c r="U4" s="9" t="str">
        <f t="shared" si="1"/>
        <v>NSE:BEL</v>
      </c>
      <c r="V4" s="18"/>
      <c r="W4" s="18"/>
      <c r="X4" s="18"/>
    </row>
    <row r="5">
      <c r="A5" s="25" t="s">
        <v>13</v>
      </c>
      <c r="B5" s="11"/>
      <c r="C5" s="12"/>
      <c r="D5" s="12"/>
      <c r="E5" s="12"/>
      <c r="F5" s="12"/>
      <c r="G5" s="12"/>
      <c r="H5" s="12" t="str">
        <f t="shared" si="2"/>
        <v/>
      </c>
      <c r="I5" s="12">
        <f t="shared" si="3"/>
        <v>0</v>
      </c>
      <c r="J5" s="12">
        <f t="shared" si="4"/>
        <v>0</v>
      </c>
      <c r="K5" s="12">
        <f t="shared" si="5"/>
        <v>0</v>
      </c>
      <c r="L5" s="12">
        <f t="shared" si="6"/>
        <v>0</v>
      </c>
      <c r="M5" s="13" t="str">
        <f t="shared" si="7"/>
        <v/>
      </c>
      <c r="N5" s="21"/>
      <c r="P5" s="22"/>
      <c r="Q5" s="23">
        <f>AVERAGE(J:J)</f>
        <v>0</v>
      </c>
      <c r="R5" s="18"/>
      <c r="S5" s="18"/>
      <c r="T5" s="19" t="s">
        <v>14</v>
      </c>
      <c r="U5" s="9" t="str">
        <f t="shared" si="1"/>
        <v>NSE:ADANIGREEN</v>
      </c>
      <c r="V5" s="18"/>
      <c r="W5" s="18"/>
      <c r="X5" s="18"/>
    </row>
    <row r="6">
      <c r="A6" s="20"/>
      <c r="B6" s="11"/>
      <c r="C6" s="12"/>
      <c r="D6" s="12"/>
      <c r="E6" s="12"/>
      <c r="F6" s="12"/>
      <c r="G6" s="12"/>
      <c r="H6" s="12" t="str">
        <f t="shared" si="2"/>
        <v/>
      </c>
      <c r="I6" s="12">
        <f t="shared" si="3"/>
        <v>0</v>
      </c>
      <c r="J6" s="12">
        <f t="shared" si="4"/>
        <v>0</v>
      </c>
      <c r="K6" s="12">
        <f t="shared" si="5"/>
        <v>0</v>
      </c>
      <c r="L6" s="12">
        <f t="shared" si="6"/>
        <v>0</v>
      </c>
      <c r="M6" s="13" t="str">
        <f t="shared" si="7"/>
        <v/>
      </c>
      <c r="N6" s="21"/>
      <c r="P6" s="22"/>
      <c r="Q6" s="17" t="s">
        <v>15</v>
      </c>
      <c r="R6" s="18"/>
      <c r="S6" s="18"/>
      <c r="T6" s="19" t="s">
        <v>16</v>
      </c>
      <c r="U6" s="9" t="str">
        <f t="shared" si="1"/>
        <v>NSE:BAJFINANCE</v>
      </c>
      <c r="V6" s="18"/>
      <c r="W6" s="18"/>
      <c r="X6" s="18"/>
    </row>
    <row r="7">
      <c r="A7" s="26" t="s">
        <v>17</v>
      </c>
      <c r="B7" s="11"/>
      <c r="C7" s="12"/>
      <c r="D7" s="12"/>
      <c r="E7" s="12"/>
      <c r="F7" s="12"/>
      <c r="G7" s="12"/>
      <c r="H7" s="12" t="str">
        <f t="shared" si="2"/>
        <v/>
      </c>
      <c r="I7" s="12">
        <f t="shared" si="3"/>
        <v>0</v>
      </c>
      <c r="J7" s="12">
        <f t="shared" si="4"/>
        <v>0</v>
      </c>
      <c r="K7" s="12">
        <f t="shared" si="5"/>
        <v>0</v>
      </c>
      <c r="L7" s="12">
        <f t="shared" si="6"/>
        <v>0</v>
      </c>
      <c r="M7" s="13" t="str">
        <f t="shared" si="7"/>
        <v/>
      </c>
      <c r="N7" s="27"/>
      <c r="O7" s="28"/>
      <c r="P7" s="29"/>
      <c r="Q7" s="23">
        <f>AVERAGE(L:L)</f>
        <v>0</v>
      </c>
      <c r="R7" s="18"/>
      <c r="S7" s="18"/>
      <c r="T7" s="19" t="s">
        <v>18</v>
      </c>
      <c r="U7" s="9" t="str">
        <f t="shared" si="1"/>
        <v>NSE:ICICIBANK</v>
      </c>
      <c r="V7" s="18"/>
      <c r="W7" s="18"/>
      <c r="X7" s="18"/>
    </row>
    <row r="8">
      <c r="A8" s="30">
        <f>max(I2:I63)</f>
        <v>0</v>
      </c>
      <c r="B8" s="11"/>
      <c r="C8" s="12"/>
      <c r="D8" s="12"/>
      <c r="E8" s="12"/>
      <c r="F8" s="12"/>
      <c r="G8" s="12"/>
      <c r="H8" s="12" t="str">
        <f t="shared" si="2"/>
        <v/>
      </c>
      <c r="I8" s="12">
        <f t="shared" si="3"/>
        <v>0</v>
      </c>
      <c r="J8" s="12">
        <f t="shared" si="4"/>
        <v>0</v>
      </c>
      <c r="K8" s="12">
        <f t="shared" si="5"/>
        <v>0</v>
      </c>
      <c r="L8" s="12">
        <f t="shared" si="6"/>
        <v>0</v>
      </c>
      <c r="M8" s="13" t="str">
        <f t="shared" si="7"/>
        <v/>
      </c>
      <c r="N8" s="31" t="s">
        <v>19</v>
      </c>
      <c r="Q8" s="17" t="s">
        <v>20</v>
      </c>
      <c r="R8" s="18"/>
      <c r="S8" s="18"/>
      <c r="T8" s="19" t="s">
        <v>21</v>
      </c>
      <c r="U8" s="9" t="str">
        <f t="shared" si="1"/>
        <v>NSE:KOTAKBANK</v>
      </c>
      <c r="V8" s="18"/>
      <c r="W8" s="18"/>
      <c r="X8" s="18"/>
    </row>
    <row r="9">
      <c r="A9" s="32" t="s">
        <v>22</v>
      </c>
      <c r="B9" s="11"/>
      <c r="C9" s="12"/>
      <c r="D9" s="12"/>
      <c r="E9" s="12"/>
      <c r="F9" s="12"/>
      <c r="G9" s="12"/>
      <c r="H9" s="12" t="str">
        <f t="shared" si="2"/>
        <v/>
      </c>
      <c r="I9" s="12">
        <f t="shared" si="3"/>
        <v>0</v>
      </c>
      <c r="J9" s="12">
        <f t="shared" si="4"/>
        <v>0</v>
      </c>
      <c r="K9" s="12">
        <f t="shared" si="5"/>
        <v>0</v>
      </c>
      <c r="L9" s="12">
        <f t="shared" si="6"/>
        <v>0</v>
      </c>
      <c r="M9" s="13" t="str">
        <f t="shared" si="7"/>
        <v/>
      </c>
      <c r="N9" s="18"/>
      <c r="O9" s="18"/>
      <c r="P9" s="18"/>
      <c r="Q9" s="33" t="str">
        <f>AVERAGE(M:M)</f>
        <v>#DIV/0!</v>
      </c>
      <c r="R9" s="18"/>
      <c r="S9" s="18"/>
      <c r="T9" s="19" t="s">
        <v>23</v>
      </c>
      <c r="U9" s="9" t="str">
        <f t="shared" si="1"/>
        <v>NSE:TATAMOTORS</v>
      </c>
      <c r="V9" s="18"/>
      <c r="W9" s="18"/>
      <c r="X9" s="18"/>
    </row>
    <row r="10">
      <c r="A10" s="30">
        <f>MIN(L4:L65)</f>
        <v>0</v>
      </c>
      <c r="B10" s="11"/>
      <c r="C10" s="12"/>
      <c r="D10" s="12"/>
      <c r="E10" s="12"/>
      <c r="F10" s="12"/>
      <c r="G10" s="12"/>
      <c r="H10" s="12" t="str">
        <f t="shared" si="2"/>
        <v/>
      </c>
      <c r="I10" s="12">
        <f t="shared" si="3"/>
        <v>0</v>
      </c>
      <c r="J10" s="12">
        <f t="shared" si="4"/>
        <v>0</v>
      </c>
      <c r="K10" s="12">
        <f t="shared" si="5"/>
        <v>0</v>
      </c>
      <c r="L10" s="12">
        <f t="shared" si="6"/>
        <v>0</v>
      </c>
      <c r="M10" s="13" t="str">
        <f t="shared" si="7"/>
        <v/>
      </c>
      <c r="N10" s="18" t="str">
        <f>IFERROR(__xludf.DUMMYFUNCTION("if(A2="""","""",sparkline(index(GOOGLEFINANCE(CONCATENATE(""NSE:"",A2),""price"",workday(TODAY(),-10),today()),,2),{""charttype"",""column"";""color"",""green""}))"),"Loading...")</f>
        <v>Loading...</v>
      </c>
      <c r="Q10" s="34"/>
      <c r="R10" s="18"/>
      <c r="S10" s="18"/>
      <c r="T10" s="19" t="s">
        <v>24</v>
      </c>
      <c r="U10" s="9" t="str">
        <f t="shared" si="1"/>
        <v>NSE:DMART</v>
      </c>
      <c r="V10" s="18"/>
      <c r="W10" s="18"/>
      <c r="X10" s="18"/>
    </row>
    <row r="11">
      <c r="A11" s="32" t="s">
        <v>25</v>
      </c>
      <c r="B11" s="11"/>
      <c r="C11" s="12"/>
      <c r="D11" s="12"/>
      <c r="E11" s="12"/>
      <c r="F11" s="12"/>
      <c r="G11" s="12"/>
      <c r="H11" s="12" t="str">
        <f t="shared" si="2"/>
        <v/>
      </c>
      <c r="I11" s="12">
        <f t="shared" si="3"/>
        <v>0</v>
      </c>
      <c r="J11" s="12">
        <f t="shared" si="4"/>
        <v>0</v>
      </c>
      <c r="K11" s="12">
        <f t="shared" si="5"/>
        <v>0</v>
      </c>
      <c r="L11" s="12">
        <f t="shared" si="6"/>
        <v>0</v>
      </c>
      <c r="M11" s="13" t="str">
        <f t="shared" si="7"/>
        <v/>
      </c>
      <c r="Q11" s="34"/>
      <c r="R11" s="18"/>
      <c r="S11" s="18"/>
      <c r="T11" s="19" t="s">
        <v>26</v>
      </c>
      <c r="U11" s="9" t="str">
        <f t="shared" si="1"/>
        <v>NSE:POLICYBZR</v>
      </c>
      <c r="V11" s="18"/>
      <c r="W11" s="18"/>
      <c r="X11" s="18"/>
    </row>
    <row r="12">
      <c r="A12" s="35">
        <f>min(M2:M63)</f>
        <v>0</v>
      </c>
      <c r="B12" s="11"/>
      <c r="C12" s="12"/>
      <c r="D12" s="12"/>
      <c r="E12" s="12"/>
      <c r="F12" s="12"/>
      <c r="G12" s="12"/>
      <c r="H12" s="12" t="str">
        <f t="shared" si="2"/>
        <v/>
      </c>
      <c r="I12" s="12">
        <f t="shared" si="3"/>
        <v>0</v>
      </c>
      <c r="J12" s="12">
        <f t="shared" si="4"/>
        <v>0</v>
      </c>
      <c r="K12" s="12">
        <f t="shared" si="5"/>
        <v>0</v>
      </c>
      <c r="L12" s="12">
        <f t="shared" si="6"/>
        <v>0</v>
      </c>
      <c r="M12" s="13" t="str">
        <f t="shared" si="7"/>
        <v/>
      </c>
      <c r="Q12" s="34"/>
      <c r="R12" s="18"/>
      <c r="S12" s="18"/>
      <c r="T12" s="19" t="s">
        <v>27</v>
      </c>
      <c r="U12" s="9" t="str">
        <f t="shared" si="1"/>
        <v>NSE:TATASTEEL</v>
      </c>
      <c r="V12" s="18"/>
      <c r="W12" s="18"/>
      <c r="X12" s="18"/>
    </row>
    <row r="13">
      <c r="A13" s="36" t="s">
        <v>28</v>
      </c>
      <c r="B13" s="11"/>
      <c r="C13" s="12"/>
      <c r="D13" s="12"/>
      <c r="E13" s="12"/>
      <c r="F13" s="12"/>
      <c r="G13" s="12"/>
      <c r="H13" s="12" t="str">
        <f t="shared" si="2"/>
        <v/>
      </c>
      <c r="I13" s="12">
        <f t="shared" si="3"/>
        <v>0</v>
      </c>
      <c r="J13" s="12">
        <f t="shared" si="4"/>
        <v>0</v>
      </c>
      <c r="K13" s="12">
        <f t="shared" si="5"/>
        <v>0</v>
      </c>
      <c r="L13" s="12">
        <f t="shared" si="6"/>
        <v>0</v>
      </c>
      <c r="M13" s="13" t="str">
        <f t="shared" si="7"/>
        <v/>
      </c>
      <c r="Q13" s="34"/>
      <c r="R13" s="18"/>
      <c r="S13" s="18"/>
      <c r="T13" s="19" t="s">
        <v>29</v>
      </c>
      <c r="U13" s="9" t="str">
        <f t="shared" si="1"/>
        <v>NSE:MAZDOCK</v>
      </c>
      <c r="V13" s="18"/>
      <c r="W13" s="18"/>
      <c r="X13" s="18"/>
    </row>
    <row r="14">
      <c r="A14" s="30">
        <f>max(J2:J63)</f>
        <v>0</v>
      </c>
      <c r="B14" s="11"/>
      <c r="C14" s="12"/>
      <c r="D14" s="12"/>
      <c r="E14" s="12"/>
      <c r="F14" s="12"/>
      <c r="G14" s="12"/>
      <c r="H14" s="12" t="str">
        <f t="shared" si="2"/>
        <v/>
      </c>
      <c r="I14" s="12">
        <f t="shared" si="3"/>
        <v>0</v>
      </c>
      <c r="J14" s="12">
        <f t="shared" si="4"/>
        <v>0</v>
      </c>
      <c r="K14" s="12">
        <f t="shared" si="5"/>
        <v>0</v>
      </c>
      <c r="L14" s="12">
        <f t="shared" si="6"/>
        <v>0</v>
      </c>
      <c r="M14" s="13" t="str">
        <f t="shared" si="7"/>
        <v/>
      </c>
      <c r="Q14" s="34"/>
      <c r="R14" s="18"/>
      <c r="S14" s="18"/>
      <c r="T14" s="19" t="s">
        <v>30</v>
      </c>
      <c r="U14" s="9" t="str">
        <f t="shared" si="1"/>
        <v>NSE:M&amp;M</v>
      </c>
      <c r="V14" s="18"/>
      <c r="W14" s="18"/>
      <c r="X14" s="18"/>
    </row>
    <row r="15">
      <c r="A15" s="37" t="s">
        <v>31</v>
      </c>
      <c r="B15" s="11"/>
      <c r="C15" s="12"/>
      <c r="D15" s="12"/>
      <c r="E15" s="12"/>
      <c r="F15" s="12"/>
      <c r="G15" s="12"/>
      <c r="H15" s="12" t="str">
        <f t="shared" si="2"/>
        <v/>
      </c>
      <c r="I15" s="12">
        <f t="shared" si="3"/>
        <v>0</v>
      </c>
      <c r="J15" s="12">
        <f t="shared" si="4"/>
        <v>0</v>
      </c>
      <c r="K15" s="12">
        <f t="shared" si="5"/>
        <v>0</v>
      </c>
      <c r="L15" s="12">
        <f t="shared" si="6"/>
        <v>0</v>
      </c>
      <c r="M15" s="13" t="str">
        <f t="shared" si="7"/>
        <v/>
      </c>
      <c r="N15" s="31" t="s">
        <v>32</v>
      </c>
      <c r="Q15" s="34"/>
      <c r="R15" s="18"/>
      <c r="S15" s="18"/>
      <c r="T15" s="19" t="s">
        <v>33</v>
      </c>
      <c r="U15" s="9" t="str">
        <f t="shared" si="1"/>
        <v>NSE:TCS</v>
      </c>
      <c r="V15" s="18"/>
      <c r="W15" s="18"/>
      <c r="X15" s="18"/>
    </row>
    <row r="16">
      <c r="A16" s="30">
        <f>max(L2:L63)</f>
        <v>0</v>
      </c>
      <c r="B16" s="11"/>
      <c r="C16" s="12"/>
      <c r="D16" s="12"/>
      <c r="E16" s="12"/>
      <c r="F16" s="12"/>
      <c r="G16" s="12"/>
      <c r="H16" s="12" t="str">
        <f t="shared" si="2"/>
        <v/>
      </c>
      <c r="I16" s="12">
        <f t="shared" si="3"/>
        <v>0</v>
      </c>
      <c r="J16" s="12">
        <f t="shared" si="4"/>
        <v>0</v>
      </c>
      <c r="K16" s="12">
        <f t="shared" si="5"/>
        <v>0</v>
      </c>
      <c r="L16" s="12">
        <f t="shared" si="6"/>
        <v>0</v>
      </c>
      <c r="M16" s="13" t="str">
        <f t="shared" si="7"/>
        <v/>
      </c>
      <c r="N16" s="18" t="str">
        <f>IFERROR(__xludf.DUMMYFUNCTION("if(A2="""","""",sparkline(index(GOOGLEFINANCE(CONCATENATE(""NSE:"",A2),""volume"",workday(TODAY(),-60),today()),,2),{""charttype"",""column"";""color"",""green""}))"),"Loading...")</f>
        <v>Loading...</v>
      </c>
      <c r="Q16" s="34"/>
      <c r="R16" s="18"/>
      <c r="S16" s="18"/>
      <c r="T16" s="19" t="s">
        <v>34</v>
      </c>
      <c r="U16" s="9" t="str">
        <f t="shared" si="1"/>
        <v>NSE:JIOFIN</v>
      </c>
      <c r="V16" s="18"/>
      <c r="W16" s="18"/>
      <c r="X16" s="18"/>
    </row>
    <row r="17">
      <c r="A17" s="37" t="s">
        <v>35</v>
      </c>
      <c r="B17" s="11"/>
      <c r="C17" s="12"/>
      <c r="D17" s="12"/>
      <c r="E17" s="12"/>
      <c r="F17" s="12"/>
      <c r="G17" s="12"/>
      <c r="H17" s="12" t="str">
        <f t="shared" si="2"/>
        <v/>
      </c>
      <c r="I17" s="12">
        <f t="shared" si="3"/>
        <v>0</v>
      </c>
      <c r="J17" s="12">
        <f t="shared" si="4"/>
        <v>0</v>
      </c>
      <c r="K17" s="12">
        <f t="shared" si="5"/>
        <v>0</v>
      </c>
      <c r="L17" s="12">
        <f t="shared" si="6"/>
        <v>0</v>
      </c>
      <c r="M17" s="13" t="str">
        <f t="shared" si="7"/>
        <v/>
      </c>
      <c r="Q17" s="34"/>
      <c r="R17" s="18"/>
      <c r="S17" s="18"/>
      <c r="T17" s="19" t="s">
        <v>36</v>
      </c>
      <c r="U17" s="9" t="str">
        <f t="shared" si="1"/>
        <v>NSE:KRN</v>
      </c>
      <c r="V17" s="18"/>
      <c r="W17" s="18"/>
      <c r="X17" s="18"/>
    </row>
    <row r="18">
      <c r="A18" s="35">
        <f>max(M2:M63)</f>
        <v>0</v>
      </c>
      <c r="B18" s="11"/>
      <c r="C18" s="12"/>
      <c r="D18" s="12"/>
      <c r="E18" s="12"/>
      <c r="F18" s="12"/>
      <c r="G18" s="12"/>
      <c r="H18" s="12" t="str">
        <f t="shared" si="2"/>
        <v/>
      </c>
      <c r="I18" s="12">
        <f t="shared" si="3"/>
        <v>0</v>
      </c>
      <c r="J18" s="12">
        <f t="shared" si="4"/>
        <v>0</v>
      </c>
      <c r="K18" s="12">
        <f t="shared" si="5"/>
        <v>0</v>
      </c>
      <c r="L18" s="12">
        <f t="shared" si="6"/>
        <v>0</v>
      </c>
      <c r="M18" s="13" t="str">
        <f t="shared" si="7"/>
        <v/>
      </c>
      <c r="Q18" s="34"/>
      <c r="R18" s="18"/>
      <c r="S18" s="18"/>
      <c r="T18" s="19" t="s">
        <v>37</v>
      </c>
      <c r="U18" s="9" t="str">
        <f t="shared" si="1"/>
        <v>NSE:DIXON</v>
      </c>
      <c r="V18" s="18"/>
      <c r="W18" s="18"/>
      <c r="X18" s="18"/>
    </row>
    <row r="19">
      <c r="B19" s="11"/>
      <c r="C19" s="12"/>
      <c r="D19" s="12"/>
      <c r="E19" s="12"/>
      <c r="F19" s="12"/>
      <c r="G19" s="12"/>
      <c r="H19" s="12" t="str">
        <f t="shared" si="2"/>
        <v/>
      </c>
      <c r="I19" s="12">
        <f t="shared" si="3"/>
        <v>0</v>
      </c>
      <c r="J19" s="12">
        <f t="shared" si="4"/>
        <v>0</v>
      </c>
      <c r="K19" s="12">
        <f t="shared" si="5"/>
        <v>0</v>
      </c>
      <c r="L19" s="12">
        <f t="shared" si="6"/>
        <v>0</v>
      </c>
      <c r="M19" s="13" t="str">
        <f t="shared" si="7"/>
        <v/>
      </c>
      <c r="Q19" s="34"/>
      <c r="R19" s="18"/>
      <c r="S19" s="18"/>
      <c r="T19" s="19" t="s">
        <v>38</v>
      </c>
      <c r="U19" s="9" t="str">
        <f t="shared" si="1"/>
        <v>NSE:MRPL</v>
      </c>
      <c r="V19" s="18"/>
      <c r="W19" s="18"/>
      <c r="X19" s="18"/>
    </row>
    <row r="20">
      <c r="B20" s="11"/>
      <c r="C20" s="12"/>
      <c r="D20" s="12"/>
      <c r="E20" s="12"/>
      <c r="F20" s="12"/>
      <c r="G20" s="12"/>
      <c r="H20" s="12" t="str">
        <f t="shared" si="2"/>
        <v/>
      </c>
      <c r="I20" s="12">
        <f t="shared" si="3"/>
        <v>0</v>
      </c>
      <c r="J20" s="12">
        <f t="shared" si="4"/>
        <v>0</v>
      </c>
      <c r="K20" s="12">
        <f t="shared" si="5"/>
        <v>0</v>
      </c>
      <c r="L20" s="12">
        <f t="shared" si="6"/>
        <v>0</v>
      </c>
      <c r="M20" s="13" t="str">
        <f t="shared" si="7"/>
        <v/>
      </c>
      <c r="N20" s="31" t="s">
        <v>39</v>
      </c>
      <c r="Q20" s="34"/>
      <c r="R20" s="18"/>
      <c r="S20" s="18"/>
      <c r="T20" s="19" t="s">
        <v>40</v>
      </c>
      <c r="U20" s="9" t="str">
        <f t="shared" si="1"/>
        <v>NSE:LT</v>
      </c>
      <c r="V20" s="18"/>
      <c r="W20" s="18"/>
      <c r="X20" s="18"/>
    </row>
    <row r="21">
      <c r="A21" s="20"/>
      <c r="B21" s="11"/>
      <c r="C21" s="12"/>
      <c r="D21" s="12"/>
      <c r="E21" s="12"/>
      <c r="F21" s="12"/>
      <c r="G21" s="12"/>
      <c r="H21" s="12" t="str">
        <f t="shared" si="2"/>
        <v/>
      </c>
      <c r="I21" s="12">
        <f t="shared" si="3"/>
        <v>0</v>
      </c>
      <c r="J21" s="12">
        <f t="shared" si="4"/>
        <v>0</v>
      </c>
      <c r="K21" s="12">
        <f t="shared" si="5"/>
        <v>0</v>
      </c>
      <c r="L21" s="12">
        <f t="shared" si="6"/>
        <v>0</v>
      </c>
      <c r="M21" s="13" t="str">
        <f t="shared" si="7"/>
        <v/>
      </c>
      <c r="N21" s="18"/>
      <c r="O21" s="18"/>
      <c r="P21" s="18"/>
      <c r="Q21" s="34"/>
      <c r="R21" s="18"/>
      <c r="S21" s="18"/>
      <c r="T21" s="19" t="s">
        <v>41</v>
      </c>
      <c r="U21" s="9" t="str">
        <f t="shared" si="1"/>
        <v>NSE:TRENT</v>
      </c>
      <c r="V21" s="18"/>
      <c r="W21" s="18"/>
      <c r="X21" s="18"/>
    </row>
    <row r="22">
      <c r="A22" s="20"/>
      <c r="B22" s="11"/>
      <c r="C22" s="12"/>
      <c r="D22" s="12"/>
      <c r="E22" s="12"/>
      <c r="F22" s="12"/>
      <c r="G22" s="12"/>
      <c r="H22" s="12" t="str">
        <f t="shared" si="2"/>
        <v/>
      </c>
      <c r="I22" s="12">
        <f t="shared" si="3"/>
        <v>0</v>
      </c>
      <c r="J22" s="12">
        <f t="shared" si="4"/>
        <v>0</v>
      </c>
      <c r="K22" s="12">
        <f t="shared" si="5"/>
        <v>0</v>
      </c>
      <c r="L22" s="12">
        <f t="shared" si="6"/>
        <v>0</v>
      </c>
      <c r="M22" s="13" t="str">
        <f t="shared" si="7"/>
        <v/>
      </c>
      <c r="N22" s="18"/>
      <c r="O22" s="18"/>
      <c r="P22" s="18"/>
      <c r="Q22" s="34"/>
      <c r="R22" s="18"/>
      <c r="S22" s="18"/>
      <c r="T22" s="19" t="s">
        <v>42</v>
      </c>
      <c r="U22" s="9" t="str">
        <f t="shared" si="1"/>
        <v>NSE:SBIN</v>
      </c>
      <c r="V22" s="18"/>
      <c r="W22" s="18"/>
      <c r="X22" s="18"/>
    </row>
    <row r="23">
      <c r="A23" s="20"/>
      <c r="B23" s="11"/>
      <c r="C23" s="12"/>
      <c r="D23" s="12"/>
      <c r="E23" s="12"/>
      <c r="F23" s="12"/>
      <c r="G23" s="12"/>
      <c r="H23" s="12" t="str">
        <f t="shared" si="2"/>
        <v/>
      </c>
      <c r="I23" s="12">
        <f t="shared" si="3"/>
        <v>0</v>
      </c>
      <c r="J23" s="12">
        <f t="shared" si="4"/>
        <v>0</v>
      </c>
      <c r="K23" s="12">
        <f t="shared" si="5"/>
        <v>0</v>
      </c>
      <c r="L23" s="12">
        <f t="shared" si="6"/>
        <v>0</v>
      </c>
      <c r="M23" s="13" t="str">
        <f t="shared" si="7"/>
        <v/>
      </c>
      <c r="N23" s="18"/>
      <c r="O23" s="18"/>
      <c r="P23" s="18"/>
      <c r="Q23" s="34"/>
      <c r="R23" s="18"/>
      <c r="S23" s="18"/>
      <c r="T23" s="19" t="s">
        <v>43</v>
      </c>
      <c r="U23" s="9" t="str">
        <f t="shared" si="1"/>
        <v>NSE:HAL</v>
      </c>
      <c r="V23" s="18"/>
      <c r="W23" s="18"/>
      <c r="X23" s="18"/>
    </row>
    <row r="24">
      <c r="A24" s="20"/>
      <c r="B24" s="11"/>
      <c r="C24" s="12"/>
      <c r="D24" s="12"/>
      <c r="E24" s="12"/>
      <c r="F24" s="12"/>
      <c r="G24" s="12"/>
      <c r="H24" s="12" t="str">
        <f t="shared" si="2"/>
        <v/>
      </c>
      <c r="I24" s="12">
        <f t="shared" si="3"/>
        <v>0</v>
      </c>
      <c r="J24" s="12">
        <f t="shared" si="4"/>
        <v>0</v>
      </c>
      <c r="K24" s="12">
        <f t="shared" si="5"/>
        <v>0</v>
      </c>
      <c r="L24" s="12">
        <f t="shared" si="6"/>
        <v>0</v>
      </c>
      <c r="M24" s="13" t="str">
        <f t="shared" si="7"/>
        <v/>
      </c>
      <c r="N24" s="18"/>
      <c r="O24" s="18"/>
      <c r="P24" s="18"/>
      <c r="Q24" s="34"/>
      <c r="R24" s="18"/>
      <c r="S24" s="18"/>
      <c r="T24" s="19" t="s">
        <v>44</v>
      </c>
      <c r="U24" s="9" t="str">
        <f t="shared" si="1"/>
        <v>NSE:KALYANKJIL</v>
      </c>
      <c r="V24" s="18"/>
      <c r="W24" s="18"/>
      <c r="X24" s="18"/>
    </row>
    <row r="25">
      <c r="A25" s="20"/>
      <c r="B25" s="11"/>
      <c r="C25" s="12"/>
      <c r="D25" s="12"/>
      <c r="E25" s="12"/>
      <c r="F25" s="12"/>
      <c r="G25" s="12"/>
      <c r="H25" s="12" t="str">
        <f t="shared" si="2"/>
        <v/>
      </c>
      <c r="I25" s="12">
        <f t="shared" si="3"/>
        <v>0</v>
      </c>
      <c r="J25" s="12">
        <f t="shared" si="4"/>
        <v>0</v>
      </c>
      <c r="K25" s="12">
        <f t="shared" si="5"/>
        <v>0</v>
      </c>
      <c r="L25" s="12">
        <f t="shared" si="6"/>
        <v>0</v>
      </c>
      <c r="M25" s="13" t="str">
        <f t="shared" si="7"/>
        <v/>
      </c>
      <c r="N25" s="18"/>
      <c r="O25" s="18"/>
      <c r="P25" s="18"/>
      <c r="Q25" s="34"/>
      <c r="R25" s="18"/>
      <c r="S25" s="18"/>
      <c r="T25" s="19" t="s">
        <v>45</v>
      </c>
      <c r="U25" s="9" t="str">
        <f t="shared" si="1"/>
        <v>NSE:AXISBANK</v>
      </c>
      <c r="V25" s="18"/>
      <c r="W25" s="18"/>
      <c r="X25" s="18"/>
    </row>
    <row r="26">
      <c r="A26" s="20"/>
      <c r="B26" s="11"/>
      <c r="C26" s="12"/>
      <c r="D26" s="12"/>
      <c r="E26" s="12"/>
      <c r="F26" s="12"/>
      <c r="G26" s="12"/>
      <c r="H26" s="12" t="str">
        <f t="shared" si="2"/>
        <v/>
      </c>
      <c r="I26" s="12">
        <f t="shared" si="3"/>
        <v>0</v>
      </c>
      <c r="J26" s="12">
        <f t="shared" si="4"/>
        <v>0</v>
      </c>
      <c r="K26" s="12">
        <f t="shared" si="5"/>
        <v>0</v>
      </c>
      <c r="L26" s="12">
        <f t="shared" si="6"/>
        <v>0</v>
      </c>
      <c r="M26" s="13" t="str">
        <f t="shared" si="7"/>
        <v/>
      </c>
      <c r="N26" s="18"/>
      <c r="O26" s="18"/>
      <c r="P26" s="18"/>
      <c r="Q26" s="34"/>
      <c r="R26" s="18"/>
      <c r="S26" s="18"/>
      <c r="T26" s="19" t="s">
        <v>46</v>
      </c>
      <c r="U26" s="9" t="str">
        <f t="shared" si="1"/>
        <v>NSE:HINDUNILVR</v>
      </c>
      <c r="V26" s="18"/>
      <c r="W26" s="18"/>
      <c r="X26" s="18"/>
    </row>
    <row r="27">
      <c r="A27" s="20"/>
      <c r="B27" s="11"/>
      <c r="C27" s="12"/>
      <c r="D27" s="12"/>
      <c r="E27" s="12"/>
      <c r="F27" s="12"/>
      <c r="G27" s="12"/>
      <c r="H27" s="12" t="str">
        <f t="shared" si="2"/>
        <v/>
      </c>
      <c r="I27" s="12">
        <f t="shared" si="3"/>
        <v>0</v>
      </c>
      <c r="J27" s="12">
        <f t="shared" si="4"/>
        <v>0</v>
      </c>
      <c r="K27" s="12">
        <f t="shared" si="5"/>
        <v>0</v>
      </c>
      <c r="L27" s="12">
        <f t="shared" si="6"/>
        <v>0</v>
      </c>
      <c r="M27" s="13" t="str">
        <f t="shared" si="7"/>
        <v/>
      </c>
      <c r="N27" s="18"/>
      <c r="O27" s="18"/>
      <c r="P27" s="18"/>
      <c r="Q27" s="34"/>
      <c r="R27" s="18"/>
      <c r="S27" s="18"/>
      <c r="T27" s="19" t="s">
        <v>47</v>
      </c>
      <c r="U27" s="9" t="str">
        <f t="shared" si="1"/>
        <v>NSE:KAYNES</v>
      </c>
      <c r="V27" s="18"/>
      <c r="W27" s="18"/>
      <c r="X27" s="18"/>
    </row>
    <row r="28">
      <c r="A28" s="20"/>
      <c r="B28" s="11"/>
      <c r="C28" s="12"/>
      <c r="D28" s="12"/>
      <c r="E28" s="12"/>
      <c r="F28" s="12"/>
      <c r="G28" s="12"/>
      <c r="H28" s="12" t="str">
        <f t="shared" si="2"/>
        <v/>
      </c>
      <c r="I28" s="12">
        <f t="shared" si="3"/>
        <v>0</v>
      </c>
      <c r="J28" s="12">
        <f t="shared" si="4"/>
        <v>0</v>
      </c>
      <c r="K28" s="12">
        <f t="shared" si="5"/>
        <v>0</v>
      </c>
      <c r="L28" s="12">
        <f t="shared" si="6"/>
        <v>0</v>
      </c>
      <c r="M28" s="13" t="str">
        <f t="shared" si="7"/>
        <v/>
      </c>
      <c r="N28" s="18"/>
      <c r="O28" s="18"/>
      <c r="P28" s="18"/>
      <c r="Q28" s="34"/>
      <c r="R28" s="18"/>
      <c r="S28" s="18"/>
      <c r="T28" s="19" t="s">
        <v>48</v>
      </c>
      <c r="U28" s="9" t="str">
        <f t="shared" si="1"/>
        <v>NSE:VBL</v>
      </c>
      <c r="V28" s="18"/>
      <c r="W28" s="18"/>
      <c r="X28" s="18"/>
    </row>
    <row r="29">
      <c r="A29" s="20"/>
      <c r="B29" s="11"/>
      <c r="C29" s="12"/>
      <c r="D29" s="12"/>
      <c r="E29" s="12"/>
      <c r="F29" s="12"/>
      <c r="G29" s="12"/>
      <c r="H29" s="12" t="str">
        <f t="shared" si="2"/>
        <v/>
      </c>
      <c r="I29" s="12">
        <f t="shared" si="3"/>
        <v>0</v>
      </c>
      <c r="J29" s="12">
        <f t="shared" si="4"/>
        <v>0</v>
      </c>
      <c r="K29" s="12">
        <f t="shared" si="5"/>
        <v>0</v>
      </c>
      <c r="L29" s="12">
        <f t="shared" si="6"/>
        <v>0</v>
      </c>
      <c r="M29" s="13" t="str">
        <f t="shared" si="7"/>
        <v/>
      </c>
      <c r="N29" s="18"/>
      <c r="O29" s="18"/>
      <c r="P29" s="18"/>
      <c r="Q29" s="34"/>
      <c r="R29" s="18"/>
      <c r="S29" s="18"/>
      <c r="T29" s="19" t="s">
        <v>49</v>
      </c>
      <c r="U29" s="9" t="str">
        <f t="shared" si="1"/>
        <v>NSE:MTNL</v>
      </c>
      <c r="V29" s="18"/>
      <c r="W29" s="18"/>
      <c r="X29" s="18"/>
    </row>
    <row r="30">
      <c r="A30" s="20"/>
      <c r="B30" s="11"/>
      <c r="C30" s="12"/>
      <c r="D30" s="12"/>
      <c r="E30" s="12"/>
      <c r="F30" s="12"/>
      <c r="G30" s="12"/>
      <c r="H30" s="12" t="str">
        <f t="shared" si="2"/>
        <v/>
      </c>
      <c r="I30" s="12">
        <f t="shared" si="3"/>
        <v>0</v>
      </c>
      <c r="J30" s="12">
        <f t="shared" si="4"/>
        <v>0</v>
      </c>
      <c r="K30" s="12">
        <f t="shared" si="5"/>
        <v>0</v>
      </c>
      <c r="L30" s="12">
        <f t="shared" si="6"/>
        <v>0</v>
      </c>
      <c r="M30" s="13" t="str">
        <f t="shared" si="7"/>
        <v/>
      </c>
      <c r="N30" s="18"/>
      <c r="O30" s="18"/>
      <c r="P30" s="18"/>
      <c r="Q30" s="34"/>
      <c r="R30" s="18"/>
      <c r="S30" s="18"/>
      <c r="T30" s="19" t="s">
        <v>50</v>
      </c>
      <c r="U30" s="9" t="str">
        <f t="shared" si="1"/>
        <v>NSE:ONGC</v>
      </c>
      <c r="V30" s="18"/>
      <c r="W30" s="18"/>
      <c r="X30" s="18"/>
    </row>
    <row r="31">
      <c r="A31" s="20"/>
      <c r="B31" s="11"/>
      <c r="C31" s="12"/>
      <c r="D31" s="12"/>
      <c r="E31" s="12"/>
      <c r="F31" s="12"/>
      <c r="G31" s="12"/>
      <c r="H31" s="12" t="str">
        <f t="shared" si="2"/>
        <v/>
      </c>
      <c r="I31" s="12">
        <f t="shared" si="3"/>
        <v>0</v>
      </c>
      <c r="J31" s="12">
        <f t="shared" si="4"/>
        <v>0</v>
      </c>
      <c r="K31" s="12">
        <f t="shared" si="5"/>
        <v>0</v>
      </c>
      <c r="L31" s="12">
        <f t="shared" si="6"/>
        <v>0</v>
      </c>
      <c r="M31" s="13" t="str">
        <f t="shared" si="7"/>
        <v/>
      </c>
      <c r="N31" s="18"/>
      <c r="O31" s="18"/>
      <c r="P31" s="18"/>
      <c r="Q31" s="34"/>
      <c r="R31" s="18"/>
      <c r="S31" s="18"/>
      <c r="T31" s="19" t="s">
        <v>51</v>
      </c>
      <c r="U31" s="9" t="str">
        <f t="shared" si="1"/>
        <v>NSE:CDSL</v>
      </c>
      <c r="V31" s="18"/>
      <c r="W31" s="18"/>
      <c r="X31" s="18"/>
    </row>
    <row r="32">
      <c r="A32" s="20"/>
      <c r="B32" s="11"/>
      <c r="C32" s="12"/>
      <c r="D32" s="12"/>
      <c r="E32" s="12"/>
      <c r="F32" s="12"/>
      <c r="G32" s="12"/>
      <c r="H32" s="12" t="str">
        <f t="shared" si="2"/>
        <v/>
      </c>
      <c r="I32" s="12">
        <f t="shared" si="3"/>
        <v>0</v>
      </c>
      <c r="J32" s="12">
        <f t="shared" si="4"/>
        <v>0</v>
      </c>
      <c r="K32" s="12">
        <f t="shared" si="5"/>
        <v>0</v>
      </c>
      <c r="L32" s="12">
        <f t="shared" si="6"/>
        <v>0</v>
      </c>
      <c r="M32" s="13" t="str">
        <f t="shared" si="7"/>
        <v/>
      </c>
      <c r="N32" s="18"/>
      <c r="O32" s="18"/>
      <c r="P32" s="18"/>
      <c r="Q32" s="34"/>
      <c r="R32" s="18"/>
      <c r="S32" s="18"/>
      <c r="T32" s="19" t="s">
        <v>52</v>
      </c>
      <c r="U32" s="9" t="str">
        <f t="shared" si="1"/>
        <v>NSE:BAJAJ-AUTO</v>
      </c>
      <c r="V32" s="18"/>
      <c r="W32" s="18"/>
      <c r="X32" s="18"/>
    </row>
    <row r="33">
      <c r="A33" s="20"/>
      <c r="B33" s="11"/>
      <c r="C33" s="12"/>
      <c r="D33" s="12"/>
      <c r="E33" s="12"/>
      <c r="F33" s="12"/>
      <c r="G33" s="12"/>
      <c r="H33" s="12" t="str">
        <f t="shared" si="2"/>
        <v/>
      </c>
      <c r="I33" s="12">
        <f t="shared" si="3"/>
        <v>0</v>
      </c>
      <c r="J33" s="12">
        <f t="shared" si="4"/>
        <v>0</v>
      </c>
      <c r="K33" s="12">
        <f t="shared" si="5"/>
        <v>0</v>
      </c>
      <c r="L33" s="12">
        <f t="shared" si="6"/>
        <v>0</v>
      </c>
      <c r="M33" s="13" t="str">
        <f t="shared" si="7"/>
        <v/>
      </c>
      <c r="N33" s="18"/>
      <c r="O33" s="18"/>
      <c r="P33" s="18"/>
      <c r="Q33" s="34"/>
      <c r="R33" s="18"/>
      <c r="S33" s="18"/>
      <c r="T33" s="19" t="s">
        <v>53</v>
      </c>
      <c r="U33" s="9" t="str">
        <f t="shared" si="1"/>
        <v>NSE:ITC</v>
      </c>
      <c r="V33" s="18"/>
      <c r="W33" s="18"/>
      <c r="X33" s="18"/>
    </row>
    <row r="34">
      <c r="A34" s="20"/>
      <c r="B34" s="11"/>
      <c r="C34" s="12"/>
      <c r="D34" s="12"/>
      <c r="E34" s="12"/>
      <c r="F34" s="12"/>
      <c r="G34" s="12"/>
      <c r="H34" s="12" t="str">
        <f t="shared" si="2"/>
        <v/>
      </c>
      <c r="I34" s="12">
        <f t="shared" si="3"/>
        <v>0</v>
      </c>
      <c r="J34" s="12">
        <f t="shared" si="4"/>
        <v>0</v>
      </c>
      <c r="K34" s="12">
        <f t="shared" si="5"/>
        <v>0</v>
      </c>
      <c r="L34" s="12">
        <f t="shared" si="6"/>
        <v>0</v>
      </c>
      <c r="M34" s="13" t="str">
        <f t="shared" si="7"/>
        <v/>
      </c>
      <c r="N34" s="18"/>
      <c r="O34" s="18"/>
      <c r="P34" s="18"/>
      <c r="Q34" s="34"/>
      <c r="R34" s="18"/>
      <c r="S34" s="18"/>
      <c r="T34" s="19" t="s">
        <v>54</v>
      </c>
      <c r="U34" s="9" t="str">
        <f t="shared" si="1"/>
        <v>NSE:HINDALCO</v>
      </c>
      <c r="V34" s="18"/>
      <c r="W34" s="18"/>
      <c r="X34" s="18"/>
    </row>
    <row r="35">
      <c r="A35" s="20"/>
      <c r="B35" s="11"/>
      <c r="C35" s="12"/>
      <c r="D35" s="12"/>
      <c r="E35" s="12"/>
      <c r="F35" s="12"/>
      <c r="G35" s="12"/>
      <c r="H35" s="12" t="str">
        <f t="shared" si="2"/>
        <v/>
      </c>
      <c r="I35" s="12">
        <f t="shared" si="3"/>
        <v>0</v>
      </c>
      <c r="J35" s="12">
        <f t="shared" si="4"/>
        <v>0</v>
      </c>
      <c r="K35" s="12">
        <f t="shared" si="5"/>
        <v>0</v>
      </c>
      <c r="L35" s="12">
        <f t="shared" si="6"/>
        <v>0</v>
      </c>
      <c r="M35" s="13" t="str">
        <f t="shared" si="7"/>
        <v/>
      </c>
      <c r="N35" s="18"/>
      <c r="O35" s="18"/>
      <c r="P35" s="18"/>
      <c r="Q35" s="34"/>
      <c r="R35" s="18"/>
      <c r="S35" s="18"/>
      <c r="T35" s="19" t="s">
        <v>55</v>
      </c>
      <c r="U35" s="9" t="str">
        <f t="shared" si="1"/>
        <v>NSE:SHRIRAMFIN</v>
      </c>
      <c r="V35" s="18"/>
      <c r="W35" s="18"/>
      <c r="X35" s="18"/>
    </row>
    <row r="36">
      <c r="A36" s="20"/>
      <c r="B36" s="11"/>
      <c r="C36" s="12"/>
      <c r="D36" s="12"/>
      <c r="E36" s="12"/>
      <c r="F36" s="12"/>
      <c r="G36" s="12"/>
      <c r="H36" s="12" t="str">
        <f t="shared" si="2"/>
        <v/>
      </c>
      <c r="I36" s="12">
        <f t="shared" si="3"/>
        <v>0</v>
      </c>
      <c r="J36" s="12">
        <f t="shared" si="4"/>
        <v>0</v>
      </c>
      <c r="K36" s="12">
        <f t="shared" si="5"/>
        <v>0</v>
      </c>
      <c r="L36" s="12">
        <f t="shared" si="6"/>
        <v>0</v>
      </c>
      <c r="M36" s="13" t="str">
        <f t="shared" si="7"/>
        <v/>
      </c>
      <c r="N36" s="18"/>
      <c r="O36" s="18"/>
      <c r="P36" s="18"/>
      <c r="Q36" s="34"/>
      <c r="R36" s="18"/>
      <c r="S36" s="18"/>
      <c r="T36" s="19" t="s">
        <v>56</v>
      </c>
      <c r="U36" s="9" t="str">
        <f t="shared" si="1"/>
        <v>NSE:RECLTD</v>
      </c>
      <c r="V36" s="18"/>
      <c r="W36" s="18"/>
      <c r="X36" s="18"/>
    </row>
    <row r="37">
      <c r="A37" s="20"/>
      <c r="B37" s="11"/>
      <c r="C37" s="12"/>
      <c r="D37" s="12"/>
      <c r="E37" s="12"/>
      <c r="F37" s="12"/>
      <c r="G37" s="12"/>
      <c r="H37" s="12" t="str">
        <f t="shared" si="2"/>
        <v/>
      </c>
      <c r="I37" s="12">
        <f t="shared" si="3"/>
        <v>0</v>
      </c>
      <c r="J37" s="12">
        <f t="shared" si="4"/>
        <v>0</v>
      </c>
      <c r="K37" s="12">
        <f t="shared" si="5"/>
        <v>0</v>
      </c>
      <c r="L37" s="12">
        <f t="shared" si="6"/>
        <v>0</v>
      </c>
      <c r="M37" s="13" t="str">
        <f t="shared" si="7"/>
        <v/>
      </c>
      <c r="N37" s="18"/>
      <c r="O37" s="18"/>
      <c r="P37" s="18"/>
      <c r="Q37" s="34"/>
      <c r="R37" s="18"/>
      <c r="S37" s="18"/>
      <c r="T37" s="19" t="s">
        <v>57</v>
      </c>
      <c r="U37" s="9" t="str">
        <f t="shared" si="1"/>
        <v>NSE:CHENNPETRO</v>
      </c>
      <c r="V37" s="18"/>
      <c r="W37" s="18"/>
      <c r="X37" s="18"/>
    </row>
    <row r="38">
      <c r="A38" s="20"/>
      <c r="B38" s="11"/>
      <c r="C38" s="12"/>
      <c r="D38" s="12"/>
      <c r="E38" s="12"/>
      <c r="F38" s="12"/>
      <c r="G38" s="12"/>
      <c r="H38" s="12" t="str">
        <f t="shared" si="2"/>
        <v/>
      </c>
      <c r="I38" s="12">
        <f t="shared" si="3"/>
        <v>0</v>
      </c>
      <c r="J38" s="12">
        <f t="shared" si="4"/>
        <v>0</v>
      </c>
      <c r="K38" s="12">
        <f t="shared" si="5"/>
        <v>0</v>
      </c>
      <c r="L38" s="12">
        <f t="shared" si="6"/>
        <v>0</v>
      </c>
      <c r="M38" s="13" t="str">
        <f t="shared" si="7"/>
        <v/>
      </c>
      <c r="N38" s="18"/>
      <c r="O38" s="18"/>
      <c r="P38" s="18"/>
      <c r="Q38" s="34"/>
      <c r="R38" s="18"/>
      <c r="S38" s="18"/>
      <c r="T38" s="19" t="s">
        <v>58</v>
      </c>
      <c r="U38" s="9" t="str">
        <f t="shared" si="1"/>
        <v>NSE:HCLTECH</v>
      </c>
      <c r="V38" s="18"/>
      <c r="W38" s="18"/>
      <c r="X38" s="18"/>
    </row>
    <row r="39">
      <c r="A39" s="20"/>
      <c r="B39" s="11"/>
      <c r="C39" s="12"/>
      <c r="D39" s="12"/>
      <c r="E39" s="12"/>
      <c r="F39" s="12"/>
      <c r="G39" s="12"/>
      <c r="H39" s="12" t="str">
        <f t="shared" si="2"/>
        <v/>
      </c>
      <c r="I39" s="12">
        <f t="shared" si="3"/>
        <v>0</v>
      </c>
      <c r="J39" s="12">
        <f t="shared" si="4"/>
        <v>0</v>
      </c>
      <c r="K39" s="12">
        <f t="shared" si="5"/>
        <v>0</v>
      </c>
      <c r="L39" s="12">
        <f t="shared" si="6"/>
        <v>0</v>
      </c>
      <c r="M39" s="13" t="str">
        <f t="shared" si="7"/>
        <v/>
      </c>
      <c r="N39" s="18"/>
      <c r="O39" s="18"/>
      <c r="P39" s="18"/>
      <c r="Q39" s="34"/>
      <c r="R39" s="18"/>
      <c r="S39" s="18"/>
      <c r="T39" s="19" t="s">
        <v>59</v>
      </c>
      <c r="U39" s="9" t="str">
        <f t="shared" si="1"/>
        <v>NSE:MARUTI</v>
      </c>
      <c r="V39" s="18"/>
      <c r="W39" s="18"/>
      <c r="X39" s="18"/>
    </row>
    <row r="40">
      <c r="A40" s="20"/>
      <c r="B40" s="11"/>
      <c r="C40" s="12"/>
      <c r="D40" s="12"/>
      <c r="E40" s="12"/>
      <c r="F40" s="12"/>
      <c r="G40" s="12"/>
      <c r="H40" s="12" t="str">
        <f t="shared" si="2"/>
        <v/>
      </c>
      <c r="I40" s="12">
        <f t="shared" si="3"/>
        <v>0</v>
      </c>
      <c r="J40" s="12">
        <f t="shared" si="4"/>
        <v>0</v>
      </c>
      <c r="K40" s="12">
        <f t="shared" si="5"/>
        <v>0</v>
      </c>
      <c r="L40" s="12">
        <f t="shared" si="6"/>
        <v>0</v>
      </c>
      <c r="M40" s="13" t="str">
        <f t="shared" si="7"/>
        <v/>
      </c>
      <c r="N40" s="18"/>
      <c r="O40" s="18"/>
      <c r="P40" s="18"/>
      <c r="Q40" s="34"/>
      <c r="R40" s="18"/>
      <c r="S40" s="18"/>
      <c r="T40" s="19" t="s">
        <v>60</v>
      </c>
      <c r="U40" s="9" t="str">
        <f t="shared" si="1"/>
        <v>NSE:NTPC</v>
      </c>
      <c r="V40" s="18"/>
      <c r="W40" s="18"/>
      <c r="X40" s="18"/>
    </row>
    <row r="41">
      <c r="A41" s="20"/>
      <c r="B41" s="11"/>
      <c r="C41" s="12"/>
      <c r="D41" s="12"/>
      <c r="E41" s="12"/>
      <c r="F41" s="12"/>
      <c r="G41" s="12"/>
      <c r="H41" s="12" t="str">
        <f t="shared" si="2"/>
        <v/>
      </c>
      <c r="I41" s="12">
        <f t="shared" si="3"/>
        <v>0</v>
      </c>
      <c r="J41" s="12">
        <f t="shared" si="4"/>
        <v>0</v>
      </c>
      <c r="K41" s="12">
        <f t="shared" si="5"/>
        <v>0</v>
      </c>
      <c r="L41" s="12">
        <f t="shared" si="6"/>
        <v>0</v>
      </c>
      <c r="M41" s="13" t="str">
        <f t="shared" si="7"/>
        <v/>
      </c>
      <c r="N41" s="18"/>
      <c r="O41" s="18"/>
      <c r="P41" s="18"/>
      <c r="Q41" s="34"/>
      <c r="R41" s="18"/>
      <c r="S41" s="18"/>
      <c r="T41" s="19" t="s">
        <v>61</v>
      </c>
      <c r="U41" s="9" t="str">
        <f t="shared" si="1"/>
        <v>NSE:AMBER</v>
      </c>
      <c r="V41" s="18"/>
      <c r="W41" s="18"/>
      <c r="X41" s="18"/>
    </row>
    <row r="42">
      <c r="A42" s="20"/>
      <c r="B42" s="11"/>
      <c r="C42" s="12"/>
      <c r="D42" s="12"/>
      <c r="E42" s="12"/>
      <c r="F42" s="12"/>
      <c r="G42" s="12"/>
      <c r="H42" s="12" t="str">
        <f t="shared" si="2"/>
        <v/>
      </c>
      <c r="I42" s="12">
        <f t="shared" si="3"/>
        <v>0</v>
      </c>
      <c r="J42" s="12">
        <f t="shared" si="4"/>
        <v>0</v>
      </c>
      <c r="K42" s="12">
        <f t="shared" si="5"/>
        <v>0</v>
      </c>
      <c r="L42" s="12">
        <f t="shared" si="6"/>
        <v>0</v>
      </c>
      <c r="M42" s="13" t="str">
        <f t="shared" si="7"/>
        <v/>
      </c>
      <c r="N42" s="18"/>
      <c r="O42" s="18"/>
      <c r="P42" s="18"/>
      <c r="Q42" s="34"/>
      <c r="R42" s="18"/>
      <c r="S42" s="18"/>
      <c r="T42" s="19" t="s">
        <v>62</v>
      </c>
      <c r="U42" s="9" t="str">
        <f t="shared" si="1"/>
        <v>NSE:PFC</v>
      </c>
      <c r="V42" s="18"/>
      <c r="W42" s="18"/>
      <c r="X42" s="18"/>
    </row>
    <row r="43">
      <c r="A43" s="20"/>
      <c r="B43" s="11"/>
      <c r="C43" s="12"/>
      <c r="D43" s="12"/>
      <c r="E43" s="12"/>
      <c r="F43" s="12"/>
      <c r="G43" s="12"/>
      <c r="H43" s="12" t="str">
        <f t="shared" si="2"/>
        <v/>
      </c>
      <c r="I43" s="12">
        <f t="shared" si="3"/>
        <v>0</v>
      </c>
      <c r="J43" s="12">
        <f t="shared" si="4"/>
        <v>0</v>
      </c>
      <c r="K43" s="12">
        <f t="shared" si="5"/>
        <v>0</v>
      </c>
      <c r="L43" s="12">
        <f t="shared" si="6"/>
        <v>0</v>
      </c>
      <c r="M43" s="13" t="str">
        <f t="shared" si="7"/>
        <v/>
      </c>
      <c r="N43" s="18"/>
      <c r="O43" s="18"/>
      <c r="P43" s="18"/>
      <c r="Q43" s="34"/>
      <c r="R43" s="18"/>
      <c r="S43" s="18"/>
      <c r="T43" s="19" t="s">
        <v>63</v>
      </c>
      <c r="U43" s="9" t="str">
        <f t="shared" si="1"/>
        <v>NSE:IDEA</v>
      </c>
      <c r="V43" s="18"/>
      <c r="W43" s="18"/>
      <c r="X43" s="18"/>
    </row>
    <row r="44">
      <c r="A44" s="20"/>
      <c r="B44" s="11"/>
      <c r="C44" s="12"/>
      <c r="D44" s="12"/>
      <c r="E44" s="12"/>
      <c r="F44" s="12"/>
      <c r="G44" s="12"/>
      <c r="H44" s="12" t="str">
        <f t="shared" si="2"/>
        <v/>
      </c>
      <c r="I44" s="12">
        <f t="shared" si="3"/>
        <v>0</v>
      </c>
      <c r="J44" s="12">
        <f t="shared" si="4"/>
        <v>0</v>
      </c>
      <c r="K44" s="12">
        <f t="shared" si="5"/>
        <v>0</v>
      </c>
      <c r="L44" s="12">
        <f t="shared" si="6"/>
        <v>0</v>
      </c>
      <c r="M44" s="13" t="str">
        <f t="shared" si="7"/>
        <v/>
      </c>
      <c r="N44" s="18"/>
      <c r="O44" s="18"/>
      <c r="P44" s="18"/>
      <c r="Q44" s="34"/>
      <c r="R44" s="18"/>
      <c r="S44" s="18"/>
      <c r="T44" s="19" t="s">
        <v>64</v>
      </c>
      <c r="U44" s="9" t="str">
        <f t="shared" si="1"/>
        <v>NSE:SUNPHARMA</v>
      </c>
      <c r="V44" s="18"/>
      <c r="W44" s="18"/>
      <c r="X44" s="18"/>
    </row>
    <row r="45">
      <c r="A45" s="20"/>
      <c r="B45" s="11"/>
      <c r="C45" s="12"/>
      <c r="D45" s="12"/>
      <c r="E45" s="12"/>
      <c r="F45" s="12"/>
      <c r="G45" s="12"/>
      <c r="H45" s="12" t="str">
        <f t="shared" si="2"/>
        <v/>
      </c>
      <c r="I45" s="12">
        <f t="shared" si="3"/>
        <v>0</v>
      </c>
      <c r="J45" s="12">
        <f t="shared" si="4"/>
        <v>0</v>
      </c>
      <c r="K45" s="12">
        <f t="shared" si="5"/>
        <v>0</v>
      </c>
      <c r="L45" s="12">
        <f t="shared" si="6"/>
        <v>0</v>
      </c>
      <c r="M45" s="13" t="str">
        <f t="shared" si="7"/>
        <v/>
      </c>
      <c r="N45" s="18"/>
      <c r="O45" s="18"/>
      <c r="P45" s="18"/>
      <c r="Q45" s="34"/>
      <c r="R45" s="18"/>
      <c r="S45" s="18"/>
      <c r="T45" s="19" t="s">
        <v>65</v>
      </c>
      <c r="U45" s="9" t="str">
        <f t="shared" si="1"/>
        <v>NSE:LIQUIDBEES</v>
      </c>
      <c r="V45" s="18"/>
      <c r="W45" s="18"/>
      <c r="X45" s="18"/>
    </row>
    <row r="46">
      <c r="A46" s="20"/>
      <c r="B46" s="11"/>
      <c r="C46" s="12"/>
      <c r="D46" s="12"/>
      <c r="E46" s="12"/>
      <c r="F46" s="12"/>
      <c r="G46" s="12"/>
      <c r="H46" s="12" t="str">
        <f t="shared" si="2"/>
        <v/>
      </c>
      <c r="I46" s="12">
        <f t="shared" si="3"/>
        <v>0</v>
      </c>
      <c r="J46" s="12">
        <f t="shared" si="4"/>
        <v>0</v>
      </c>
      <c r="K46" s="12">
        <f t="shared" si="5"/>
        <v>0</v>
      </c>
      <c r="L46" s="12">
        <f t="shared" si="6"/>
        <v>0</v>
      </c>
      <c r="M46" s="13" t="str">
        <f t="shared" si="7"/>
        <v/>
      </c>
      <c r="N46" s="18"/>
      <c r="O46" s="18"/>
      <c r="P46" s="18"/>
      <c r="Q46" s="34"/>
      <c r="R46" s="18"/>
      <c r="S46" s="18"/>
      <c r="T46" s="19" t="s">
        <v>66</v>
      </c>
      <c r="U46" s="9" t="str">
        <f t="shared" si="1"/>
        <v>NSE:KEC</v>
      </c>
      <c r="V46" s="18"/>
      <c r="W46" s="18"/>
      <c r="X46" s="18"/>
    </row>
    <row r="47">
      <c r="A47" s="20"/>
      <c r="B47" s="11"/>
      <c r="C47" s="12"/>
      <c r="D47" s="12"/>
      <c r="E47" s="12"/>
      <c r="F47" s="12"/>
      <c r="G47" s="12"/>
      <c r="H47" s="12" t="str">
        <f t="shared" si="2"/>
        <v/>
      </c>
      <c r="I47" s="12">
        <f t="shared" si="3"/>
        <v>0</v>
      </c>
      <c r="J47" s="12">
        <f t="shared" si="4"/>
        <v>0</v>
      </c>
      <c r="K47" s="12">
        <f t="shared" si="5"/>
        <v>0</v>
      </c>
      <c r="L47" s="12">
        <f t="shared" si="6"/>
        <v>0</v>
      </c>
      <c r="M47" s="13" t="str">
        <f t="shared" si="7"/>
        <v/>
      </c>
      <c r="N47" s="18"/>
      <c r="O47" s="18"/>
      <c r="P47" s="18"/>
      <c r="Q47" s="34"/>
      <c r="R47" s="18"/>
      <c r="S47" s="18"/>
      <c r="T47" s="19" t="s">
        <v>67</v>
      </c>
      <c r="U47" s="9" t="str">
        <f t="shared" si="1"/>
        <v>NSE:GRSE</v>
      </c>
      <c r="V47" s="18"/>
      <c r="W47" s="18"/>
      <c r="X47" s="18"/>
    </row>
    <row r="48">
      <c r="A48" s="20"/>
      <c r="B48" s="11"/>
      <c r="C48" s="12"/>
      <c r="D48" s="12"/>
      <c r="E48" s="12"/>
      <c r="F48" s="12"/>
      <c r="G48" s="12"/>
      <c r="H48" s="12" t="str">
        <f t="shared" si="2"/>
        <v/>
      </c>
      <c r="I48" s="12">
        <f t="shared" si="3"/>
        <v>0</v>
      </c>
      <c r="J48" s="12">
        <f t="shared" si="4"/>
        <v>0</v>
      </c>
      <c r="K48" s="12">
        <f t="shared" si="5"/>
        <v>0</v>
      </c>
      <c r="L48" s="12">
        <f t="shared" si="6"/>
        <v>0</v>
      </c>
      <c r="M48" s="13" t="str">
        <f t="shared" si="7"/>
        <v/>
      </c>
      <c r="N48" s="18"/>
      <c r="O48" s="18"/>
      <c r="P48" s="18"/>
      <c r="Q48" s="34"/>
      <c r="R48" s="18"/>
      <c r="S48" s="18"/>
      <c r="T48" s="19" t="s">
        <v>68</v>
      </c>
      <c r="U48" s="9" t="str">
        <f t="shared" si="1"/>
        <v>NSE:SAIL</v>
      </c>
      <c r="V48" s="18"/>
      <c r="W48" s="18"/>
      <c r="X48" s="18"/>
    </row>
    <row r="49">
      <c r="A49" s="20"/>
      <c r="B49" s="11"/>
      <c r="C49" s="12"/>
      <c r="D49" s="12"/>
      <c r="E49" s="12"/>
      <c r="F49" s="12"/>
      <c r="G49" s="12"/>
      <c r="H49" s="12" t="str">
        <f t="shared" si="2"/>
        <v/>
      </c>
      <c r="I49" s="12">
        <f t="shared" si="3"/>
        <v>0</v>
      </c>
      <c r="J49" s="12">
        <f t="shared" si="4"/>
        <v>0</v>
      </c>
      <c r="K49" s="12">
        <f t="shared" si="5"/>
        <v>0</v>
      </c>
      <c r="L49" s="12">
        <f t="shared" si="6"/>
        <v>0</v>
      </c>
      <c r="M49" s="13" t="str">
        <f t="shared" si="7"/>
        <v/>
      </c>
      <c r="N49" s="18"/>
      <c r="O49" s="18"/>
      <c r="P49" s="18"/>
      <c r="Q49" s="34"/>
      <c r="R49" s="18"/>
      <c r="S49" s="18"/>
      <c r="T49" s="19" t="s">
        <v>69</v>
      </c>
      <c r="U49" s="9" t="str">
        <f t="shared" si="1"/>
        <v>NSE:ADANIPOWER</v>
      </c>
      <c r="V49" s="18"/>
      <c r="W49" s="18"/>
      <c r="X49" s="18"/>
    </row>
    <row r="50">
      <c r="A50" s="20"/>
      <c r="B50" s="11"/>
      <c r="C50" s="12"/>
      <c r="D50" s="12"/>
      <c r="E50" s="12"/>
      <c r="F50" s="12"/>
      <c r="G50" s="12"/>
      <c r="H50" s="12" t="str">
        <f t="shared" si="2"/>
        <v/>
      </c>
      <c r="I50" s="12">
        <f t="shared" si="3"/>
        <v>0</v>
      </c>
      <c r="J50" s="12">
        <f t="shared" si="4"/>
        <v>0</v>
      </c>
      <c r="K50" s="12">
        <f t="shared" si="5"/>
        <v>0</v>
      </c>
      <c r="L50" s="12">
        <f t="shared" si="6"/>
        <v>0</v>
      </c>
      <c r="M50" s="13" t="str">
        <f t="shared" si="7"/>
        <v/>
      </c>
      <c r="N50" s="18"/>
      <c r="O50" s="18"/>
      <c r="P50" s="18"/>
      <c r="Q50" s="34"/>
      <c r="R50" s="18"/>
      <c r="S50" s="18"/>
      <c r="T50" s="19" t="s">
        <v>70</v>
      </c>
      <c r="U50" s="9" t="str">
        <f t="shared" si="1"/>
        <v>NSE:INDIGO</v>
      </c>
      <c r="V50" s="18"/>
      <c r="W50" s="18"/>
      <c r="X50" s="18"/>
    </row>
    <row r="51">
      <c r="A51" s="20"/>
      <c r="B51" s="11"/>
      <c r="C51" s="12"/>
      <c r="D51" s="12"/>
      <c r="E51" s="12"/>
      <c r="F51" s="12"/>
      <c r="G51" s="12"/>
      <c r="H51" s="12" t="str">
        <f t="shared" si="2"/>
        <v/>
      </c>
      <c r="I51" s="12">
        <f t="shared" si="3"/>
        <v>0</v>
      </c>
      <c r="J51" s="12">
        <f t="shared" si="4"/>
        <v>0</v>
      </c>
      <c r="K51" s="12">
        <f t="shared" si="5"/>
        <v>0</v>
      </c>
      <c r="L51" s="12">
        <f t="shared" si="6"/>
        <v>0</v>
      </c>
      <c r="M51" s="13" t="str">
        <f t="shared" si="7"/>
        <v/>
      </c>
      <c r="N51" s="18"/>
      <c r="O51" s="18"/>
      <c r="P51" s="18"/>
      <c r="Q51" s="34"/>
      <c r="R51" s="18"/>
      <c r="S51" s="18"/>
      <c r="T51" s="19" t="s">
        <v>71</v>
      </c>
      <c r="U51" s="9" t="str">
        <f t="shared" si="1"/>
        <v>NSE:SOLARINDS</v>
      </c>
      <c r="V51" s="18"/>
      <c r="W51" s="18"/>
      <c r="X51" s="18"/>
    </row>
    <row r="52">
      <c r="A52" s="20"/>
      <c r="B52" s="11"/>
      <c r="C52" s="12"/>
      <c r="D52" s="12"/>
      <c r="E52" s="12"/>
      <c r="F52" s="12"/>
      <c r="G52" s="12"/>
      <c r="H52" s="12" t="str">
        <f t="shared" si="2"/>
        <v/>
      </c>
      <c r="I52" s="12">
        <f t="shared" si="3"/>
        <v>0</v>
      </c>
      <c r="J52" s="12">
        <f t="shared" si="4"/>
        <v>0</v>
      </c>
      <c r="K52" s="12">
        <f t="shared" si="5"/>
        <v>0</v>
      </c>
      <c r="L52" s="12">
        <f t="shared" si="6"/>
        <v>0</v>
      </c>
      <c r="M52" s="13" t="str">
        <f t="shared" si="7"/>
        <v/>
      </c>
      <c r="N52" s="18"/>
      <c r="O52" s="18"/>
      <c r="P52" s="18"/>
      <c r="Q52" s="34"/>
      <c r="R52" s="18"/>
      <c r="S52" s="18"/>
      <c r="T52" s="19" t="s">
        <v>72</v>
      </c>
      <c r="U52" s="9" t="str">
        <f t="shared" si="1"/>
        <v>NSE:POWERGRID</v>
      </c>
      <c r="V52" s="18"/>
      <c r="W52" s="18"/>
      <c r="X52" s="18"/>
    </row>
    <row r="53">
      <c r="A53" s="20"/>
      <c r="B53" s="11"/>
      <c r="C53" s="12"/>
      <c r="D53" s="12"/>
      <c r="E53" s="12"/>
      <c r="F53" s="12"/>
      <c r="G53" s="12"/>
      <c r="H53" s="12" t="str">
        <f t="shared" si="2"/>
        <v/>
      </c>
      <c r="I53" s="12">
        <f t="shared" si="3"/>
        <v>0</v>
      </c>
      <c r="J53" s="12">
        <f t="shared" si="4"/>
        <v>0</v>
      </c>
      <c r="K53" s="12">
        <f t="shared" si="5"/>
        <v>0</v>
      </c>
      <c r="L53" s="12">
        <f t="shared" si="6"/>
        <v>0</v>
      </c>
      <c r="M53" s="13" t="str">
        <f t="shared" si="7"/>
        <v/>
      </c>
      <c r="N53" s="18"/>
      <c r="O53" s="18"/>
      <c r="P53" s="18"/>
      <c r="Q53" s="34"/>
      <c r="R53" s="18"/>
      <c r="S53" s="18"/>
      <c r="T53" s="19" t="s">
        <v>73</v>
      </c>
      <c r="U53" s="9" t="str">
        <f t="shared" si="1"/>
        <v>NSE:CAMS</v>
      </c>
      <c r="V53" s="18"/>
      <c r="W53" s="18"/>
      <c r="X53" s="18"/>
    </row>
    <row r="54">
      <c r="A54" s="20"/>
      <c r="B54" s="11"/>
      <c r="C54" s="12"/>
      <c r="D54" s="12"/>
      <c r="E54" s="12"/>
      <c r="F54" s="12"/>
      <c r="G54" s="12"/>
      <c r="H54" s="12" t="str">
        <f t="shared" si="2"/>
        <v/>
      </c>
      <c r="I54" s="12">
        <f t="shared" si="3"/>
        <v>0</v>
      </c>
      <c r="J54" s="12">
        <f t="shared" si="4"/>
        <v>0</v>
      </c>
      <c r="K54" s="12">
        <f t="shared" si="5"/>
        <v>0</v>
      </c>
      <c r="L54" s="12">
        <f t="shared" si="6"/>
        <v>0</v>
      </c>
      <c r="M54" s="13" t="str">
        <f t="shared" si="7"/>
        <v/>
      </c>
      <c r="N54" s="18"/>
      <c r="O54" s="18"/>
      <c r="P54" s="18"/>
      <c r="Q54" s="34"/>
      <c r="R54" s="18"/>
      <c r="S54" s="18"/>
      <c r="T54" s="19" t="s">
        <v>74</v>
      </c>
      <c r="U54" s="9" t="str">
        <f t="shared" si="1"/>
        <v>NSE:BAJAJFINSV</v>
      </c>
      <c r="V54" s="18"/>
      <c r="W54" s="18"/>
      <c r="X54" s="18"/>
    </row>
    <row r="55">
      <c r="A55" s="20"/>
      <c r="B55" s="11"/>
      <c r="C55" s="12"/>
      <c r="D55" s="12"/>
      <c r="E55" s="12"/>
      <c r="F55" s="12"/>
      <c r="G55" s="12"/>
      <c r="H55" s="12" t="str">
        <f t="shared" si="2"/>
        <v/>
      </c>
      <c r="I55" s="12">
        <f t="shared" si="3"/>
        <v>0</v>
      </c>
      <c r="J55" s="12">
        <f t="shared" si="4"/>
        <v>0</v>
      </c>
      <c r="K55" s="12">
        <f t="shared" si="5"/>
        <v>0</v>
      </c>
      <c r="L55" s="12">
        <f t="shared" si="6"/>
        <v>0</v>
      </c>
      <c r="M55" s="13" t="str">
        <f t="shared" si="7"/>
        <v/>
      </c>
      <c r="N55" s="18"/>
      <c r="O55" s="18"/>
      <c r="P55" s="18"/>
      <c r="Q55" s="34"/>
      <c r="R55" s="18"/>
      <c r="S55" s="18"/>
      <c r="T55" s="19" t="s">
        <v>75</v>
      </c>
      <c r="U55" s="9" t="str">
        <f t="shared" si="1"/>
        <v>NSE:SUZLON</v>
      </c>
      <c r="V55" s="18"/>
      <c r="W55" s="18"/>
      <c r="X55" s="18"/>
    </row>
    <row r="56">
      <c r="A56" s="20"/>
      <c r="B56" s="11"/>
      <c r="C56" s="12"/>
      <c r="D56" s="12"/>
      <c r="E56" s="12"/>
      <c r="F56" s="12"/>
      <c r="G56" s="12"/>
      <c r="H56" s="12" t="str">
        <f t="shared" si="2"/>
        <v/>
      </c>
      <c r="I56" s="12">
        <f t="shared" si="3"/>
        <v>0</v>
      </c>
      <c r="J56" s="12">
        <f t="shared" si="4"/>
        <v>0</v>
      </c>
      <c r="K56" s="12">
        <f t="shared" si="5"/>
        <v>0</v>
      </c>
      <c r="L56" s="12">
        <f t="shared" si="6"/>
        <v>0</v>
      </c>
      <c r="M56" s="13" t="str">
        <f t="shared" si="7"/>
        <v/>
      </c>
      <c r="N56" s="18"/>
      <c r="O56" s="18"/>
      <c r="P56" s="18"/>
      <c r="Q56" s="34"/>
      <c r="R56" s="18"/>
      <c r="S56" s="18"/>
      <c r="T56" s="19" t="s">
        <v>76</v>
      </c>
      <c r="U56" s="9" t="str">
        <f t="shared" si="1"/>
        <v>NSE:TITAN</v>
      </c>
      <c r="V56" s="18"/>
      <c r="W56" s="18"/>
      <c r="X56" s="18"/>
    </row>
    <row r="57">
      <c r="A57" s="20"/>
      <c r="B57" s="11"/>
      <c r="C57" s="12"/>
      <c r="D57" s="12"/>
      <c r="E57" s="12"/>
      <c r="F57" s="12"/>
      <c r="G57" s="12"/>
      <c r="H57" s="12" t="str">
        <f t="shared" si="2"/>
        <v/>
      </c>
      <c r="I57" s="12">
        <f t="shared" si="3"/>
        <v>0</v>
      </c>
      <c r="J57" s="12">
        <f t="shared" si="4"/>
        <v>0</v>
      </c>
      <c r="K57" s="12">
        <f t="shared" si="5"/>
        <v>0</v>
      </c>
      <c r="L57" s="12">
        <f t="shared" si="6"/>
        <v>0</v>
      </c>
      <c r="M57" s="13" t="str">
        <f t="shared" si="7"/>
        <v/>
      </c>
      <c r="N57" s="18"/>
      <c r="O57" s="18"/>
      <c r="P57" s="18"/>
      <c r="Q57" s="34"/>
      <c r="R57" s="18"/>
      <c r="S57" s="18"/>
      <c r="T57" s="19" t="s">
        <v>77</v>
      </c>
      <c r="U57" s="9" t="str">
        <f t="shared" si="1"/>
        <v>NSE:PAYTM</v>
      </c>
      <c r="V57" s="18"/>
      <c r="W57" s="18"/>
      <c r="X57" s="18"/>
    </row>
    <row r="58">
      <c r="A58" s="20"/>
      <c r="B58" s="11"/>
      <c r="C58" s="12"/>
      <c r="D58" s="12"/>
      <c r="E58" s="12"/>
      <c r="F58" s="12"/>
      <c r="G58" s="12"/>
      <c r="H58" s="12" t="str">
        <f t="shared" si="2"/>
        <v/>
      </c>
      <c r="I58" s="12">
        <f t="shared" si="3"/>
        <v>0</v>
      </c>
      <c r="J58" s="12">
        <f t="shared" si="4"/>
        <v>0</v>
      </c>
      <c r="K58" s="12">
        <f t="shared" si="5"/>
        <v>0</v>
      </c>
      <c r="L58" s="12">
        <f t="shared" si="6"/>
        <v>0</v>
      </c>
      <c r="M58" s="13" t="str">
        <f t="shared" si="7"/>
        <v/>
      </c>
      <c r="N58" s="18"/>
      <c r="O58" s="18"/>
      <c r="P58" s="18"/>
      <c r="Q58" s="34"/>
      <c r="R58" s="18"/>
      <c r="S58" s="18"/>
      <c r="T58" s="19" t="s">
        <v>78</v>
      </c>
      <c r="U58" s="9" t="str">
        <f t="shared" si="1"/>
        <v>NSE:WIPRO</v>
      </c>
      <c r="V58" s="18"/>
      <c r="W58" s="18"/>
      <c r="X58" s="18"/>
    </row>
    <row r="59">
      <c r="A59" s="20"/>
      <c r="B59" s="11"/>
      <c r="C59" s="12"/>
      <c r="D59" s="12"/>
      <c r="E59" s="12"/>
      <c r="F59" s="12"/>
      <c r="G59" s="12"/>
      <c r="H59" s="12" t="str">
        <f t="shared" si="2"/>
        <v/>
      </c>
      <c r="I59" s="12">
        <f t="shared" si="3"/>
        <v>0</v>
      </c>
      <c r="J59" s="12">
        <f t="shared" si="4"/>
        <v>0</v>
      </c>
      <c r="K59" s="12">
        <f t="shared" si="5"/>
        <v>0</v>
      </c>
      <c r="L59" s="12">
        <f t="shared" si="6"/>
        <v>0</v>
      </c>
      <c r="M59" s="13" t="str">
        <f t="shared" si="7"/>
        <v/>
      </c>
      <c r="N59" s="18"/>
      <c r="O59" s="18"/>
      <c r="P59" s="18"/>
      <c r="Q59" s="34"/>
      <c r="R59" s="18"/>
      <c r="S59" s="18"/>
      <c r="T59" s="19" t="s">
        <v>79</v>
      </c>
      <c r="U59" s="9" t="str">
        <f t="shared" si="1"/>
        <v>NSE:ULTRACEMCO</v>
      </c>
      <c r="V59" s="18"/>
      <c r="W59" s="18"/>
      <c r="X59" s="18"/>
    </row>
    <row r="60">
      <c r="A60" s="20"/>
      <c r="B60" s="11"/>
      <c r="C60" s="12"/>
      <c r="D60" s="12"/>
      <c r="E60" s="12"/>
      <c r="F60" s="12"/>
      <c r="G60" s="12"/>
      <c r="H60" s="12" t="str">
        <f t="shared" si="2"/>
        <v/>
      </c>
      <c r="I60" s="12">
        <f t="shared" si="3"/>
        <v>0</v>
      </c>
      <c r="J60" s="12">
        <f t="shared" si="4"/>
        <v>0</v>
      </c>
      <c r="K60" s="12">
        <f t="shared" si="5"/>
        <v>0</v>
      </c>
      <c r="L60" s="12">
        <f t="shared" si="6"/>
        <v>0</v>
      </c>
      <c r="M60" s="13" t="str">
        <f t="shared" si="7"/>
        <v/>
      </c>
      <c r="N60" s="18"/>
      <c r="O60" s="18"/>
      <c r="P60" s="18"/>
      <c r="Q60" s="34"/>
      <c r="R60" s="18"/>
      <c r="S60" s="18"/>
      <c r="T60" s="19" t="s">
        <v>80</v>
      </c>
      <c r="U60" s="9" t="str">
        <f t="shared" si="1"/>
        <v>NSE:POLYCAB</v>
      </c>
      <c r="V60" s="18"/>
      <c r="W60" s="18"/>
      <c r="X60" s="18"/>
    </row>
    <row r="61">
      <c r="A61" s="20"/>
      <c r="B61" s="11"/>
      <c r="C61" s="12"/>
      <c r="D61" s="12"/>
      <c r="E61" s="12"/>
      <c r="F61" s="12"/>
      <c r="G61" s="12"/>
      <c r="H61" s="12" t="str">
        <f t="shared" si="2"/>
        <v/>
      </c>
      <c r="I61" s="12">
        <f t="shared" si="3"/>
        <v>0</v>
      </c>
      <c r="J61" s="12">
        <f t="shared" si="4"/>
        <v>0</v>
      </c>
      <c r="K61" s="12">
        <f t="shared" si="5"/>
        <v>0</v>
      </c>
      <c r="L61" s="12">
        <f t="shared" si="6"/>
        <v>0</v>
      </c>
      <c r="M61" s="13" t="str">
        <f t="shared" si="7"/>
        <v/>
      </c>
      <c r="N61" s="18"/>
      <c r="O61" s="18"/>
      <c r="P61" s="18"/>
      <c r="Q61" s="34"/>
      <c r="R61" s="18"/>
      <c r="S61" s="18"/>
      <c r="T61" s="19" t="s">
        <v>81</v>
      </c>
      <c r="U61" s="9" t="str">
        <f t="shared" si="1"/>
        <v>NSE:VEDL</v>
      </c>
      <c r="V61" s="18"/>
      <c r="W61" s="18"/>
      <c r="X61" s="18"/>
    </row>
    <row r="62">
      <c r="A62" s="20"/>
      <c r="B62" s="11"/>
      <c r="C62" s="12"/>
      <c r="D62" s="12"/>
      <c r="E62" s="12"/>
      <c r="F62" s="12"/>
      <c r="G62" s="12"/>
      <c r="H62" s="12" t="str">
        <f t="shared" si="2"/>
        <v/>
      </c>
      <c r="I62" s="12">
        <f t="shared" si="3"/>
        <v>0</v>
      </c>
      <c r="J62" s="12">
        <f t="shared" si="4"/>
        <v>0</v>
      </c>
      <c r="K62" s="12">
        <f t="shared" si="5"/>
        <v>0</v>
      </c>
      <c r="L62" s="12">
        <f t="shared" si="6"/>
        <v>0</v>
      </c>
      <c r="M62" s="13" t="str">
        <f t="shared" si="7"/>
        <v/>
      </c>
      <c r="N62" s="18"/>
      <c r="O62" s="18"/>
      <c r="P62" s="18"/>
      <c r="Q62" s="34"/>
      <c r="R62" s="18"/>
      <c r="S62" s="18"/>
      <c r="T62" s="19" t="s">
        <v>82</v>
      </c>
      <c r="U62" s="9" t="str">
        <f t="shared" si="1"/>
        <v>NSE:JSWENERGY</v>
      </c>
      <c r="V62" s="18"/>
      <c r="W62" s="18"/>
      <c r="X62" s="18"/>
    </row>
    <row r="63">
      <c r="A63" s="20"/>
      <c r="B63" s="11"/>
      <c r="C63" s="12"/>
      <c r="D63" s="12"/>
      <c r="E63" s="12"/>
      <c r="F63" s="12"/>
      <c r="G63" s="12"/>
      <c r="H63" s="12" t="str">
        <f t="shared" si="2"/>
        <v/>
      </c>
      <c r="I63" s="12">
        <f t="shared" si="3"/>
        <v>0</v>
      </c>
      <c r="J63" s="12">
        <f t="shared" si="4"/>
        <v>0</v>
      </c>
      <c r="K63" s="12">
        <f t="shared" si="5"/>
        <v>0</v>
      </c>
      <c r="L63" s="12">
        <f t="shared" si="6"/>
        <v>0</v>
      </c>
      <c r="M63" s="13" t="str">
        <f t="shared" si="7"/>
        <v/>
      </c>
      <c r="N63" s="18"/>
      <c r="O63" s="18"/>
      <c r="P63" s="18"/>
      <c r="Q63" s="34"/>
      <c r="R63" s="18"/>
      <c r="S63" s="18"/>
      <c r="T63" s="19" t="s">
        <v>83</v>
      </c>
      <c r="U63" s="9" t="str">
        <f t="shared" si="1"/>
        <v>NSE:LTIM</v>
      </c>
      <c r="V63" s="18"/>
      <c r="W63" s="18"/>
      <c r="X63" s="18"/>
    </row>
    <row r="64">
      <c r="A64" s="20"/>
      <c r="B64" s="3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35"/>
      <c r="N64" s="18"/>
      <c r="O64" s="18"/>
      <c r="P64" s="18"/>
      <c r="Q64" s="34"/>
      <c r="R64" s="18"/>
      <c r="S64" s="18"/>
      <c r="T64" s="19" t="s">
        <v>84</v>
      </c>
      <c r="U64" s="9" t="str">
        <f t="shared" si="1"/>
        <v>NSE:COFORGE</v>
      </c>
      <c r="V64" s="18"/>
      <c r="W64" s="18"/>
      <c r="X64" s="18"/>
    </row>
    <row r="65">
      <c r="A65" s="20"/>
      <c r="B65" s="3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35"/>
      <c r="N65" s="18"/>
      <c r="O65" s="18"/>
      <c r="P65" s="18"/>
      <c r="Q65" s="34"/>
      <c r="R65" s="18"/>
      <c r="S65" s="18"/>
      <c r="T65" s="19" t="s">
        <v>85</v>
      </c>
      <c r="U65" s="9" t="str">
        <f t="shared" si="1"/>
        <v>NSE:CANBK</v>
      </c>
      <c r="V65" s="18"/>
      <c r="W65" s="18"/>
      <c r="X65" s="18"/>
    </row>
    <row r="66">
      <c r="A66" s="20"/>
      <c r="B66" s="3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35"/>
      <c r="N66" s="18"/>
      <c r="O66" s="18"/>
      <c r="P66" s="18"/>
      <c r="Q66" s="34"/>
      <c r="R66" s="18"/>
      <c r="S66" s="18"/>
      <c r="T66" s="19" t="s">
        <v>86</v>
      </c>
      <c r="U66" s="9" t="str">
        <f t="shared" si="1"/>
        <v>NSE:INDUSTOWER</v>
      </c>
      <c r="V66" s="18"/>
      <c r="W66" s="18"/>
      <c r="X66" s="18"/>
    </row>
    <row r="67">
      <c r="A67" s="20"/>
      <c r="B67" s="3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35"/>
      <c r="N67" s="18"/>
      <c r="O67" s="18"/>
      <c r="P67" s="18"/>
      <c r="Q67" s="34"/>
      <c r="R67" s="18"/>
      <c r="S67" s="18"/>
      <c r="T67" s="19" t="s">
        <v>87</v>
      </c>
      <c r="U67" s="9" t="str">
        <f t="shared" si="1"/>
        <v>NSE:PERSISTENT</v>
      </c>
      <c r="V67" s="18"/>
      <c r="W67" s="18"/>
      <c r="X67" s="18"/>
    </row>
    <row r="68">
      <c r="A68" s="20"/>
      <c r="B68" s="3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35"/>
      <c r="N68" s="18"/>
      <c r="O68" s="18"/>
      <c r="P68" s="18"/>
      <c r="Q68" s="34"/>
      <c r="R68" s="18"/>
      <c r="S68" s="18"/>
      <c r="T68" s="19" t="s">
        <v>88</v>
      </c>
      <c r="U68" s="9" t="str">
        <f t="shared" si="1"/>
        <v>NSE:SIEMENS</v>
      </c>
      <c r="V68" s="18"/>
      <c r="W68" s="18"/>
      <c r="X68" s="18"/>
    </row>
    <row r="69">
      <c r="A69" s="20"/>
      <c r="B69" s="3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35"/>
      <c r="N69" s="18"/>
      <c r="O69" s="18"/>
      <c r="P69" s="18"/>
      <c r="Q69" s="34"/>
      <c r="R69" s="18"/>
      <c r="S69" s="18"/>
      <c r="T69" s="19" t="s">
        <v>89</v>
      </c>
      <c r="U69" s="9" t="str">
        <f t="shared" si="1"/>
        <v>NSE:BDL</v>
      </c>
      <c r="V69" s="18"/>
      <c r="W69" s="18"/>
      <c r="X69" s="18"/>
    </row>
    <row r="70">
      <c r="A70" s="20"/>
      <c r="B70" s="3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35"/>
      <c r="N70" s="18"/>
      <c r="O70" s="18"/>
      <c r="P70" s="18"/>
      <c r="Q70" s="34"/>
      <c r="R70" s="18"/>
      <c r="S70" s="18"/>
      <c r="T70" s="19" t="s">
        <v>90</v>
      </c>
      <c r="U70" s="9" t="str">
        <f t="shared" si="1"/>
        <v>NSE:ANGELONE</v>
      </c>
      <c r="V70" s="18"/>
      <c r="W70" s="18"/>
      <c r="X70" s="18"/>
    </row>
    <row r="71">
      <c r="A71" s="20"/>
      <c r="B71" s="3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35"/>
      <c r="N71" s="18"/>
      <c r="O71" s="18"/>
      <c r="P71" s="18"/>
      <c r="Q71" s="34"/>
      <c r="R71" s="18"/>
      <c r="S71" s="18"/>
      <c r="T71" s="19" t="s">
        <v>91</v>
      </c>
      <c r="U71" s="9" t="str">
        <f t="shared" si="1"/>
        <v>NSE:BHARATFORG</v>
      </c>
      <c r="V71" s="18"/>
      <c r="W71" s="18"/>
      <c r="X71" s="18"/>
    </row>
    <row r="72">
      <c r="A72" s="20"/>
      <c r="B72" s="3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35"/>
      <c r="N72" s="18"/>
      <c r="O72" s="18"/>
      <c r="P72" s="18"/>
      <c r="Q72" s="34"/>
      <c r="R72" s="18"/>
      <c r="S72" s="18"/>
      <c r="T72" s="19" t="s">
        <v>92</v>
      </c>
      <c r="U72" s="9" t="str">
        <f t="shared" si="1"/>
        <v>NSE:BEML</v>
      </c>
      <c r="V72" s="18"/>
      <c r="W72" s="18"/>
      <c r="X72" s="18"/>
    </row>
    <row r="73">
      <c r="A73" s="20"/>
      <c r="B73" s="3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35"/>
      <c r="N73" s="18"/>
      <c r="O73" s="18"/>
      <c r="P73" s="18"/>
      <c r="Q73" s="34"/>
      <c r="R73" s="18"/>
      <c r="S73" s="18"/>
      <c r="T73" s="19" t="s">
        <v>93</v>
      </c>
      <c r="U73" s="9" t="str">
        <f t="shared" si="1"/>
        <v>NSE:MAXHEALTH</v>
      </c>
      <c r="V73" s="18"/>
      <c r="W73" s="18"/>
      <c r="X73" s="18"/>
    </row>
    <row r="74">
      <c r="A74" s="20"/>
      <c r="B74" s="3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35"/>
      <c r="N74" s="18"/>
      <c r="O74" s="18"/>
      <c r="P74" s="18"/>
      <c r="Q74" s="34"/>
      <c r="R74" s="18"/>
      <c r="S74" s="18"/>
      <c r="T74" s="19" t="s">
        <v>94</v>
      </c>
      <c r="U74" s="9" t="str">
        <f t="shared" si="1"/>
        <v>NSE:FSL</v>
      </c>
      <c r="V74" s="18"/>
      <c r="W74" s="18"/>
      <c r="X74" s="18"/>
    </row>
    <row r="75">
      <c r="A75" s="20"/>
      <c r="B75" s="3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35"/>
      <c r="N75" s="18"/>
      <c r="O75" s="18"/>
      <c r="P75" s="18"/>
      <c r="Q75" s="34"/>
      <c r="R75" s="18"/>
      <c r="S75" s="18"/>
      <c r="T75" s="19" t="s">
        <v>95</v>
      </c>
      <c r="U75" s="9" t="str">
        <f t="shared" si="1"/>
        <v>NSE:DLF</v>
      </c>
      <c r="V75" s="18"/>
      <c r="W75" s="18"/>
      <c r="X75" s="18"/>
    </row>
    <row r="76">
      <c r="A76" s="20"/>
      <c r="B76" s="3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35"/>
      <c r="N76" s="18"/>
      <c r="O76" s="18"/>
      <c r="P76" s="18"/>
      <c r="Q76" s="34"/>
      <c r="R76" s="18"/>
      <c r="S76" s="18"/>
      <c r="T76" s="19" t="s">
        <v>96</v>
      </c>
      <c r="U76" s="9" t="str">
        <f t="shared" si="1"/>
        <v>NSE:MPHASIS</v>
      </c>
      <c r="V76" s="18"/>
      <c r="W76" s="18"/>
      <c r="X76" s="18"/>
    </row>
    <row r="77">
      <c r="A77" s="20"/>
      <c r="B77" s="3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35"/>
      <c r="N77" s="18"/>
      <c r="O77" s="18"/>
      <c r="P77" s="18"/>
      <c r="Q77" s="34"/>
      <c r="R77" s="18"/>
      <c r="S77" s="18"/>
      <c r="T77" s="19" t="s">
        <v>97</v>
      </c>
      <c r="U77" s="9" t="str">
        <f t="shared" si="1"/>
        <v>NSE:INDHOTEL</v>
      </c>
      <c r="V77" s="18"/>
      <c r="W77" s="18"/>
      <c r="X77" s="18"/>
    </row>
    <row r="78">
      <c r="A78" s="20"/>
      <c r="B78" s="3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35"/>
      <c r="N78" s="18"/>
      <c r="O78" s="18"/>
      <c r="P78" s="18"/>
      <c r="Q78" s="34"/>
      <c r="R78" s="18"/>
      <c r="S78" s="18"/>
      <c r="T78" s="19" t="s">
        <v>98</v>
      </c>
      <c r="U78" s="9" t="str">
        <f t="shared" si="1"/>
        <v>NSE:ABB</v>
      </c>
      <c r="V78" s="18"/>
      <c r="W78" s="18"/>
      <c r="X78" s="18"/>
    </row>
    <row r="79">
      <c r="A79" s="20"/>
      <c r="B79" s="3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35"/>
      <c r="N79" s="18"/>
      <c r="O79" s="18"/>
      <c r="P79" s="18"/>
      <c r="Q79" s="34"/>
      <c r="R79" s="18"/>
      <c r="S79" s="18"/>
      <c r="T79" s="19" t="s">
        <v>99</v>
      </c>
      <c r="U79" s="9" t="str">
        <f t="shared" si="1"/>
        <v>NSE:MANKIND</v>
      </c>
      <c r="V79" s="18"/>
      <c r="W79" s="18"/>
      <c r="X79" s="18"/>
    </row>
    <row r="80">
      <c r="A80" s="20"/>
      <c r="B80" s="3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35"/>
      <c r="N80" s="18"/>
      <c r="O80" s="18"/>
      <c r="P80" s="18"/>
      <c r="Q80" s="34"/>
      <c r="R80" s="18"/>
      <c r="S80" s="18"/>
      <c r="T80" s="19" t="s">
        <v>100</v>
      </c>
      <c r="U80" s="9" t="str">
        <f t="shared" si="1"/>
        <v>NSE:MCX</v>
      </c>
      <c r="V80" s="18"/>
      <c r="W80" s="18"/>
      <c r="X80" s="18"/>
    </row>
    <row r="81">
      <c r="A81" s="20"/>
      <c r="B81" s="3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35"/>
      <c r="N81" s="18"/>
      <c r="O81" s="18"/>
      <c r="P81" s="18"/>
      <c r="Q81" s="34"/>
      <c r="R81" s="18"/>
      <c r="S81" s="18"/>
      <c r="T81" s="19" t="s">
        <v>101</v>
      </c>
      <c r="U81" s="9" t="str">
        <f t="shared" si="1"/>
        <v>NSE:CASTROLIND</v>
      </c>
      <c r="V81" s="18"/>
      <c r="W81" s="18"/>
      <c r="X81" s="18"/>
    </row>
    <row r="82">
      <c r="A82" s="20"/>
      <c r="B82" s="3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35"/>
      <c r="N82" s="18"/>
      <c r="O82" s="18"/>
      <c r="P82" s="18"/>
      <c r="Q82" s="34"/>
      <c r="R82" s="18"/>
      <c r="S82" s="18"/>
      <c r="T82" s="19" t="s">
        <v>102</v>
      </c>
      <c r="U82" s="9" t="str">
        <f t="shared" si="1"/>
        <v>NSE:NAUKRI</v>
      </c>
      <c r="V82" s="18"/>
      <c r="W82" s="18"/>
      <c r="X82" s="18"/>
    </row>
    <row r="83">
      <c r="A83" s="20"/>
      <c r="B83" s="3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35"/>
      <c r="N83" s="18"/>
      <c r="O83" s="18"/>
      <c r="P83" s="18"/>
      <c r="Q83" s="34"/>
      <c r="R83" s="18"/>
      <c r="S83" s="18"/>
      <c r="T83" s="19" t="s">
        <v>103</v>
      </c>
      <c r="U83" s="9" t="str">
        <f t="shared" si="1"/>
        <v>NSE:RVNL</v>
      </c>
      <c r="V83" s="18"/>
      <c r="W83" s="18"/>
      <c r="X83" s="18"/>
    </row>
    <row r="84">
      <c r="A84" s="20"/>
      <c r="B84" s="3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35"/>
      <c r="N84" s="18"/>
      <c r="O84" s="18"/>
      <c r="P84" s="18"/>
      <c r="Q84" s="34"/>
      <c r="R84" s="18"/>
      <c r="S84" s="18"/>
      <c r="T84" s="19" t="s">
        <v>104</v>
      </c>
      <c r="U84" s="9" t="str">
        <f t="shared" si="1"/>
        <v>NSE:BANKBARODA</v>
      </c>
      <c r="V84" s="18"/>
      <c r="W84" s="18"/>
      <c r="X84" s="18"/>
    </row>
    <row r="85">
      <c r="A85" s="20"/>
      <c r="B85" s="3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35"/>
      <c r="N85" s="18"/>
      <c r="O85" s="18"/>
      <c r="P85" s="18"/>
      <c r="Q85" s="34"/>
      <c r="R85" s="18"/>
      <c r="S85" s="18"/>
      <c r="T85" s="19" t="s">
        <v>105</v>
      </c>
      <c r="U85" s="9" t="str">
        <f t="shared" si="1"/>
        <v>NSE:AVANTIFEED</v>
      </c>
      <c r="V85" s="18"/>
      <c r="W85" s="18"/>
      <c r="X85" s="18"/>
    </row>
    <row r="86">
      <c r="A86" s="20"/>
      <c r="B86" s="3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35"/>
      <c r="N86" s="18"/>
      <c r="O86" s="18"/>
      <c r="P86" s="18"/>
      <c r="Q86" s="34"/>
      <c r="R86" s="18"/>
      <c r="S86" s="18"/>
      <c r="T86" s="19" t="s">
        <v>106</v>
      </c>
      <c r="U86" s="9" t="str">
        <f t="shared" si="1"/>
        <v>NSE:VOLTAS</v>
      </c>
      <c r="V86" s="18"/>
      <c r="W86" s="18"/>
      <c r="X86" s="18"/>
    </row>
    <row r="87">
      <c r="A87" s="20"/>
      <c r="B87" s="3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35"/>
      <c r="N87" s="18"/>
      <c r="O87" s="18"/>
      <c r="P87" s="18"/>
      <c r="Q87" s="34"/>
      <c r="R87" s="18"/>
      <c r="S87" s="18"/>
      <c r="T87" s="19" t="s">
        <v>107</v>
      </c>
      <c r="U87" s="9" t="str">
        <f t="shared" si="1"/>
        <v>NSE:ENGINERSIN</v>
      </c>
      <c r="V87" s="18"/>
      <c r="W87" s="18"/>
      <c r="X87" s="18"/>
    </row>
    <row r="88">
      <c r="A88" s="20"/>
      <c r="B88" s="3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35"/>
      <c r="N88" s="18"/>
      <c r="O88" s="18"/>
      <c r="P88" s="18"/>
      <c r="Q88" s="34"/>
      <c r="R88" s="18"/>
      <c r="S88" s="18"/>
      <c r="T88" s="19" t="s">
        <v>108</v>
      </c>
      <c r="U88" s="9" t="str">
        <f t="shared" si="1"/>
        <v>NSE:OIL</v>
      </c>
      <c r="V88" s="18"/>
      <c r="W88" s="18"/>
      <c r="X88" s="18"/>
    </row>
    <row r="89">
      <c r="A89" s="20"/>
      <c r="B89" s="3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35"/>
      <c r="N89" s="18"/>
      <c r="O89" s="18"/>
      <c r="P89" s="18"/>
      <c r="Q89" s="34"/>
      <c r="R89" s="18"/>
      <c r="S89" s="18"/>
      <c r="T89" s="19" t="s">
        <v>109</v>
      </c>
      <c r="U89" s="9" t="str">
        <f t="shared" si="1"/>
        <v>NSE:ADANIENSOL</v>
      </c>
      <c r="V89" s="18"/>
      <c r="W89" s="18"/>
      <c r="X89" s="18"/>
    </row>
    <row r="90">
      <c r="A90" s="20"/>
      <c r="B90" s="3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35"/>
      <c r="N90" s="18"/>
      <c r="O90" s="18"/>
      <c r="P90" s="18"/>
      <c r="Q90" s="34"/>
      <c r="R90" s="18"/>
      <c r="S90" s="18"/>
      <c r="T90" s="19" t="s">
        <v>110</v>
      </c>
      <c r="U90" s="9" t="str">
        <f t="shared" si="1"/>
        <v>NSE:TATAPOWER</v>
      </c>
      <c r="V90" s="18"/>
      <c r="W90" s="18"/>
      <c r="X90" s="18"/>
    </row>
    <row r="91">
      <c r="A91" s="20"/>
      <c r="B91" s="3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35"/>
      <c r="N91" s="18"/>
      <c r="O91" s="18"/>
      <c r="P91" s="18"/>
      <c r="Q91" s="34"/>
      <c r="R91" s="18"/>
      <c r="S91" s="18"/>
      <c r="T91" s="19" t="s">
        <v>111</v>
      </c>
      <c r="U91" s="9" t="str">
        <f t="shared" si="1"/>
        <v>NSE:SWIGGY</v>
      </c>
      <c r="V91" s="18"/>
      <c r="W91" s="18"/>
      <c r="X91" s="18"/>
    </row>
    <row r="92">
      <c r="A92" s="20"/>
      <c r="B92" s="3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35"/>
      <c r="N92" s="18"/>
      <c r="O92" s="18"/>
      <c r="P92" s="18"/>
      <c r="Q92" s="34"/>
      <c r="R92" s="18"/>
      <c r="S92" s="18"/>
      <c r="T92" s="19" t="s">
        <v>112</v>
      </c>
      <c r="U92" s="9" t="str">
        <f t="shared" si="1"/>
        <v>NSE:ADANIENT</v>
      </c>
      <c r="V92" s="18"/>
      <c r="W92" s="18"/>
      <c r="X92" s="18"/>
    </row>
    <row r="93">
      <c r="A93" s="20"/>
      <c r="B93" s="3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35"/>
      <c r="N93" s="18"/>
      <c r="O93" s="18"/>
      <c r="P93" s="18"/>
      <c r="Q93" s="34"/>
      <c r="R93" s="18"/>
      <c r="S93" s="18"/>
      <c r="T93" s="19" t="s">
        <v>113</v>
      </c>
      <c r="U93" s="9" t="str">
        <f t="shared" si="1"/>
        <v>NSE:ASIANPAINT</v>
      </c>
      <c r="V93" s="18"/>
      <c r="W93" s="18"/>
      <c r="X93" s="18"/>
    </row>
    <row r="94">
      <c r="A94" s="20"/>
      <c r="B94" s="3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35"/>
      <c r="N94" s="18"/>
      <c r="O94" s="18"/>
      <c r="P94" s="18"/>
      <c r="Q94" s="34"/>
      <c r="R94" s="18"/>
      <c r="S94" s="18"/>
      <c r="T94" s="19" t="s">
        <v>114</v>
      </c>
      <c r="U94" s="9" t="str">
        <f t="shared" si="1"/>
        <v>NSE:MOTHERSON</v>
      </c>
      <c r="V94" s="18"/>
      <c r="W94" s="18"/>
      <c r="X94" s="18"/>
    </row>
    <row r="95">
      <c r="A95" s="20"/>
      <c r="B95" s="3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35"/>
      <c r="N95" s="18"/>
      <c r="O95" s="18"/>
      <c r="P95" s="18"/>
      <c r="Q95" s="34"/>
      <c r="R95" s="18"/>
      <c r="S95" s="18"/>
      <c r="T95" s="19" t="s">
        <v>115</v>
      </c>
      <c r="U95" s="9" t="str">
        <f t="shared" si="1"/>
        <v>NSE:UNOMINDA</v>
      </c>
      <c r="V95" s="18"/>
      <c r="W95" s="18"/>
      <c r="X95" s="18"/>
    </row>
    <row r="96">
      <c r="A96" s="20"/>
      <c r="B96" s="3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35"/>
      <c r="N96" s="18"/>
      <c r="O96" s="18"/>
      <c r="P96" s="18"/>
      <c r="Q96" s="34"/>
      <c r="R96" s="18"/>
      <c r="S96" s="18"/>
      <c r="T96" s="19" t="s">
        <v>116</v>
      </c>
      <c r="U96" s="9" t="str">
        <f t="shared" si="1"/>
        <v>NSE:HDFCAMC</v>
      </c>
      <c r="V96" s="18"/>
      <c r="W96" s="18"/>
      <c r="X96" s="18"/>
    </row>
    <row r="97">
      <c r="A97" s="20"/>
      <c r="B97" s="3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35"/>
      <c r="N97" s="18"/>
      <c r="O97" s="18"/>
      <c r="P97" s="18"/>
      <c r="Q97" s="34"/>
      <c r="R97" s="18"/>
      <c r="S97" s="18"/>
      <c r="T97" s="19" t="s">
        <v>117</v>
      </c>
      <c r="U97" s="9" t="str">
        <f t="shared" si="1"/>
        <v>NSE:IDFCFIRSTB</v>
      </c>
      <c r="V97" s="18"/>
      <c r="W97" s="18"/>
      <c r="X97" s="18"/>
    </row>
    <row r="98">
      <c r="A98" s="20"/>
      <c r="B98" s="3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35"/>
      <c r="N98" s="18"/>
      <c r="O98" s="18"/>
      <c r="P98" s="18"/>
      <c r="Q98" s="34"/>
      <c r="R98" s="18"/>
      <c r="S98" s="18"/>
      <c r="T98" s="19" t="s">
        <v>118</v>
      </c>
      <c r="U98" s="9" t="str">
        <f t="shared" si="1"/>
        <v>NSE:SRF</v>
      </c>
      <c r="V98" s="18"/>
      <c r="W98" s="18"/>
      <c r="X98" s="18"/>
    </row>
    <row r="99">
      <c r="A99" s="20"/>
      <c r="B99" s="3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35"/>
      <c r="N99" s="18"/>
      <c r="O99" s="18"/>
      <c r="P99" s="18"/>
      <c r="Q99" s="34"/>
      <c r="R99" s="18"/>
      <c r="S99" s="18"/>
      <c r="T99" s="19" t="s">
        <v>119</v>
      </c>
      <c r="U99" s="9" t="str">
        <f t="shared" si="1"/>
        <v>NSE:ADANIPORTS</v>
      </c>
      <c r="V99" s="18"/>
      <c r="W99" s="18"/>
      <c r="X99" s="18"/>
    </row>
    <row r="100">
      <c r="A100" s="20"/>
      <c r="B100" s="3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35"/>
      <c r="N100" s="18"/>
      <c r="O100" s="18"/>
      <c r="P100" s="18"/>
      <c r="Q100" s="34"/>
      <c r="R100" s="18"/>
      <c r="S100" s="18"/>
      <c r="T100" s="19" t="s">
        <v>120</v>
      </c>
      <c r="U100" s="9" t="str">
        <f t="shared" si="1"/>
        <v>NSE:HINDPETRO</v>
      </c>
      <c r="V100" s="18"/>
      <c r="W100" s="18"/>
      <c r="X100" s="18"/>
    </row>
    <row r="101">
      <c r="A101" s="20"/>
      <c r="B101" s="3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35"/>
      <c r="N101" s="18"/>
      <c r="O101" s="18"/>
      <c r="P101" s="18"/>
      <c r="Q101" s="34"/>
      <c r="R101" s="18"/>
      <c r="S101" s="18"/>
      <c r="T101" s="19" t="s">
        <v>121</v>
      </c>
      <c r="U101" s="9" t="str">
        <f t="shared" si="1"/>
        <v>NSE:APOLLOHOSP</v>
      </c>
      <c r="V101" s="18"/>
      <c r="W101" s="18"/>
      <c r="X101" s="18"/>
    </row>
    <row r="102">
      <c r="A102" s="20"/>
      <c r="B102" s="3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35"/>
      <c r="N102" s="18"/>
      <c r="O102" s="18"/>
      <c r="P102" s="18"/>
      <c r="Q102" s="34"/>
      <c r="R102" s="18"/>
      <c r="S102" s="18"/>
      <c r="T102" s="19" t="s">
        <v>122</v>
      </c>
      <c r="U102" s="9" t="str">
        <f t="shared" si="1"/>
        <v>NSE:VMM</v>
      </c>
      <c r="V102" s="18"/>
      <c r="W102" s="18"/>
      <c r="X102" s="18"/>
    </row>
    <row r="103">
      <c r="A103" s="20"/>
      <c r="B103" s="3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35"/>
      <c r="N103" s="18"/>
      <c r="O103" s="18"/>
      <c r="P103" s="18"/>
      <c r="Q103" s="34"/>
      <c r="R103" s="18"/>
      <c r="S103" s="18"/>
      <c r="T103" s="19" t="s">
        <v>123</v>
      </c>
      <c r="U103" s="9" t="str">
        <f t="shared" si="1"/>
        <v>NSE:COALINDIA</v>
      </c>
      <c r="V103" s="18"/>
      <c r="W103" s="18"/>
      <c r="X103" s="18"/>
    </row>
    <row r="104">
      <c r="A104" s="20"/>
      <c r="B104" s="3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35"/>
      <c r="N104" s="18"/>
      <c r="O104" s="18"/>
      <c r="P104" s="18"/>
      <c r="Q104" s="34"/>
      <c r="R104" s="18"/>
      <c r="S104" s="18"/>
      <c r="T104" s="19" t="s">
        <v>124</v>
      </c>
      <c r="U104" s="9" t="str">
        <f t="shared" si="1"/>
        <v>NSE:GAIL</v>
      </c>
      <c r="V104" s="18"/>
      <c r="W104" s="18"/>
      <c r="X104" s="18"/>
    </row>
    <row r="105">
      <c r="A105" s="20"/>
      <c r="B105" s="3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35"/>
      <c r="N105" s="18"/>
      <c r="O105" s="18"/>
      <c r="P105" s="18"/>
      <c r="Q105" s="34"/>
      <c r="R105" s="18"/>
      <c r="S105" s="18"/>
      <c r="T105" s="19" t="s">
        <v>125</v>
      </c>
      <c r="U105" s="9" t="str">
        <f t="shared" si="1"/>
        <v>NSE:LODHA</v>
      </c>
      <c r="V105" s="18"/>
      <c r="W105" s="18"/>
      <c r="X105" s="18"/>
    </row>
    <row r="106">
      <c r="A106" s="20"/>
      <c r="B106" s="3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35"/>
      <c r="N106" s="18"/>
      <c r="O106" s="18"/>
      <c r="P106" s="18"/>
      <c r="Q106" s="34"/>
      <c r="R106" s="18"/>
      <c r="S106" s="18"/>
      <c r="T106" s="19" t="s">
        <v>126</v>
      </c>
      <c r="U106" s="9" t="str">
        <f t="shared" si="1"/>
        <v>NSE:DRREDDY</v>
      </c>
      <c r="V106" s="18"/>
      <c r="W106" s="18"/>
      <c r="X106" s="18"/>
    </row>
    <row r="107">
      <c r="A107" s="20"/>
      <c r="B107" s="3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35"/>
      <c r="N107" s="18"/>
      <c r="O107" s="18"/>
      <c r="P107" s="18"/>
      <c r="Q107" s="34"/>
      <c r="R107" s="18"/>
      <c r="S107" s="18"/>
      <c r="T107" s="19" t="s">
        <v>127</v>
      </c>
      <c r="U107" s="9" t="str">
        <f t="shared" si="1"/>
        <v>NSE:TECHM</v>
      </c>
      <c r="V107" s="18"/>
      <c r="W107" s="18"/>
      <c r="X107" s="18"/>
    </row>
    <row r="108">
      <c r="A108" s="20"/>
      <c r="B108" s="3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35"/>
      <c r="N108" s="18"/>
      <c r="O108" s="18"/>
      <c r="P108" s="18"/>
      <c r="Q108" s="34"/>
      <c r="R108" s="18"/>
      <c r="S108" s="18"/>
      <c r="T108" s="19" t="s">
        <v>128</v>
      </c>
      <c r="U108" s="9" t="str">
        <f t="shared" si="1"/>
        <v>NSE:HAVELLS</v>
      </c>
      <c r="V108" s="18"/>
      <c r="W108" s="18"/>
      <c r="X108" s="18"/>
    </row>
    <row r="109">
      <c r="A109" s="20"/>
      <c r="B109" s="3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35"/>
      <c r="N109" s="18"/>
      <c r="O109" s="18"/>
      <c r="P109" s="18"/>
      <c r="Q109" s="34"/>
      <c r="R109" s="18"/>
      <c r="S109" s="18"/>
      <c r="T109" s="19" t="s">
        <v>129</v>
      </c>
      <c r="U109" s="9" t="str">
        <f t="shared" si="1"/>
        <v>NSE:WHIRLPOOL</v>
      </c>
      <c r="V109" s="18"/>
      <c r="W109" s="18"/>
      <c r="X109" s="18"/>
    </row>
    <row r="110">
      <c r="A110" s="20"/>
      <c r="B110" s="3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35"/>
      <c r="N110" s="18"/>
      <c r="O110" s="18"/>
      <c r="P110" s="18"/>
      <c r="Q110" s="34"/>
      <c r="R110" s="18"/>
      <c r="S110" s="18"/>
      <c r="T110" s="19" t="s">
        <v>130</v>
      </c>
      <c r="U110" s="9" t="str">
        <f t="shared" si="1"/>
        <v>NSE:HFCL</v>
      </c>
      <c r="V110" s="18"/>
      <c r="W110" s="18"/>
      <c r="X110" s="18"/>
    </row>
    <row r="111">
      <c r="A111" s="20"/>
      <c r="B111" s="3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35"/>
      <c r="N111" s="18"/>
      <c r="O111" s="18"/>
      <c r="P111" s="18"/>
      <c r="Q111" s="34"/>
      <c r="R111" s="18"/>
      <c r="S111" s="18"/>
      <c r="T111" s="19" t="s">
        <v>131</v>
      </c>
      <c r="U111" s="9" t="str">
        <f t="shared" si="1"/>
        <v>NSE:HDFCLIFE</v>
      </c>
      <c r="V111" s="18"/>
      <c r="W111" s="18"/>
      <c r="X111" s="18"/>
    </row>
    <row r="112">
      <c r="A112" s="20"/>
      <c r="B112" s="3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35"/>
      <c r="N112" s="18"/>
      <c r="O112" s="18"/>
      <c r="P112" s="18"/>
      <c r="Q112" s="34"/>
      <c r="R112" s="18"/>
      <c r="S112" s="18"/>
      <c r="T112" s="19" t="s">
        <v>132</v>
      </c>
      <c r="U112" s="9" t="str">
        <f t="shared" si="1"/>
        <v>NSE:MANAPPURAM</v>
      </c>
      <c r="V112" s="18"/>
      <c r="W112" s="18"/>
      <c r="X112" s="18"/>
    </row>
    <row r="113">
      <c r="A113" s="20"/>
      <c r="B113" s="3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35"/>
      <c r="N113" s="18"/>
      <c r="O113" s="18"/>
      <c r="P113" s="18"/>
      <c r="Q113" s="34"/>
      <c r="R113" s="18"/>
      <c r="S113" s="18"/>
      <c r="T113" s="19" t="s">
        <v>133</v>
      </c>
      <c r="U113" s="9" t="str">
        <f t="shared" si="1"/>
        <v>NSE:IOC</v>
      </c>
      <c r="V113" s="18"/>
      <c r="W113" s="18"/>
      <c r="X113" s="18"/>
    </row>
    <row r="114">
      <c r="A114" s="20"/>
      <c r="B114" s="3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35"/>
      <c r="N114" s="18"/>
      <c r="O114" s="18"/>
      <c r="P114" s="18"/>
      <c r="Q114" s="34"/>
      <c r="R114" s="18"/>
      <c r="S114" s="18"/>
      <c r="T114" s="19" t="s">
        <v>134</v>
      </c>
      <c r="U114" s="9" t="str">
        <f t="shared" si="1"/>
        <v>NSE:IRFC</v>
      </c>
      <c r="V114" s="18"/>
      <c r="W114" s="18"/>
      <c r="X114" s="18"/>
    </row>
    <row r="115">
      <c r="A115" s="20"/>
      <c r="B115" s="3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35"/>
      <c r="N115" s="18"/>
      <c r="O115" s="18"/>
      <c r="P115" s="18"/>
      <c r="Q115" s="34"/>
      <c r="R115" s="18"/>
      <c r="S115" s="18"/>
      <c r="T115" s="19" t="s">
        <v>135</v>
      </c>
      <c r="U115" s="9" t="str">
        <f t="shared" si="1"/>
        <v>NSE:BRITANNIA</v>
      </c>
      <c r="V115" s="18"/>
      <c r="W115" s="18"/>
      <c r="X115" s="18"/>
    </row>
    <row r="116">
      <c r="A116" s="20"/>
      <c r="B116" s="3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35"/>
      <c r="N116" s="18"/>
      <c r="O116" s="18"/>
      <c r="P116" s="18"/>
      <c r="Q116" s="34"/>
      <c r="R116" s="18"/>
      <c r="S116" s="18"/>
      <c r="T116" s="19" t="s">
        <v>136</v>
      </c>
      <c r="U116" s="9" t="str">
        <f t="shared" si="1"/>
        <v>NSE:ICICIGI</v>
      </c>
      <c r="V116" s="18"/>
      <c r="W116" s="18"/>
      <c r="X116" s="18"/>
    </row>
    <row r="117">
      <c r="A117" s="20"/>
      <c r="B117" s="3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35"/>
      <c r="N117" s="18"/>
      <c r="O117" s="18"/>
      <c r="P117" s="18"/>
      <c r="Q117" s="34"/>
      <c r="R117" s="18"/>
      <c r="S117" s="18"/>
      <c r="T117" s="19" t="s">
        <v>137</v>
      </c>
      <c r="U117" s="9" t="str">
        <f t="shared" si="1"/>
        <v>NSE:AFFLE</v>
      </c>
      <c r="V117" s="18"/>
      <c r="W117" s="18"/>
      <c r="X117" s="18"/>
    </row>
    <row r="118">
      <c r="A118" s="20"/>
      <c r="B118" s="3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35"/>
      <c r="N118" s="18"/>
      <c r="O118" s="18"/>
      <c r="P118" s="18"/>
      <c r="Q118" s="34"/>
      <c r="R118" s="18"/>
      <c r="S118" s="18"/>
      <c r="T118" s="19" t="s">
        <v>138</v>
      </c>
      <c r="U118" s="9" t="str">
        <f t="shared" si="1"/>
        <v>NSE:EICHERMOT</v>
      </c>
      <c r="V118" s="18"/>
      <c r="W118" s="18"/>
      <c r="X118" s="18"/>
    </row>
    <row r="119">
      <c r="A119" s="20"/>
      <c r="B119" s="3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35"/>
      <c r="N119" s="18"/>
      <c r="O119" s="18"/>
      <c r="P119" s="18"/>
      <c r="Q119" s="34"/>
      <c r="R119" s="18"/>
      <c r="S119" s="18"/>
      <c r="T119" s="19" t="s">
        <v>139</v>
      </c>
      <c r="U119" s="9" t="str">
        <f t="shared" si="1"/>
        <v>NSE:PNB</v>
      </c>
      <c r="V119" s="18"/>
      <c r="W119" s="18"/>
      <c r="X119" s="18"/>
    </row>
    <row r="120">
      <c r="A120" s="20"/>
      <c r="B120" s="3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35"/>
      <c r="N120" s="18"/>
      <c r="O120" s="18"/>
      <c r="P120" s="18"/>
      <c r="Q120" s="34"/>
      <c r="R120" s="18"/>
      <c r="S120" s="18"/>
      <c r="T120" s="19" t="s">
        <v>140</v>
      </c>
      <c r="U120" s="9" t="str">
        <f t="shared" si="1"/>
        <v>NSE:HEROMOTOCO</v>
      </c>
      <c r="V120" s="18"/>
      <c r="W120" s="18"/>
      <c r="X120" s="18"/>
    </row>
    <row r="121">
      <c r="A121" s="20"/>
      <c r="B121" s="3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35"/>
      <c r="N121" s="18"/>
      <c r="O121" s="18"/>
      <c r="P121" s="18"/>
      <c r="Q121" s="34"/>
      <c r="R121" s="18"/>
      <c r="S121" s="18"/>
      <c r="T121" s="19" t="s">
        <v>141</v>
      </c>
      <c r="U121" s="9" t="str">
        <f t="shared" si="1"/>
        <v>NSE:SBILIFE</v>
      </c>
      <c r="V121" s="18"/>
      <c r="W121" s="18"/>
      <c r="X121" s="18"/>
    </row>
    <row r="122">
      <c r="A122" s="20"/>
      <c r="B122" s="3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35"/>
      <c r="N122" s="18"/>
      <c r="O122" s="18"/>
      <c r="P122" s="18"/>
      <c r="Q122" s="34"/>
      <c r="R122" s="18"/>
      <c r="S122" s="18"/>
      <c r="T122" s="19" t="s">
        <v>142</v>
      </c>
      <c r="U122" s="9" t="str">
        <f t="shared" si="1"/>
        <v>NSE:BHEL</v>
      </c>
      <c r="V122" s="18"/>
      <c r="W122" s="18"/>
      <c r="X122" s="18"/>
    </row>
    <row r="123">
      <c r="A123" s="20"/>
      <c r="B123" s="3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35"/>
      <c r="N123" s="18"/>
      <c r="O123" s="18"/>
      <c r="P123" s="18"/>
      <c r="Q123" s="34"/>
      <c r="R123" s="18"/>
      <c r="S123" s="18"/>
      <c r="T123" s="19" t="s">
        <v>143</v>
      </c>
      <c r="U123" s="9" t="str">
        <f t="shared" si="1"/>
        <v>NSE:DIVISLAB</v>
      </c>
      <c r="V123" s="18"/>
      <c r="W123" s="18"/>
      <c r="X123" s="18"/>
    </row>
    <row r="124">
      <c r="A124" s="20"/>
      <c r="B124" s="3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35"/>
      <c r="N124" s="18"/>
      <c r="O124" s="18"/>
      <c r="P124" s="18"/>
      <c r="Q124" s="34"/>
      <c r="R124" s="18"/>
      <c r="S124" s="18"/>
      <c r="T124" s="19" t="s">
        <v>144</v>
      </c>
      <c r="U124" s="9" t="str">
        <f t="shared" si="1"/>
        <v>NSE:360ONE</v>
      </c>
      <c r="V124" s="18"/>
      <c r="W124" s="18"/>
      <c r="X124" s="18"/>
    </row>
    <row r="125">
      <c r="A125" s="20"/>
      <c r="B125" s="3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35"/>
      <c r="N125" s="18"/>
      <c r="O125" s="18"/>
      <c r="P125" s="18"/>
      <c r="Q125" s="34"/>
      <c r="R125" s="18"/>
      <c r="S125" s="18"/>
      <c r="T125" s="19" t="s">
        <v>145</v>
      </c>
      <c r="U125" s="9" t="str">
        <f t="shared" si="1"/>
        <v>NSE:AAVAS</v>
      </c>
      <c r="V125" s="18"/>
      <c r="W125" s="18"/>
      <c r="X125" s="18"/>
    </row>
    <row r="126">
      <c r="A126" s="20"/>
      <c r="B126" s="3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35"/>
      <c r="N126" s="18"/>
      <c r="O126" s="18"/>
      <c r="P126" s="18"/>
      <c r="Q126" s="34"/>
      <c r="R126" s="18"/>
      <c r="S126" s="18"/>
      <c r="T126" s="19" t="s">
        <v>146</v>
      </c>
      <c r="U126" s="9" t="str">
        <f t="shared" si="1"/>
        <v>NSE:JSWSTEEL</v>
      </c>
      <c r="V126" s="18"/>
      <c r="W126" s="18"/>
      <c r="X126" s="18"/>
    </row>
    <row r="127">
      <c r="A127" s="20"/>
      <c r="B127" s="3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35"/>
      <c r="N127" s="18"/>
      <c r="O127" s="18"/>
      <c r="P127" s="18"/>
      <c r="Q127" s="34"/>
      <c r="R127" s="18"/>
      <c r="S127" s="18"/>
      <c r="T127" s="19" t="s">
        <v>147</v>
      </c>
      <c r="U127" s="9" t="str">
        <f t="shared" si="1"/>
        <v>NSE:HYUNDAI</v>
      </c>
      <c r="V127" s="18"/>
      <c r="W127" s="18"/>
      <c r="X127" s="18"/>
    </row>
    <row r="128">
      <c r="A128" s="20"/>
      <c r="B128" s="3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35"/>
      <c r="N128" s="18"/>
      <c r="O128" s="18"/>
      <c r="P128" s="18"/>
      <c r="Q128" s="34"/>
      <c r="R128" s="18"/>
      <c r="S128" s="18"/>
      <c r="T128" s="19" t="s">
        <v>148</v>
      </c>
      <c r="U128" s="9" t="str">
        <f t="shared" si="1"/>
        <v>NSE:THERMAX</v>
      </c>
      <c r="V128" s="18"/>
      <c r="W128" s="18"/>
      <c r="X128" s="18"/>
    </row>
    <row r="129">
      <c r="A129" s="20"/>
      <c r="B129" s="3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35"/>
      <c r="N129" s="18"/>
      <c r="O129" s="18"/>
      <c r="P129" s="18"/>
      <c r="Q129" s="34"/>
      <c r="R129" s="18"/>
      <c r="S129" s="18"/>
      <c r="T129" s="19" t="s">
        <v>149</v>
      </c>
      <c r="U129" s="9" t="str">
        <f t="shared" si="1"/>
        <v>NSE:SEPC</v>
      </c>
      <c r="V129" s="18"/>
      <c r="W129" s="18"/>
      <c r="X129" s="18"/>
    </row>
    <row r="130">
      <c r="A130" s="20"/>
      <c r="B130" s="3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35"/>
      <c r="N130" s="18"/>
      <c r="O130" s="18"/>
      <c r="P130" s="18"/>
      <c r="Q130" s="34"/>
      <c r="R130" s="18"/>
      <c r="S130" s="18"/>
      <c r="T130" s="19" t="s">
        <v>150</v>
      </c>
      <c r="U130" s="9" t="str">
        <f t="shared" si="1"/>
        <v>NSE:BPCL</v>
      </c>
      <c r="V130" s="18"/>
      <c r="W130" s="18"/>
      <c r="X130" s="18"/>
    </row>
    <row r="131">
      <c r="A131" s="20"/>
      <c r="B131" s="3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35"/>
      <c r="N131" s="18"/>
      <c r="O131" s="18"/>
      <c r="P131" s="18"/>
      <c r="Q131" s="34"/>
      <c r="R131" s="18"/>
      <c r="S131" s="18"/>
      <c r="T131" s="19" t="s">
        <v>151</v>
      </c>
      <c r="U131" s="9" t="str">
        <f t="shared" si="1"/>
        <v>NSE:APLAPOLLO</v>
      </c>
      <c r="V131" s="18"/>
      <c r="W131" s="18"/>
      <c r="X131" s="18"/>
    </row>
    <row r="132">
      <c r="A132" s="20"/>
      <c r="B132" s="3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35"/>
      <c r="N132" s="18"/>
      <c r="O132" s="18"/>
      <c r="P132" s="18"/>
      <c r="Q132" s="34"/>
      <c r="R132" s="18"/>
      <c r="S132" s="18"/>
      <c r="T132" s="19" t="s">
        <v>152</v>
      </c>
      <c r="U132" s="9" t="str">
        <f t="shared" si="1"/>
        <v>NSE:LIQUIDADD</v>
      </c>
      <c r="V132" s="18"/>
      <c r="W132" s="18"/>
      <c r="X132" s="18"/>
    </row>
    <row r="133">
      <c r="A133" s="20"/>
      <c r="B133" s="3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35"/>
      <c r="N133" s="18"/>
      <c r="O133" s="18"/>
      <c r="P133" s="18"/>
      <c r="Q133" s="34"/>
      <c r="R133" s="18"/>
      <c r="S133" s="18"/>
      <c r="T133" s="19" t="s">
        <v>153</v>
      </c>
      <c r="U133" s="9" t="str">
        <f t="shared" si="1"/>
        <v>NSE:NACLIND</v>
      </c>
      <c r="V133" s="18"/>
      <c r="W133" s="18"/>
      <c r="X133" s="18"/>
    </row>
    <row r="134">
      <c r="A134" s="20"/>
      <c r="B134" s="3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35"/>
      <c r="N134" s="18"/>
      <c r="O134" s="18"/>
      <c r="P134" s="18"/>
      <c r="Q134" s="34"/>
      <c r="R134" s="18"/>
      <c r="S134" s="18"/>
      <c r="T134" s="19" t="s">
        <v>154</v>
      </c>
      <c r="U134" s="9" t="str">
        <f t="shared" si="1"/>
        <v>NSE:OLAELEC</v>
      </c>
      <c r="V134" s="18"/>
      <c r="W134" s="18"/>
      <c r="X134" s="18"/>
    </row>
    <row r="135">
      <c r="A135" s="20"/>
      <c r="B135" s="3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35"/>
      <c r="N135" s="18"/>
      <c r="O135" s="18"/>
      <c r="P135" s="18"/>
      <c r="Q135" s="34"/>
      <c r="R135" s="18"/>
      <c r="S135" s="18"/>
      <c r="T135" s="19" t="s">
        <v>155</v>
      </c>
      <c r="U135" s="9" t="str">
        <f t="shared" si="1"/>
        <v>NSE:CIPLA</v>
      </c>
      <c r="V135" s="18"/>
      <c r="W135" s="18"/>
      <c r="X135" s="18"/>
    </row>
    <row r="136">
      <c r="A136" s="20"/>
      <c r="B136" s="3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35"/>
      <c r="N136" s="18"/>
      <c r="O136" s="18"/>
      <c r="P136" s="18"/>
      <c r="Q136" s="34"/>
      <c r="R136" s="18"/>
      <c r="S136" s="18"/>
      <c r="T136" s="19" t="s">
        <v>156</v>
      </c>
      <c r="U136" s="9" t="str">
        <f t="shared" si="1"/>
        <v>NSE:COCHINSHIP</v>
      </c>
      <c r="V136" s="18"/>
      <c r="W136" s="18"/>
      <c r="X136" s="18"/>
    </row>
    <row r="137">
      <c r="A137" s="20"/>
      <c r="B137" s="3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35"/>
      <c r="N137" s="18"/>
      <c r="O137" s="18"/>
      <c r="P137" s="18"/>
      <c r="Q137" s="34"/>
      <c r="R137" s="18"/>
      <c r="S137" s="18"/>
      <c r="T137" s="19" t="s">
        <v>157</v>
      </c>
      <c r="U137" s="9" t="str">
        <f t="shared" si="1"/>
        <v>NSE:POWERINDIA</v>
      </c>
      <c r="V137" s="18"/>
      <c r="W137" s="18"/>
      <c r="X137" s="18"/>
    </row>
    <row r="138">
      <c r="A138" s="20"/>
      <c r="B138" s="3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35"/>
      <c r="N138" s="18"/>
      <c r="O138" s="18"/>
      <c r="P138" s="18"/>
      <c r="Q138" s="34"/>
      <c r="R138" s="18"/>
      <c r="S138" s="18"/>
      <c r="T138" s="19" t="s">
        <v>158</v>
      </c>
      <c r="U138" s="9" t="str">
        <f t="shared" si="1"/>
        <v>NSE:COROMANDEL</v>
      </c>
      <c r="V138" s="18"/>
      <c r="W138" s="18"/>
      <c r="X138" s="18"/>
    </row>
    <row r="139">
      <c r="A139" s="20"/>
      <c r="B139" s="3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35"/>
      <c r="N139" s="18"/>
      <c r="O139" s="18"/>
      <c r="P139" s="18"/>
      <c r="Q139" s="34"/>
      <c r="R139" s="18"/>
      <c r="S139" s="18"/>
      <c r="T139" s="19" t="s">
        <v>159</v>
      </c>
      <c r="U139" s="9" t="str">
        <f t="shared" si="1"/>
        <v>NSE:AUBANK</v>
      </c>
      <c r="V139" s="18"/>
      <c r="W139" s="18"/>
      <c r="X139" s="18"/>
    </row>
    <row r="140">
      <c r="A140" s="20"/>
      <c r="B140" s="3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35"/>
      <c r="N140" s="18"/>
      <c r="O140" s="18"/>
      <c r="P140" s="18"/>
      <c r="Q140" s="34"/>
      <c r="R140" s="18"/>
      <c r="S140" s="18"/>
      <c r="T140" s="19" t="s">
        <v>160</v>
      </c>
      <c r="U140" s="9" t="str">
        <f t="shared" si="1"/>
        <v>NSE:CARYSIL</v>
      </c>
      <c r="V140" s="18"/>
      <c r="W140" s="18"/>
      <c r="X140" s="18"/>
    </row>
    <row r="141">
      <c r="A141" s="20"/>
      <c r="B141" s="3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35"/>
      <c r="N141" s="18"/>
      <c r="O141" s="18"/>
      <c r="P141" s="18"/>
      <c r="Q141" s="34"/>
      <c r="R141" s="18"/>
      <c r="S141" s="18"/>
      <c r="T141" s="19" t="s">
        <v>161</v>
      </c>
      <c r="U141" s="9" t="str">
        <f t="shared" si="1"/>
        <v>NSE:GRASIM</v>
      </c>
      <c r="V141" s="18"/>
      <c r="W141" s="18"/>
      <c r="X141" s="18"/>
    </row>
    <row r="142">
      <c r="A142" s="20"/>
      <c r="B142" s="3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35"/>
      <c r="N142" s="18"/>
      <c r="O142" s="18"/>
      <c r="P142" s="18"/>
      <c r="Q142" s="34"/>
      <c r="R142" s="18"/>
      <c r="S142" s="18"/>
      <c r="T142" s="19" t="s">
        <v>162</v>
      </c>
      <c r="U142" s="9" t="str">
        <f t="shared" si="1"/>
        <v>NSE:ANANDRATHI</v>
      </c>
      <c r="V142" s="18"/>
      <c r="W142" s="18"/>
      <c r="X142" s="18"/>
    </row>
    <row r="143">
      <c r="A143" s="20"/>
      <c r="B143" s="3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35"/>
      <c r="N143" s="18"/>
      <c r="O143" s="18"/>
      <c r="P143" s="18"/>
      <c r="Q143" s="34"/>
      <c r="R143" s="18"/>
      <c r="S143" s="18"/>
      <c r="T143" s="19" t="s">
        <v>163</v>
      </c>
      <c r="U143" s="9" t="str">
        <f t="shared" si="1"/>
        <v>NSE:WAAREEENER</v>
      </c>
      <c r="V143" s="18"/>
      <c r="W143" s="18"/>
      <c r="X143" s="18"/>
    </row>
    <row r="144">
      <c r="A144" s="20"/>
      <c r="B144" s="3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35"/>
      <c r="N144" s="18"/>
      <c r="O144" s="18"/>
      <c r="P144" s="18"/>
      <c r="Q144" s="34"/>
      <c r="R144" s="18"/>
      <c r="S144" s="18"/>
      <c r="T144" s="19" t="s">
        <v>164</v>
      </c>
      <c r="U144" s="9" t="str">
        <f t="shared" si="1"/>
        <v>NSE:SARDAEN</v>
      </c>
      <c r="V144" s="18"/>
      <c r="W144" s="18"/>
      <c r="X144" s="18"/>
    </row>
    <row r="145">
      <c r="A145" s="20"/>
      <c r="B145" s="3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35"/>
      <c r="N145" s="18"/>
      <c r="O145" s="18"/>
      <c r="P145" s="18"/>
      <c r="Q145" s="34"/>
      <c r="R145" s="18"/>
      <c r="S145" s="18"/>
      <c r="T145" s="19" t="s">
        <v>165</v>
      </c>
      <c r="U145" s="9" t="str">
        <f t="shared" si="1"/>
        <v>NSE:TIINDIA</v>
      </c>
      <c r="V145" s="18"/>
      <c r="W145" s="18"/>
      <c r="X145" s="18"/>
    </row>
    <row r="146">
      <c r="A146" s="20"/>
      <c r="B146" s="3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35"/>
      <c r="N146" s="18"/>
      <c r="O146" s="18"/>
      <c r="P146" s="18"/>
      <c r="Q146" s="34"/>
      <c r="R146" s="18"/>
      <c r="S146" s="18"/>
      <c r="T146" s="19" t="s">
        <v>166</v>
      </c>
      <c r="U146" s="9" t="str">
        <f t="shared" si="1"/>
        <v>NSE:COLPAL</v>
      </c>
      <c r="V146" s="18"/>
      <c r="W146" s="18"/>
      <c r="X146" s="18"/>
    </row>
    <row r="147">
      <c r="A147" s="20"/>
      <c r="B147" s="3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35"/>
      <c r="N147" s="18"/>
      <c r="O147" s="18"/>
      <c r="P147" s="18"/>
      <c r="Q147" s="34"/>
      <c r="R147" s="18"/>
      <c r="S147" s="18"/>
      <c r="T147" s="19" t="s">
        <v>167</v>
      </c>
      <c r="U147" s="9" t="str">
        <f t="shared" si="1"/>
        <v>NSE:CHOLAFIN</v>
      </c>
      <c r="V147" s="18"/>
      <c r="W147" s="18"/>
      <c r="X147" s="18"/>
    </row>
    <row r="148">
      <c r="A148" s="20"/>
      <c r="B148" s="3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35"/>
      <c r="N148" s="18"/>
      <c r="O148" s="18"/>
      <c r="P148" s="18"/>
      <c r="Q148" s="34"/>
      <c r="R148" s="18"/>
      <c r="S148" s="18"/>
      <c r="T148" s="19" t="s">
        <v>168</v>
      </c>
      <c r="U148" s="9" t="str">
        <f t="shared" si="1"/>
        <v>NSE:CUMMINSIND</v>
      </c>
      <c r="V148" s="18"/>
      <c r="W148" s="18"/>
      <c r="X148" s="18"/>
    </row>
    <row r="149">
      <c r="A149" s="20"/>
      <c r="B149" s="3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35"/>
      <c r="N149" s="18"/>
      <c r="O149" s="18"/>
      <c r="P149" s="18"/>
      <c r="Q149" s="34"/>
      <c r="R149" s="18"/>
      <c r="S149" s="18"/>
      <c r="T149" s="19" t="s">
        <v>169</v>
      </c>
      <c r="U149" s="9" t="str">
        <f t="shared" si="1"/>
        <v>NSE:OFSS</v>
      </c>
      <c r="V149" s="18"/>
      <c r="W149" s="18"/>
      <c r="X149" s="18"/>
    </row>
    <row r="150">
      <c r="A150" s="20"/>
      <c r="B150" s="3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35"/>
      <c r="N150" s="18"/>
      <c r="O150" s="18"/>
      <c r="P150" s="18"/>
      <c r="Q150" s="34"/>
      <c r="R150" s="18"/>
      <c r="S150" s="18"/>
      <c r="T150" s="19" t="s">
        <v>170</v>
      </c>
      <c r="U150" s="9" t="str">
        <f t="shared" si="1"/>
        <v>NSE:ACC</v>
      </c>
      <c r="V150" s="18"/>
      <c r="W150" s="18"/>
      <c r="X150" s="18"/>
    </row>
    <row r="151">
      <c r="A151" s="20"/>
      <c r="B151" s="3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35"/>
      <c r="N151" s="18"/>
      <c r="O151" s="18"/>
      <c r="P151" s="18"/>
      <c r="Q151" s="34"/>
      <c r="R151" s="18"/>
      <c r="S151" s="18"/>
      <c r="T151" s="19" t="s">
        <v>171</v>
      </c>
      <c r="U151" s="9" t="str">
        <f t="shared" si="1"/>
        <v>NSE:BLUESTARCO</v>
      </c>
      <c r="V151" s="18"/>
      <c r="W151" s="18"/>
      <c r="X151" s="18"/>
    </row>
    <row r="152">
      <c r="A152" s="20"/>
      <c r="B152" s="3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35"/>
      <c r="N152" s="18"/>
      <c r="O152" s="18"/>
      <c r="P152" s="18"/>
      <c r="Q152" s="34"/>
      <c r="R152" s="18"/>
      <c r="S152" s="18"/>
      <c r="T152" s="19" t="s">
        <v>172</v>
      </c>
      <c r="U152" s="9" t="str">
        <f t="shared" si="1"/>
        <v>NSE:ZEEL</v>
      </c>
      <c r="V152" s="18"/>
      <c r="W152" s="18"/>
      <c r="X152" s="18"/>
    </row>
    <row r="153">
      <c r="A153" s="20"/>
      <c r="B153" s="3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35"/>
      <c r="N153" s="18"/>
      <c r="O153" s="18"/>
      <c r="P153" s="18"/>
      <c r="Q153" s="34"/>
      <c r="R153" s="18"/>
      <c r="S153" s="18"/>
      <c r="T153" s="19" t="s">
        <v>173</v>
      </c>
      <c r="U153" s="9" t="str">
        <f t="shared" si="1"/>
        <v>NSE:ASHOKLEY</v>
      </c>
      <c r="V153" s="18"/>
      <c r="W153" s="18"/>
      <c r="X153" s="18"/>
    </row>
    <row r="154">
      <c r="A154" s="20"/>
      <c r="B154" s="3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35"/>
      <c r="N154" s="18"/>
      <c r="O154" s="18"/>
      <c r="P154" s="18"/>
      <c r="Q154" s="34"/>
      <c r="R154" s="18"/>
      <c r="S154" s="18"/>
      <c r="T154" s="19" t="s">
        <v>174</v>
      </c>
      <c r="U154" s="9" t="str">
        <f t="shared" si="1"/>
        <v>NSE:IREDA</v>
      </c>
      <c r="V154" s="18"/>
      <c r="W154" s="18"/>
      <c r="X154" s="18"/>
    </row>
    <row r="155">
      <c r="A155" s="20"/>
      <c r="B155" s="3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35"/>
      <c r="N155" s="18"/>
      <c r="O155" s="18"/>
      <c r="P155" s="18"/>
      <c r="Q155" s="34"/>
      <c r="R155" s="18"/>
      <c r="S155" s="18"/>
      <c r="T155" s="19" t="s">
        <v>175</v>
      </c>
      <c r="U155" s="9" t="str">
        <f t="shared" si="1"/>
        <v>NSE:YESBANK</v>
      </c>
      <c r="V155" s="18"/>
      <c r="W155" s="18"/>
      <c r="X155" s="18"/>
    </row>
    <row r="156">
      <c r="A156" s="20"/>
      <c r="B156" s="3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35"/>
      <c r="N156" s="18"/>
      <c r="O156" s="18"/>
      <c r="P156" s="18"/>
      <c r="Q156" s="34"/>
      <c r="R156" s="18"/>
      <c r="S156" s="18"/>
      <c r="T156" s="19" t="s">
        <v>176</v>
      </c>
      <c r="U156" s="9" t="str">
        <f t="shared" si="1"/>
        <v>NSE:KOLTEPATIL</v>
      </c>
      <c r="V156" s="18"/>
      <c r="W156" s="18"/>
      <c r="X156" s="18"/>
    </row>
    <row r="157">
      <c r="A157" s="20"/>
      <c r="B157" s="3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35"/>
      <c r="N157" s="18"/>
      <c r="O157" s="18"/>
      <c r="P157" s="18"/>
      <c r="Q157" s="34"/>
      <c r="R157" s="18"/>
      <c r="S157" s="18"/>
      <c r="T157" s="19" t="s">
        <v>177</v>
      </c>
      <c r="U157" s="9" t="str">
        <f t="shared" si="1"/>
        <v>NSE:FORTIS</v>
      </c>
      <c r="V157" s="18"/>
      <c r="W157" s="18"/>
      <c r="X157" s="18"/>
    </row>
    <row r="158">
      <c r="A158" s="20"/>
      <c r="B158" s="3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35"/>
      <c r="N158" s="18"/>
      <c r="O158" s="18"/>
      <c r="P158" s="18"/>
      <c r="Q158" s="34"/>
      <c r="R158" s="18"/>
      <c r="S158" s="18"/>
      <c r="T158" s="19" t="s">
        <v>178</v>
      </c>
      <c r="U158" s="9" t="str">
        <f t="shared" si="1"/>
        <v>NSE:TATATECH</v>
      </c>
      <c r="V158" s="18"/>
      <c r="W158" s="18"/>
      <c r="X158" s="18"/>
    </row>
    <row r="159">
      <c r="A159" s="20"/>
      <c r="B159" s="3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35"/>
      <c r="N159" s="18"/>
      <c r="O159" s="18"/>
      <c r="P159" s="18"/>
      <c r="Q159" s="34"/>
      <c r="R159" s="18"/>
      <c r="S159" s="18"/>
      <c r="T159" s="19" t="s">
        <v>179</v>
      </c>
      <c r="U159" s="9" t="str">
        <f t="shared" si="1"/>
        <v>NSE:CREDITACC</v>
      </c>
      <c r="V159" s="18"/>
      <c r="W159" s="18"/>
      <c r="X159" s="18"/>
    </row>
    <row r="160">
      <c r="A160" s="20"/>
      <c r="B160" s="3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35"/>
      <c r="N160" s="18"/>
      <c r="O160" s="18"/>
      <c r="P160" s="18"/>
      <c r="Q160" s="34"/>
      <c r="R160" s="18"/>
      <c r="S160" s="18"/>
      <c r="T160" s="19" t="s">
        <v>180</v>
      </c>
      <c r="U160" s="9" t="str">
        <f t="shared" si="1"/>
        <v>NSE:PGEL</v>
      </c>
      <c r="V160" s="18"/>
      <c r="W160" s="18"/>
      <c r="X160" s="18"/>
    </row>
    <row r="161">
      <c r="A161" s="20"/>
      <c r="B161" s="3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35"/>
      <c r="N161" s="18"/>
      <c r="O161" s="18"/>
      <c r="P161" s="18"/>
      <c r="Q161" s="34"/>
      <c r="R161" s="18"/>
      <c r="S161" s="18"/>
      <c r="T161" s="19" t="s">
        <v>181</v>
      </c>
      <c r="U161" s="9" t="str">
        <f t="shared" si="1"/>
        <v>NSE:MUTHOOTFIN</v>
      </c>
      <c r="V161" s="18"/>
      <c r="W161" s="18"/>
      <c r="X161" s="18"/>
    </row>
    <row r="162">
      <c r="A162" s="20"/>
      <c r="B162" s="3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35"/>
      <c r="N162" s="18"/>
      <c r="O162" s="18"/>
      <c r="P162" s="18"/>
      <c r="Q162" s="34"/>
      <c r="R162" s="18"/>
      <c r="S162" s="18"/>
      <c r="T162" s="19" t="s">
        <v>182</v>
      </c>
      <c r="U162" s="9" t="str">
        <f t="shared" si="1"/>
        <v>NSE:LICI</v>
      </c>
      <c r="V162" s="18"/>
      <c r="W162" s="18"/>
      <c r="X162" s="18"/>
    </row>
    <row r="163">
      <c r="A163" s="20"/>
      <c r="B163" s="3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35"/>
      <c r="N163" s="18"/>
      <c r="O163" s="18"/>
      <c r="P163" s="18"/>
      <c r="Q163" s="34"/>
      <c r="R163" s="18"/>
      <c r="S163" s="18"/>
      <c r="T163" s="19" t="s">
        <v>183</v>
      </c>
      <c r="U163" s="9" t="str">
        <f t="shared" si="1"/>
        <v>NSE:BSOFT</v>
      </c>
      <c r="V163" s="18"/>
      <c r="W163" s="18"/>
      <c r="X163" s="18"/>
    </row>
    <row r="164">
      <c r="A164" s="20"/>
      <c r="B164" s="3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35"/>
      <c r="N164" s="18"/>
      <c r="O164" s="18"/>
      <c r="P164" s="18"/>
      <c r="Q164" s="34"/>
      <c r="R164" s="18"/>
      <c r="S164" s="18"/>
      <c r="T164" s="19" t="s">
        <v>184</v>
      </c>
      <c r="U164" s="9" t="str">
        <f t="shared" si="1"/>
        <v>NSE:MRF</v>
      </c>
      <c r="V164" s="18"/>
      <c r="W164" s="18"/>
      <c r="X164" s="18"/>
    </row>
    <row r="165">
      <c r="A165" s="20"/>
      <c r="B165" s="3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35"/>
      <c r="N165" s="18"/>
      <c r="O165" s="18"/>
      <c r="P165" s="18"/>
      <c r="Q165" s="34"/>
      <c r="R165" s="18"/>
      <c r="S165" s="18"/>
      <c r="T165" s="19" t="s">
        <v>185</v>
      </c>
      <c r="U165" s="9" t="str">
        <f t="shared" si="1"/>
        <v>NSE:PIDILITIND</v>
      </c>
      <c r="V165" s="18"/>
      <c r="W165" s="18"/>
      <c r="X165" s="18"/>
    </row>
    <row r="166">
      <c r="A166" s="20"/>
      <c r="B166" s="3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35"/>
      <c r="N166" s="18"/>
      <c r="O166" s="18"/>
      <c r="P166" s="18"/>
      <c r="Q166" s="34"/>
      <c r="R166" s="18"/>
      <c r="S166" s="18"/>
      <c r="T166" s="19" t="s">
        <v>186</v>
      </c>
      <c r="U166" s="9" t="str">
        <f t="shared" si="1"/>
        <v>NSE:QUADFUTURE</v>
      </c>
      <c r="V166" s="18"/>
      <c r="W166" s="18"/>
      <c r="X166" s="18"/>
    </row>
    <row r="167">
      <c r="A167" s="20"/>
      <c r="B167" s="3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35"/>
      <c r="N167" s="18"/>
      <c r="O167" s="18"/>
      <c r="P167" s="18"/>
      <c r="Q167" s="34"/>
      <c r="R167" s="18"/>
      <c r="S167" s="18"/>
      <c r="T167" s="19" t="s">
        <v>187</v>
      </c>
      <c r="U167" s="9" t="str">
        <f t="shared" si="1"/>
        <v>NSE:ITCHOTELS</v>
      </c>
      <c r="V167" s="18"/>
      <c r="W167" s="18"/>
      <c r="X167" s="18"/>
    </row>
    <row r="168">
      <c r="A168" s="20"/>
      <c r="B168" s="3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35"/>
      <c r="N168" s="18"/>
      <c r="O168" s="18"/>
      <c r="P168" s="18"/>
      <c r="Q168" s="34"/>
      <c r="R168" s="18"/>
      <c r="S168" s="18"/>
      <c r="T168" s="19" t="s">
        <v>188</v>
      </c>
      <c r="U168" s="9" t="str">
        <f t="shared" si="1"/>
        <v>NSE:CHAMBLFERT</v>
      </c>
      <c r="V168" s="18"/>
      <c r="W168" s="18"/>
      <c r="X168" s="18"/>
    </row>
    <row r="169">
      <c r="A169" s="20"/>
      <c r="B169" s="3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35"/>
      <c r="N169" s="18"/>
      <c r="O169" s="18"/>
      <c r="P169" s="18"/>
      <c r="Q169" s="34"/>
      <c r="R169" s="18"/>
      <c r="S169" s="18"/>
      <c r="T169" s="19" t="s">
        <v>189</v>
      </c>
      <c r="U169" s="9" t="str">
        <f t="shared" si="1"/>
        <v>NSE:TVSMOTOR</v>
      </c>
      <c r="V169" s="18"/>
      <c r="W169" s="18"/>
      <c r="X169" s="18"/>
    </row>
    <row r="170">
      <c r="A170" s="20"/>
      <c r="B170" s="3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35"/>
      <c r="N170" s="18"/>
      <c r="O170" s="18"/>
      <c r="P170" s="18"/>
      <c r="Q170" s="34"/>
      <c r="R170" s="18"/>
      <c r="S170" s="18"/>
      <c r="T170" s="19" t="s">
        <v>190</v>
      </c>
      <c r="U170" s="9" t="str">
        <f t="shared" si="1"/>
        <v>NSE:PHOENIXLTD</v>
      </c>
      <c r="V170" s="18"/>
      <c r="W170" s="18"/>
      <c r="X170" s="18"/>
    </row>
    <row r="171">
      <c r="A171" s="20"/>
      <c r="B171" s="3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35"/>
      <c r="N171" s="18"/>
      <c r="O171" s="18"/>
      <c r="P171" s="18"/>
      <c r="Q171" s="34"/>
      <c r="R171" s="18"/>
      <c r="S171" s="18"/>
      <c r="T171" s="19" t="s">
        <v>191</v>
      </c>
      <c r="U171" s="9" t="str">
        <f t="shared" si="1"/>
        <v>NSE:NMDC</v>
      </c>
      <c r="V171" s="18"/>
      <c r="W171" s="18"/>
      <c r="X171" s="18"/>
    </row>
    <row r="172">
      <c r="A172" s="20"/>
      <c r="B172" s="3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35"/>
      <c r="N172" s="18"/>
      <c r="O172" s="18"/>
      <c r="P172" s="18"/>
      <c r="Q172" s="34"/>
      <c r="R172" s="18"/>
      <c r="S172" s="18"/>
      <c r="T172" s="19" t="s">
        <v>192</v>
      </c>
      <c r="U172" s="9" t="str">
        <f t="shared" si="1"/>
        <v>NSE:TRITURBINE</v>
      </c>
      <c r="V172" s="18"/>
      <c r="W172" s="18"/>
      <c r="X172" s="18"/>
    </row>
    <row r="173">
      <c r="A173" s="20"/>
      <c r="B173" s="3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35"/>
      <c r="N173" s="18"/>
      <c r="O173" s="18"/>
      <c r="P173" s="18"/>
      <c r="Q173" s="34"/>
      <c r="R173" s="18"/>
      <c r="S173" s="18"/>
      <c r="T173" s="19" t="s">
        <v>193</v>
      </c>
      <c r="U173" s="9" t="str">
        <f t="shared" si="1"/>
        <v>NSE:JINDALSTEL</v>
      </c>
      <c r="V173" s="18"/>
      <c r="W173" s="18"/>
      <c r="X173" s="18"/>
    </row>
    <row r="174">
      <c r="A174" s="20"/>
      <c r="B174" s="3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35"/>
      <c r="N174" s="18"/>
      <c r="O174" s="18"/>
      <c r="P174" s="18"/>
      <c r="Q174" s="34"/>
      <c r="R174" s="18"/>
      <c r="S174" s="18"/>
      <c r="T174" s="19" t="s">
        <v>194</v>
      </c>
      <c r="U174" s="9" t="str">
        <f t="shared" si="1"/>
        <v>NSE:PATANJALI</v>
      </c>
      <c r="V174" s="18"/>
      <c r="W174" s="18"/>
      <c r="X174" s="18"/>
    </row>
    <row r="175">
      <c r="A175" s="20"/>
      <c r="B175" s="3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35"/>
      <c r="N175" s="18"/>
      <c r="O175" s="18"/>
      <c r="P175" s="18"/>
      <c r="Q175" s="34"/>
      <c r="R175" s="18"/>
      <c r="S175" s="18"/>
      <c r="T175" s="19" t="s">
        <v>195</v>
      </c>
      <c r="U175" s="9" t="str">
        <f t="shared" si="1"/>
        <v>NSE:NHPC</v>
      </c>
      <c r="V175" s="18"/>
      <c r="W175" s="18"/>
      <c r="X175" s="18"/>
    </row>
    <row r="176">
      <c r="A176" s="20"/>
      <c r="B176" s="3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35"/>
      <c r="N176" s="18"/>
      <c r="O176" s="18"/>
      <c r="P176" s="18"/>
      <c r="Q176" s="34"/>
      <c r="R176" s="18"/>
      <c r="S176" s="18"/>
      <c r="T176" s="19" t="s">
        <v>196</v>
      </c>
      <c r="U176" s="9" t="str">
        <f t="shared" si="1"/>
        <v>NSE:UPL</v>
      </c>
      <c r="V176" s="18"/>
      <c r="W176" s="18"/>
      <c r="X176" s="18"/>
    </row>
    <row r="177">
      <c r="A177" s="20"/>
      <c r="B177" s="3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35"/>
      <c r="N177" s="18"/>
      <c r="O177" s="18"/>
      <c r="P177" s="18"/>
      <c r="Q177" s="34"/>
      <c r="R177" s="18"/>
      <c r="S177" s="18"/>
      <c r="T177" s="19" t="s">
        <v>197</v>
      </c>
      <c r="U177" s="9" t="str">
        <f t="shared" si="1"/>
        <v>NSE:JYOTICNC</v>
      </c>
      <c r="V177" s="18"/>
      <c r="W177" s="18"/>
      <c r="X177" s="18"/>
    </row>
    <row r="178">
      <c r="A178" s="20"/>
      <c r="B178" s="3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35"/>
      <c r="N178" s="18"/>
      <c r="O178" s="18"/>
      <c r="P178" s="18"/>
      <c r="Q178" s="34"/>
      <c r="R178" s="18"/>
      <c r="S178" s="18"/>
      <c r="T178" s="19" t="s">
        <v>198</v>
      </c>
      <c r="U178" s="9" t="str">
        <f t="shared" si="1"/>
        <v>NSE:PPLPHARMA</v>
      </c>
      <c r="V178" s="18"/>
      <c r="W178" s="18"/>
      <c r="X178" s="18"/>
    </row>
    <row r="179">
      <c r="A179" s="20"/>
      <c r="B179" s="3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35"/>
      <c r="N179" s="18"/>
      <c r="O179" s="18"/>
      <c r="P179" s="18"/>
      <c r="Q179" s="34"/>
      <c r="R179" s="18"/>
      <c r="S179" s="18"/>
      <c r="T179" s="19" t="s">
        <v>199</v>
      </c>
      <c r="U179" s="9" t="str">
        <f t="shared" si="1"/>
        <v>NSE:INDIANB</v>
      </c>
      <c r="V179" s="18"/>
      <c r="W179" s="18"/>
      <c r="X179" s="18"/>
    </row>
    <row r="180">
      <c r="A180" s="20"/>
      <c r="B180" s="3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35"/>
      <c r="N180" s="18"/>
      <c r="O180" s="18"/>
      <c r="P180" s="18"/>
      <c r="Q180" s="34"/>
      <c r="R180" s="18"/>
      <c r="S180" s="18"/>
      <c r="T180" s="19" t="s">
        <v>200</v>
      </c>
      <c r="U180" s="9" t="str">
        <f t="shared" si="1"/>
        <v>NSE:TATACONSUM</v>
      </c>
      <c r="V180" s="18"/>
      <c r="W180" s="18"/>
      <c r="X180" s="18"/>
    </row>
    <row r="181">
      <c r="A181" s="20"/>
      <c r="B181" s="3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35"/>
      <c r="N181" s="18"/>
      <c r="O181" s="18"/>
      <c r="P181" s="18"/>
      <c r="Q181" s="34"/>
      <c r="R181" s="18"/>
      <c r="S181" s="18"/>
      <c r="T181" s="19" t="s">
        <v>201</v>
      </c>
      <c r="U181" s="9" t="str">
        <f t="shared" si="1"/>
        <v>NSE:NATIONALUM</v>
      </c>
      <c r="V181" s="18"/>
      <c r="W181" s="18"/>
      <c r="X181" s="18"/>
    </row>
    <row r="182">
      <c r="A182" s="20"/>
      <c r="B182" s="3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35"/>
      <c r="N182" s="18"/>
      <c r="O182" s="18"/>
      <c r="P182" s="18"/>
      <c r="Q182" s="34"/>
      <c r="R182" s="18"/>
      <c r="S182" s="18"/>
      <c r="T182" s="19" t="s">
        <v>202</v>
      </c>
      <c r="U182" s="9" t="str">
        <f t="shared" si="1"/>
        <v>NSE:NCC</v>
      </c>
      <c r="V182" s="18"/>
      <c r="W182" s="18"/>
      <c r="X182" s="18"/>
    </row>
    <row r="183">
      <c r="A183" s="20"/>
      <c r="B183" s="3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35"/>
      <c r="N183" s="18"/>
      <c r="O183" s="18"/>
      <c r="P183" s="18"/>
      <c r="Q183" s="34"/>
      <c r="R183" s="18"/>
      <c r="S183" s="18"/>
      <c r="T183" s="19" t="s">
        <v>203</v>
      </c>
      <c r="U183" s="9" t="str">
        <f t="shared" si="1"/>
        <v>NSE:CROMPTON</v>
      </c>
      <c r="V183" s="18"/>
      <c r="W183" s="18"/>
      <c r="X183" s="18"/>
    </row>
    <row r="184">
      <c r="A184" s="20"/>
      <c r="B184" s="3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35"/>
      <c r="N184" s="18"/>
      <c r="O184" s="18"/>
      <c r="P184" s="18"/>
      <c r="Q184" s="34"/>
      <c r="R184" s="18"/>
      <c r="S184" s="18"/>
      <c r="T184" s="19" t="s">
        <v>204</v>
      </c>
      <c r="U184" s="9" t="str">
        <f t="shared" si="1"/>
        <v>NSE:CGPOWER</v>
      </c>
      <c r="V184" s="18"/>
      <c r="W184" s="18"/>
      <c r="X184" s="18"/>
    </row>
    <row r="185">
      <c r="A185" s="20"/>
      <c r="B185" s="3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35"/>
      <c r="N185" s="18"/>
      <c r="O185" s="18"/>
      <c r="P185" s="18"/>
      <c r="Q185" s="34"/>
      <c r="R185" s="18"/>
      <c r="S185" s="18"/>
      <c r="T185" s="19" t="s">
        <v>205</v>
      </c>
      <c r="U185" s="9" t="str">
        <f t="shared" si="1"/>
        <v>NSE:HINDCOPPER</v>
      </c>
      <c r="V185" s="18"/>
      <c r="W185" s="18"/>
      <c r="X185" s="18"/>
    </row>
    <row r="186">
      <c r="A186" s="20"/>
      <c r="B186" s="3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35"/>
      <c r="N186" s="18"/>
      <c r="O186" s="18"/>
      <c r="P186" s="18"/>
      <c r="Q186" s="34"/>
      <c r="R186" s="18"/>
      <c r="S186" s="18"/>
      <c r="T186" s="19" t="s">
        <v>206</v>
      </c>
      <c r="U186" s="9" t="str">
        <f t="shared" si="1"/>
        <v>NSE:LIQUIDIETF</v>
      </c>
      <c r="V186" s="18"/>
      <c r="W186" s="18"/>
      <c r="X186" s="18"/>
    </row>
    <row r="187">
      <c r="A187" s="20"/>
      <c r="B187" s="3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35"/>
      <c r="N187" s="18"/>
      <c r="O187" s="18"/>
      <c r="P187" s="18"/>
      <c r="Q187" s="34"/>
      <c r="R187" s="18"/>
      <c r="S187" s="18"/>
      <c r="T187" s="19" t="s">
        <v>207</v>
      </c>
      <c r="U187" s="9" t="str">
        <f t="shared" si="1"/>
        <v>NSE:GODREJPROP</v>
      </c>
      <c r="V187" s="18"/>
      <c r="W187" s="18"/>
      <c r="X187" s="18"/>
    </row>
    <row r="188">
      <c r="A188" s="20"/>
      <c r="B188" s="3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35"/>
      <c r="N188" s="18"/>
      <c r="O188" s="18"/>
      <c r="P188" s="18"/>
      <c r="Q188" s="34"/>
      <c r="R188" s="18"/>
      <c r="S188" s="18"/>
      <c r="T188" s="19" t="s">
        <v>208</v>
      </c>
      <c r="U188" s="9" t="str">
        <f t="shared" si="1"/>
        <v>NSE:INOXWIND</v>
      </c>
      <c r="V188" s="18"/>
      <c r="W188" s="18"/>
      <c r="X188" s="18"/>
    </row>
    <row r="189">
      <c r="A189" s="20"/>
      <c r="B189" s="3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35"/>
      <c r="N189" s="18"/>
      <c r="O189" s="18"/>
      <c r="P189" s="18"/>
      <c r="Q189" s="34"/>
      <c r="R189" s="18"/>
      <c r="S189" s="18"/>
      <c r="T189" s="19" t="s">
        <v>209</v>
      </c>
      <c r="U189" s="9" t="str">
        <f t="shared" si="1"/>
        <v>NSE:GODFRYPHLP</v>
      </c>
      <c r="V189" s="18"/>
      <c r="W189" s="18"/>
      <c r="X189" s="18"/>
    </row>
    <row r="190">
      <c r="A190" s="20"/>
      <c r="B190" s="3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35"/>
      <c r="N190" s="18"/>
      <c r="O190" s="18"/>
      <c r="P190" s="18"/>
      <c r="Q190" s="34"/>
      <c r="R190" s="18"/>
      <c r="S190" s="18"/>
      <c r="T190" s="19" t="s">
        <v>210</v>
      </c>
      <c r="U190" s="9" t="str">
        <f t="shared" si="1"/>
        <v>NSE:NIFTYBEES</v>
      </c>
      <c r="V190" s="18"/>
      <c r="W190" s="18"/>
      <c r="X190" s="18"/>
    </row>
    <row r="191">
      <c r="A191" s="20"/>
      <c r="B191" s="3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35"/>
      <c r="N191" s="18"/>
      <c r="O191" s="18"/>
      <c r="P191" s="18"/>
      <c r="Q191" s="34"/>
      <c r="R191" s="18"/>
      <c r="S191" s="18"/>
      <c r="T191" s="19" t="s">
        <v>211</v>
      </c>
      <c r="U191" s="9" t="str">
        <f t="shared" si="1"/>
        <v>NSE:AMBUJACEM</v>
      </c>
      <c r="V191" s="18"/>
      <c r="W191" s="18"/>
      <c r="X191" s="18"/>
    </row>
    <row r="192">
      <c r="A192" s="20"/>
      <c r="B192" s="3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35"/>
      <c r="N192" s="18"/>
      <c r="O192" s="18"/>
      <c r="P192" s="18"/>
      <c r="Q192" s="34"/>
      <c r="R192" s="18"/>
      <c r="S192" s="18"/>
      <c r="T192" s="19" t="s">
        <v>212</v>
      </c>
      <c r="U192" s="9" t="str">
        <f t="shared" si="1"/>
        <v>NSE:REDINGTON</v>
      </c>
      <c r="V192" s="18"/>
      <c r="W192" s="18"/>
      <c r="X192" s="18"/>
    </row>
    <row r="193">
      <c r="A193" s="20"/>
      <c r="B193" s="3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35"/>
      <c r="N193" s="18"/>
      <c r="O193" s="18"/>
      <c r="P193" s="18"/>
      <c r="Q193" s="34"/>
      <c r="R193" s="18"/>
      <c r="S193" s="18"/>
      <c r="T193" s="19" t="s">
        <v>213</v>
      </c>
      <c r="U193" s="9" t="str">
        <f t="shared" si="1"/>
        <v>NSE:TITAGARH</v>
      </c>
      <c r="V193" s="18"/>
      <c r="W193" s="18"/>
      <c r="X193" s="18"/>
    </row>
    <row r="194">
      <c r="A194" s="20"/>
      <c r="B194" s="3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35"/>
      <c r="N194" s="18"/>
      <c r="O194" s="18"/>
      <c r="P194" s="18"/>
      <c r="Q194" s="34"/>
      <c r="R194" s="18"/>
      <c r="S194" s="18"/>
      <c r="T194" s="19" t="s">
        <v>214</v>
      </c>
      <c r="U194" s="9" t="str">
        <f t="shared" si="1"/>
        <v>NSE:SAMMAANCAP</v>
      </c>
      <c r="V194" s="18"/>
      <c r="W194" s="18"/>
      <c r="X194" s="18"/>
    </row>
    <row r="195">
      <c r="A195" s="20"/>
      <c r="B195" s="3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35"/>
      <c r="N195" s="18"/>
      <c r="O195" s="18"/>
      <c r="P195" s="18"/>
      <c r="Q195" s="34"/>
      <c r="R195" s="18"/>
      <c r="S195" s="18"/>
      <c r="T195" s="19" t="s">
        <v>215</v>
      </c>
      <c r="U195" s="9" t="str">
        <f t="shared" si="1"/>
        <v>NSE:VIJAYA</v>
      </c>
      <c r="V195" s="18"/>
      <c r="W195" s="18"/>
      <c r="X195" s="18"/>
    </row>
    <row r="196">
      <c r="A196" s="20"/>
      <c r="B196" s="3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35"/>
      <c r="N196" s="18"/>
      <c r="O196" s="18"/>
      <c r="P196" s="18"/>
      <c r="Q196" s="34"/>
      <c r="R196" s="18"/>
      <c r="S196" s="18"/>
      <c r="T196" s="19" t="s">
        <v>216</v>
      </c>
      <c r="U196" s="9" t="str">
        <f t="shared" si="1"/>
        <v>NSE:PRESTIGE</v>
      </c>
      <c r="V196" s="18"/>
      <c r="W196" s="18"/>
      <c r="X196" s="18"/>
    </row>
    <row r="197">
      <c r="A197" s="20"/>
      <c r="B197" s="3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35"/>
      <c r="N197" s="18"/>
      <c r="O197" s="18"/>
      <c r="P197" s="18"/>
      <c r="Q197" s="34"/>
      <c r="R197" s="18"/>
      <c r="S197" s="18"/>
      <c r="T197" s="19" t="s">
        <v>217</v>
      </c>
      <c r="U197" s="9" t="str">
        <f t="shared" si="1"/>
        <v>NSE:KEI</v>
      </c>
      <c r="V197" s="18"/>
      <c r="W197" s="18"/>
      <c r="X197" s="18"/>
    </row>
    <row r="198">
      <c r="A198" s="20"/>
      <c r="B198" s="3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35"/>
      <c r="N198" s="18"/>
      <c r="O198" s="18"/>
      <c r="P198" s="18"/>
      <c r="Q198" s="34"/>
      <c r="R198" s="18"/>
      <c r="S198" s="18"/>
      <c r="T198" s="19" t="s">
        <v>218</v>
      </c>
      <c r="U198" s="9" t="str">
        <f t="shared" si="1"/>
        <v>NSE:SWSOLAR</v>
      </c>
      <c r="V198" s="18"/>
      <c r="W198" s="18"/>
      <c r="X198" s="18"/>
    </row>
    <row r="199">
      <c r="A199" s="20"/>
      <c r="B199" s="3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35"/>
      <c r="N199" s="18"/>
      <c r="O199" s="18"/>
      <c r="P199" s="18"/>
      <c r="Q199" s="34"/>
      <c r="R199" s="18"/>
      <c r="S199" s="18"/>
      <c r="T199" s="19" t="s">
        <v>219</v>
      </c>
      <c r="U199" s="9" t="str">
        <f t="shared" si="1"/>
        <v>NSE:LUPIN</v>
      </c>
      <c r="V199" s="18"/>
      <c r="W199" s="18"/>
      <c r="X199" s="18"/>
    </row>
    <row r="200">
      <c r="A200" s="20"/>
      <c r="B200" s="3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35"/>
      <c r="N200" s="18"/>
      <c r="O200" s="18"/>
      <c r="P200" s="18"/>
      <c r="Q200" s="34"/>
      <c r="R200" s="18"/>
      <c r="S200" s="18"/>
      <c r="T200" s="19" t="s">
        <v>220</v>
      </c>
      <c r="U200" s="9" t="str">
        <f t="shared" si="1"/>
        <v>NSE:NTPCGREEN</v>
      </c>
      <c r="V200" s="18"/>
      <c r="W200" s="18"/>
      <c r="X200" s="18"/>
    </row>
    <row r="201">
      <c r="A201" s="20"/>
      <c r="B201" s="3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35"/>
      <c r="N201" s="18"/>
      <c r="O201" s="18"/>
      <c r="P201" s="18"/>
      <c r="Q201" s="34"/>
      <c r="R201" s="18"/>
      <c r="S201" s="18"/>
      <c r="T201" s="19" t="s">
        <v>221</v>
      </c>
      <c r="U201" s="9" t="str">
        <f t="shared" si="1"/>
        <v>NSE:BANDHANBNK</v>
      </c>
      <c r="V201" s="18"/>
      <c r="W201" s="18"/>
      <c r="X201" s="18"/>
    </row>
    <row r="202">
      <c r="A202" s="20"/>
      <c r="B202" s="3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35"/>
      <c r="N202" s="18"/>
      <c r="O202" s="18"/>
      <c r="P202" s="18"/>
      <c r="Q202" s="34"/>
      <c r="R202" s="18"/>
      <c r="S202" s="18"/>
      <c r="T202" s="19" t="s">
        <v>222</v>
      </c>
      <c r="U202" s="9" t="str">
        <f t="shared" si="1"/>
        <v>NSE:BALKRISIND</v>
      </c>
      <c r="V202" s="18"/>
      <c r="W202" s="18"/>
      <c r="X202" s="18"/>
    </row>
    <row r="203">
      <c r="A203" s="20"/>
      <c r="B203" s="3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35"/>
      <c r="N203" s="18"/>
      <c r="O203" s="18"/>
      <c r="P203" s="18"/>
      <c r="Q203" s="34"/>
      <c r="R203" s="18"/>
      <c r="S203" s="18"/>
      <c r="T203" s="19" t="s">
        <v>223</v>
      </c>
      <c r="U203" s="9" t="str">
        <f t="shared" si="1"/>
        <v>NSE:ATGL</v>
      </c>
      <c r="V203" s="18"/>
      <c r="W203" s="18"/>
      <c r="X203" s="18"/>
    </row>
    <row r="204">
      <c r="A204" s="20"/>
      <c r="B204" s="3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35"/>
      <c r="N204" s="18"/>
      <c r="O204" s="18"/>
      <c r="P204" s="18"/>
      <c r="Q204" s="34"/>
      <c r="R204" s="18"/>
      <c r="S204" s="18"/>
      <c r="T204" s="19" t="s">
        <v>224</v>
      </c>
      <c r="U204" s="9" t="str">
        <f t="shared" si="1"/>
        <v>NSE:PIIND</v>
      </c>
      <c r="V204" s="18"/>
      <c r="W204" s="18"/>
      <c r="X204" s="18"/>
    </row>
    <row r="205">
      <c r="A205" s="20"/>
      <c r="B205" s="3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35"/>
      <c r="N205" s="18"/>
      <c r="O205" s="18"/>
      <c r="P205" s="18"/>
      <c r="Q205" s="34"/>
      <c r="R205" s="18"/>
      <c r="S205" s="18"/>
      <c r="T205" s="19" t="s">
        <v>225</v>
      </c>
      <c r="U205" s="9" t="str">
        <f t="shared" si="1"/>
        <v>NSE:NH</v>
      </c>
      <c r="V205" s="18"/>
      <c r="W205" s="18"/>
      <c r="X205" s="18"/>
    </row>
    <row r="206">
      <c r="A206" s="20"/>
      <c r="B206" s="3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35"/>
      <c r="N206" s="18"/>
      <c r="O206" s="18"/>
      <c r="P206" s="18"/>
      <c r="Q206" s="34"/>
      <c r="R206" s="18"/>
      <c r="S206" s="18"/>
      <c r="T206" s="19" t="s">
        <v>226</v>
      </c>
      <c r="U206" s="9" t="str">
        <f t="shared" si="1"/>
        <v>NSE:SENCO</v>
      </c>
      <c r="V206" s="18"/>
      <c r="W206" s="18"/>
      <c r="X206" s="18"/>
    </row>
    <row r="207">
      <c r="A207" s="20"/>
      <c r="B207" s="3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35"/>
      <c r="N207" s="18"/>
      <c r="O207" s="18"/>
      <c r="P207" s="18"/>
      <c r="Q207" s="34"/>
      <c r="R207" s="18"/>
      <c r="S207" s="18"/>
      <c r="T207" s="19" t="s">
        <v>227</v>
      </c>
      <c r="U207" s="9" t="str">
        <f t="shared" si="1"/>
        <v>NSE:SONACOMS</v>
      </c>
      <c r="V207" s="18"/>
      <c r="W207" s="18"/>
      <c r="X207" s="18"/>
    </row>
    <row r="208">
      <c r="A208" s="20"/>
      <c r="B208" s="3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35"/>
      <c r="N208" s="18"/>
      <c r="O208" s="18"/>
      <c r="P208" s="18"/>
      <c r="Q208" s="34"/>
      <c r="R208" s="18"/>
      <c r="S208" s="18"/>
      <c r="T208" s="19" t="s">
        <v>228</v>
      </c>
      <c r="U208" s="9" t="str">
        <f t="shared" si="1"/>
        <v>NSE:LTTS</v>
      </c>
      <c r="V208" s="18"/>
      <c r="W208" s="18"/>
      <c r="X208" s="18"/>
    </row>
    <row r="209">
      <c r="A209" s="20"/>
      <c r="B209" s="3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35"/>
      <c r="N209" s="18"/>
      <c r="O209" s="18"/>
      <c r="P209" s="18"/>
      <c r="Q209" s="34"/>
      <c r="R209" s="18"/>
      <c r="S209" s="18"/>
      <c r="T209" s="19" t="s">
        <v>229</v>
      </c>
      <c r="U209" s="9" t="str">
        <f t="shared" si="1"/>
        <v>NSE:TATACOMM</v>
      </c>
      <c r="V209" s="18"/>
      <c r="W209" s="18"/>
      <c r="X209" s="18"/>
    </row>
    <row r="210">
      <c r="A210" s="20"/>
      <c r="B210" s="3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35"/>
      <c r="N210" s="18"/>
      <c r="O210" s="18"/>
      <c r="P210" s="18"/>
      <c r="Q210" s="34"/>
      <c r="R210" s="18"/>
      <c r="S210" s="18"/>
      <c r="T210" s="19" t="s">
        <v>230</v>
      </c>
      <c r="U210" s="9" t="str">
        <f t="shared" si="1"/>
        <v>NSE:UNIONBANK</v>
      </c>
      <c r="V210" s="18"/>
      <c r="W210" s="18"/>
      <c r="X210" s="18"/>
    </row>
    <row r="211">
      <c r="A211" s="20"/>
      <c r="B211" s="3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35"/>
      <c r="N211" s="18"/>
      <c r="O211" s="18"/>
      <c r="P211" s="18"/>
      <c r="Q211" s="34"/>
      <c r="R211" s="18"/>
      <c r="S211" s="18"/>
      <c r="T211" s="19" t="s">
        <v>231</v>
      </c>
      <c r="U211" s="9" t="str">
        <f t="shared" si="1"/>
        <v>NSE:TATAELXSI</v>
      </c>
      <c r="V211" s="18"/>
      <c r="W211" s="18"/>
      <c r="X211" s="18"/>
    </row>
    <row r="212">
      <c r="A212" s="20"/>
      <c r="B212" s="3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35"/>
      <c r="N212" s="18"/>
      <c r="O212" s="18"/>
      <c r="P212" s="18"/>
      <c r="Q212" s="34"/>
      <c r="R212" s="18"/>
      <c r="S212" s="18"/>
      <c r="T212" s="19" t="s">
        <v>232</v>
      </c>
      <c r="U212" s="9" t="str">
        <f t="shared" si="1"/>
        <v>NSE:RBLBANK</v>
      </c>
      <c r="V212" s="18"/>
      <c r="W212" s="18"/>
      <c r="X212" s="18"/>
    </row>
    <row r="213">
      <c r="A213" s="20"/>
      <c r="B213" s="3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35"/>
      <c r="N213" s="18"/>
      <c r="O213" s="18"/>
      <c r="P213" s="18"/>
      <c r="Q213" s="34"/>
      <c r="R213" s="18"/>
      <c r="S213" s="18"/>
      <c r="T213" s="19" t="s">
        <v>233</v>
      </c>
      <c r="U213" s="9" t="str">
        <f t="shared" si="1"/>
        <v>NSE:GOLDBEES</v>
      </c>
      <c r="V213" s="18"/>
      <c r="W213" s="18"/>
      <c r="X213" s="18"/>
    </row>
    <row r="214">
      <c r="A214" s="20"/>
      <c r="B214" s="3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35"/>
      <c r="N214" s="18"/>
      <c r="O214" s="18"/>
      <c r="P214" s="18"/>
      <c r="Q214" s="34"/>
      <c r="R214" s="18"/>
      <c r="S214" s="18"/>
      <c r="T214" s="19" t="s">
        <v>234</v>
      </c>
      <c r="U214" s="9" t="str">
        <f t="shared" si="1"/>
        <v>NSE:SWANENERGY</v>
      </c>
      <c r="V214" s="18"/>
      <c r="W214" s="18"/>
      <c r="X214" s="18"/>
    </row>
    <row r="215">
      <c r="A215" s="20"/>
      <c r="B215" s="3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35"/>
      <c r="N215" s="18"/>
      <c r="O215" s="18"/>
      <c r="P215" s="18"/>
      <c r="Q215" s="34"/>
      <c r="R215" s="18"/>
      <c r="S215" s="18"/>
      <c r="T215" s="19" t="s">
        <v>235</v>
      </c>
      <c r="U215" s="9" t="str">
        <f t="shared" si="1"/>
        <v>NSE:NYKAA</v>
      </c>
      <c r="V215" s="18"/>
      <c r="W215" s="18"/>
      <c r="X215" s="18"/>
    </row>
    <row r="216">
      <c r="A216" s="20"/>
      <c r="B216" s="3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35"/>
      <c r="N216" s="18"/>
      <c r="O216" s="18"/>
      <c r="P216" s="18"/>
      <c r="Q216" s="34"/>
      <c r="R216" s="18"/>
      <c r="S216" s="18"/>
      <c r="T216" s="19" t="s">
        <v>236</v>
      </c>
      <c r="U216" s="9" t="str">
        <f t="shared" si="1"/>
        <v>NSE:RAMCOCEM</v>
      </c>
      <c r="V216" s="18"/>
      <c r="W216" s="18"/>
      <c r="X216" s="18"/>
    </row>
    <row r="217">
      <c r="A217" s="20"/>
      <c r="B217" s="3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35"/>
      <c r="N217" s="18"/>
      <c r="O217" s="18"/>
      <c r="P217" s="18"/>
      <c r="Q217" s="34"/>
      <c r="R217" s="18"/>
      <c r="S217" s="18"/>
      <c r="T217" s="19" t="s">
        <v>237</v>
      </c>
      <c r="U217" s="9" t="str">
        <f t="shared" si="1"/>
        <v>NSE:HUDCO</v>
      </c>
      <c r="V217" s="18"/>
      <c r="W217" s="18"/>
      <c r="X217" s="18"/>
    </row>
    <row r="218">
      <c r="A218" s="20"/>
      <c r="B218" s="3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35"/>
      <c r="N218" s="18"/>
      <c r="O218" s="18"/>
      <c r="P218" s="18"/>
      <c r="Q218" s="34"/>
      <c r="R218" s="18"/>
      <c r="S218" s="18"/>
      <c r="T218" s="19" t="s">
        <v>238</v>
      </c>
      <c r="U218" s="9" t="str">
        <f t="shared" si="1"/>
        <v>NSE:ANANTRAJ</v>
      </c>
      <c r="V218" s="18"/>
      <c r="W218" s="18"/>
      <c r="X218" s="18"/>
    </row>
    <row r="219">
      <c r="A219" s="20"/>
      <c r="B219" s="3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35"/>
      <c r="N219" s="18"/>
      <c r="O219" s="18"/>
      <c r="P219" s="18"/>
      <c r="Q219" s="34"/>
      <c r="R219" s="18"/>
      <c r="S219" s="18"/>
      <c r="T219" s="19" t="s">
        <v>239</v>
      </c>
      <c r="U219" s="9" t="str">
        <f t="shared" si="1"/>
        <v>NSE:GODREJCP</v>
      </c>
      <c r="V219" s="18"/>
      <c r="W219" s="18"/>
      <c r="X219" s="18"/>
    </row>
    <row r="220">
      <c r="A220" s="20"/>
      <c r="B220" s="3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35"/>
      <c r="N220" s="18"/>
      <c r="O220" s="18"/>
      <c r="P220" s="18"/>
      <c r="Q220" s="34"/>
      <c r="R220" s="18"/>
      <c r="S220" s="18"/>
      <c r="T220" s="19" t="s">
        <v>240</v>
      </c>
      <c r="U220" s="9" t="str">
        <f t="shared" si="1"/>
        <v>NSE:PETRONET</v>
      </c>
      <c r="V220" s="18"/>
      <c r="W220" s="18"/>
      <c r="X220" s="18"/>
    </row>
    <row r="221">
      <c r="A221" s="20"/>
      <c r="B221" s="3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35"/>
      <c r="N221" s="18"/>
      <c r="O221" s="18"/>
      <c r="P221" s="18"/>
      <c r="Q221" s="34"/>
      <c r="R221" s="18"/>
      <c r="S221" s="18"/>
      <c r="T221" s="19" t="s">
        <v>241</v>
      </c>
      <c r="U221" s="9" t="str">
        <f t="shared" si="1"/>
        <v>NSE:ASTRAL</v>
      </c>
      <c r="V221" s="18"/>
      <c r="W221" s="18"/>
      <c r="X221" s="18"/>
    </row>
    <row r="222">
      <c r="A222" s="20"/>
      <c r="B222" s="3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35"/>
      <c r="N222" s="18"/>
      <c r="O222" s="18"/>
      <c r="P222" s="18"/>
      <c r="Q222" s="34"/>
      <c r="R222" s="18"/>
      <c r="S222" s="18"/>
      <c r="T222" s="19" t="s">
        <v>242</v>
      </c>
      <c r="U222" s="9" t="str">
        <f t="shared" si="1"/>
        <v>NSE:DABUR</v>
      </c>
      <c r="V222" s="18"/>
      <c r="W222" s="18"/>
      <c r="X222" s="18"/>
    </row>
    <row r="223">
      <c r="A223" s="20"/>
      <c r="B223" s="3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35"/>
      <c r="N223" s="18"/>
      <c r="O223" s="18"/>
      <c r="P223" s="18"/>
      <c r="Q223" s="34"/>
      <c r="R223" s="18"/>
      <c r="S223" s="18"/>
      <c r="T223" s="19" t="s">
        <v>243</v>
      </c>
      <c r="U223" s="9" t="str">
        <f t="shared" si="1"/>
        <v>NSE:NESTLEIND</v>
      </c>
      <c r="V223" s="18"/>
      <c r="W223" s="18"/>
      <c r="X223" s="18"/>
    </row>
    <row r="224">
      <c r="A224" s="20"/>
      <c r="B224" s="3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35"/>
      <c r="N224" s="18"/>
      <c r="O224" s="18"/>
      <c r="P224" s="18"/>
      <c r="Q224" s="34"/>
      <c r="R224" s="18"/>
      <c r="S224" s="18"/>
      <c r="T224" s="19" t="s">
        <v>244</v>
      </c>
      <c r="U224" s="9" t="str">
        <f t="shared" si="1"/>
        <v>NSE:ZENTEC</v>
      </c>
      <c r="V224" s="18"/>
      <c r="W224" s="18"/>
      <c r="X224" s="18"/>
    </row>
    <row r="225">
      <c r="A225" s="20"/>
      <c r="B225" s="3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35"/>
      <c r="N225" s="18"/>
      <c r="O225" s="18"/>
      <c r="P225" s="18"/>
      <c r="Q225" s="34"/>
      <c r="R225" s="18"/>
      <c r="S225" s="18"/>
      <c r="T225" s="19" t="s">
        <v>245</v>
      </c>
      <c r="U225" s="9" t="str">
        <f t="shared" si="1"/>
        <v>NSE:ELGIEQUIP</v>
      </c>
      <c r="V225" s="18"/>
      <c r="W225" s="18"/>
      <c r="X225" s="18"/>
    </row>
    <row r="226">
      <c r="A226" s="20"/>
      <c r="B226" s="3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35"/>
      <c r="N226" s="18"/>
      <c r="O226" s="18"/>
      <c r="P226" s="18"/>
      <c r="Q226" s="34"/>
      <c r="R226" s="18"/>
      <c r="S226" s="18"/>
      <c r="T226" s="19" t="s">
        <v>246</v>
      </c>
      <c r="U226" s="9" t="str">
        <f t="shared" si="1"/>
        <v>NSE:SILVERBEES</v>
      </c>
      <c r="V226" s="18"/>
      <c r="W226" s="18"/>
      <c r="X226" s="18"/>
    </row>
    <row r="227">
      <c r="A227" s="20"/>
      <c r="B227" s="3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35"/>
      <c r="N227" s="18"/>
      <c r="O227" s="18"/>
      <c r="P227" s="18"/>
      <c r="Q227" s="34"/>
      <c r="R227" s="18"/>
      <c r="S227" s="18"/>
      <c r="T227" s="19" t="s">
        <v>247</v>
      </c>
      <c r="U227" s="9" t="str">
        <f t="shared" si="1"/>
        <v>NSE:HBLENGINE</v>
      </c>
      <c r="V227" s="18"/>
      <c r="W227" s="18"/>
      <c r="X227" s="18"/>
    </row>
    <row r="228">
      <c r="A228" s="20"/>
      <c r="B228" s="3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35"/>
      <c r="N228" s="18"/>
      <c r="O228" s="18"/>
      <c r="P228" s="18"/>
      <c r="Q228" s="34"/>
      <c r="R228" s="18"/>
      <c r="S228" s="18"/>
      <c r="T228" s="19" t="s">
        <v>248</v>
      </c>
      <c r="U228" s="9" t="str">
        <f t="shared" si="1"/>
        <v>NSE:ZENSARTECH</v>
      </c>
      <c r="V228" s="18"/>
      <c r="W228" s="18"/>
      <c r="X228" s="18"/>
    </row>
    <row r="229">
      <c r="A229" s="20"/>
      <c r="B229" s="3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35"/>
      <c r="N229" s="18"/>
      <c r="O229" s="18"/>
      <c r="P229" s="18"/>
      <c r="Q229" s="34"/>
      <c r="R229" s="18"/>
      <c r="S229" s="18"/>
      <c r="T229" s="19" t="s">
        <v>249</v>
      </c>
      <c r="U229" s="9" t="str">
        <f t="shared" si="1"/>
        <v>NSE:GMRAIRPORT</v>
      </c>
      <c r="V229" s="18"/>
      <c r="W229" s="18"/>
      <c r="X229" s="18"/>
    </row>
    <row r="230">
      <c r="A230" s="20"/>
      <c r="B230" s="3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35"/>
      <c r="N230" s="18"/>
      <c r="O230" s="18"/>
      <c r="P230" s="18"/>
      <c r="Q230" s="34"/>
      <c r="R230" s="18"/>
      <c r="S230" s="18"/>
      <c r="T230" s="19" t="s">
        <v>250</v>
      </c>
      <c r="U230" s="9" t="str">
        <f t="shared" si="1"/>
        <v>NSE:ISEC</v>
      </c>
      <c r="V230" s="18"/>
      <c r="W230" s="18"/>
      <c r="X230" s="18"/>
    </row>
    <row r="231">
      <c r="A231" s="20"/>
      <c r="B231" s="3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35"/>
      <c r="N231" s="18"/>
      <c r="O231" s="18"/>
      <c r="P231" s="18"/>
      <c r="Q231" s="34"/>
      <c r="R231" s="18"/>
      <c r="S231" s="18"/>
      <c r="T231" s="19" t="s">
        <v>251</v>
      </c>
      <c r="U231" s="9" t="str">
        <f t="shared" si="1"/>
        <v>NSE:OBEROIRLTY</v>
      </c>
      <c r="V231" s="18"/>
      <c r="W231" s="18"/>
      <c r="X231" s="18"/>
    </row>
    <row r="232">
      <c r="A232" s="20"/>
      <c r="B232" s="3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35"/>
      <c r="N232" s="18"/>
      <c r="O232" s="18"/>
      <c r="P232" s="18"/>
      <c r="Q232" s="34"/>
      <c r="R232" s="18"/>
      <c r="S232" s="18"/>
      <c r="T232" s="19" t="s">
        <v>252</v>
      </c>
      <c r="U232" s="9" t="str">
        <f t="shared" si="1"/>
        <v>NSE:SDBL</v>
      </c>
      <c r="V232" s="18"/>
      <c r="W232" s="18"/>
      <c r="X232" s="18"/>
    </row>
    <row r="233">
      <c r="A233" s="20"/>
      <c r="B233" s="3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35"/>
      <c r="N233" s="18"/>
      <c r="O233" s="18"/>
      <c r="P233" s="18"/>
      <c r="Q233" s="34"/>
      <c r="R233" s="18"/>
      <c r="S233" s="18"/>
      <c r="T233" s="19" t="s">
        <v>253</v>
      </c>
      <c r="U233" s="9" t="str">
        <f t="shared" si="1"/>
        <v>NSE:UNITDSPR</v>
      </c>
      <c r="V233" s="18"/>
      <c r="W233" s="18"/>
      <c r="X233" s="18"/>
    </row>
    <row r="234">
      <c r="A234" s="20"/>
      <c r="B234" s="3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35"/>
      <c r="N234" s="18"/>
      <c r="O234" s="18"/>
      <c r="P234" s="18"/>
      <c r="Q234" s="34"/>
      <c r="R234" s="18"/>
      <c r="S234" s="18"/>
      <c r="T234" s="19" t="s">
        <v>254</v>
      </c>
      <c r="U234" s="9" t="str">
        <f t="shared" si="1"/>
        <v>NSE:HINDZINC</v>
      </c>
      <c r="V234" s="18"/>
      <c r="W234" s="18"/>
      <c r="X234" s="18"/>
    </row>
    <row r="235">
      <c r="A235" s="20"/>
      <c r="B235" s="3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35"/>
      <c r="N235" s="18"/>
      <c r="O235" s="18"/>
      <c r="P235" s="18"/>
      <c r="Q235" s="34"/>
      <c r="R235" s="18"/>
      <c r="S235" s="18"/>
      <c r="T235" s="19" t="s">
        <v>255</v>
      </c>
      <c r="U235" s="9" t="str">
        <f t="shared" si="1"/>
        <v>NSE:JUBLFOOD</v>
      </c>
      <c r="V235" s="18"/>
      <c r="W235" s="18"/>
      <c r="X235" s="18"/>
    </row>
    <row r="236">
      <c r="A236" s="20"/>
      <c r="B236" s="3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35"/>
      <c r="N236" s="18"/>
      <c r="O236" s="18"/>
      <c r="P236" s="18"/>
      <c r="Q236" s="34"/>
      <c r="R236" s="18"/>
      <c r="S236" s="18"/>
      <c r="T236" s="19" t="s">
        <v>256</v>
      </c>
      <c r="U236" s="9" t="str">
        <f t="shared" si="1"/>
        <v>NSE:KPITTECH</v>
      </c>
      <c r="V236" s="18"/>
      <c r="W236" s="18"/>
      <c r="X236" s="18"/>
    </row>
    <row r="237">
      <c r="A237" s="20"/>
      <c r="B237" s="3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35"/>
      <c r="N237" s="18"/>
      <c r="O237" s="18"/>
      <c r="P237" s="18"/>
      <c r="Q237" s="34"/>
      <c r="R237" s="18"/>
      <c r="S237" s="18"/>
      <c r="T237" s="19" t="s">
        <v>257</v>
      </c>
      <c r="U237" s="9" t="str">
        <f t="shared" si="1"/>
        <v>NSE:LICHSGFIN</v>
      </c>
      <c r="V237" s="18"/>
      <c r="W237" s="18"/>
      <c r="X237" s="18"/>
    </row>
    <row r="238">
      <c r="A238" s="20"/>
      <c r="B238" s="3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35"/>
      <c r="N238" s="18"/>
      <c r="O238" s="18"/>
      <c r="P238" s="18"/>
      <c r="Q238" s="34"/>
      <c r="R238" s="18"/>
      <c r="S238" s="18"/>
      <c r="T238" s="19" t="s">
        <v>258</v>
      </c>
      <c r="U238" s="9" t="str">
        <f t="shared" si="1"/>
        <v>NSE:BIRLACORPN</v>
      </c>
      <c r="V238" s="18"/>
      <c r="W238" s="18"/>
      <c r="X238" s="18"/>
    </row>
    <row r="239">
      <c r="A239" s="20"/>
      <c r="B239" s="3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35"/>
      <c r="N239" s="18"/>
      <c r="O239" s="18"/>
      <c r="P239" s="18"/>
      <c r="Q239" s="34"/>
      <c r="R239" s="18"/>
      <c r="S239" s="18"/>
      <c r="T239" s="19" t="s">
        <v>259</v>
      </c>
      <c r="U239" s="9" t="str">
        <f t="shared" si="1"/>
        <v>NSE:TEJASNET</v>
      </c>
      <c r="V239" s="18"/>
      <c r="W239" s="18"/>
      <c r="X239" s="18"/>
    </row>
    <row r="240">
      <c r="A240" s="20"/>
      <c r="B240" s="3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35"/>
      <c r="N240" s="18"/>
      <c r="O240" s="18"/>
      <c r="P240" s="18"/>
      <c r="Q240" s="34"/>
      <c r="R240" s="18"/>
      <c r="S240" s="18"/>
      <c r="T240" s="19" t="s">
        <v>260</v>
      </c>
      <c r="U240" s="9" t="str">
        <f t="shared" si="1"/>
        <v>NSE:NEULANDLAB</v>
      </c>
      <c r="V240" s="18"/>
      <c r="W240" s="18"/>
      <c r="X240" s="18"/>
    </row>
    <row r="241">
      <c r="A241" s="20"/>
      <c r="B241" s="3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35"/>
      <c r="N241" s="18"/>
      <c r="O241" s="18"/>
      <c r="P241" s="18"/>
      <c r="Q241" s="34"/>
      <c r="R241" s="18"/>
      <c r="S241" s="18"/>
      <c r="T241" s="19" t="s">
        <v>261</v>
      </c>
      <c r="U241" s="9" t="str">
        <f t="shared" si="1"/>
        <v>NSE:DELHIVERY</v>
      </c>
      <c r="V241" s="18"/>
      <c r="W241" s="18"/>
      <c r="X241" s="18"/>
    </row>
    <row r="242">
      <c r="A242" s="20"/>
      <c r="B242" s="3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35"/>
      <c r="N242" s="18"/>
      <c r="O242" s="18"/>
      <c r="P242" s="18"/>
      <c r="Q242" s="34"/>
      <c r="R242" s="18"/>
      <c r="S242" s="18"/>
      <c r="T242" s="19" t="s">
        <v>262</v>
      </c>
      <c r="U242" s="9" t="str">
        <f t="shared" si="1"/>
        <v>NSE:APARINDS</v>
      </c>
      <c r="V242" s="18"/>
      <c r="W242" s="18"/>
      <c r="X242" s="18"/>
    </row>
    <row r="243">
      <c r="A243" s="20"/>
      <c r="B243" s="3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35"/>
      <c r="N243" s="18"/>
      <c r="O243" s="18"/>
      <c r="P243" s="18"/>
      <c r="Q243" s="34"/>
      <c r="R243" s="18"/>
      <c r="S243" s="18"/>
      <c r="T243" s="19" t="s">
        <v>263</v>
      </c>
      <c r="U243" s="9" t="str">
        <f t="shared" si="1"/>
        <v>NSE:KFINTECH</v>
      </c>
      <c r="V243" s="18"/>
      <c r="W243" s="18"/>
      <c r="X243" s="18"/>
    </row>
    <row r="244">
      <c r="A244" s="20"/>
      <c r="B244" s="3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35"/>
      <c r="N244" s="18"/>
      <c r="O244" s="18"/>
      <c r="P244" s="18"/>
      <c r="Q244" s="34"/>
      <c r="R244" s="18"/>
      <c r="S244" s="18"/>
      <c r="T244" s="19" t="s">
        <v>264</v>
      </c>
      <c r="U244" s="9" t="str">
        <f t="shared" si="1"/>
        <v>NSE:AUROPHARMA</v>
      </c>
      <c r="V244" s="18"/>
      <c r="W244" s="18"/>
      <c r="X244" s="18"/>
    </row>
    <row r="245">
      <c r="A245" s="20"/>
      <c r="B245" s="3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35"/>
      <c r="N245" s="18"/>
      <c r="O245" s="18"/>
      <c r="P245" s="18"/>
      <c r="Q245" s="34"/>
      <c r="R245" s="18"/>
      <c r="S245" s="18"/>
      <c r="T245" s="19" t="s">
        <v>265</v>
      </c>
      <c r="U245" s="9" t="str">
        <f t="shared" si="1"/>
        <v>NSE:JPPOWER</v>
      </c>
      <c r="V245" s="18"/>
      <c r="W245" s="18"/>
      <c r="X245" s="18"/>
    </row>
    <row r="246">
      <c r="A246" s="20"/>
      <c r="B246" s="3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35"/>
      <c r="N246" s="18"/>
      <c r="O246" s="18"/>
      <c r="P246" s="18"/>
      <c r="Q246" s="34"/>
      <c r="R246" s="18"/>
      <c r="S246" s="18"/>
      <c r="T246" s="19" t="s">
        <v>266</v>
      </c>
      <c r="U246" s="9" t="str">
        <f t="shared" si="1"/>
        <v>NSE:WELCORP</v>
      </c>
      <c r="V246" s="18"/>
      <c r="W246" s="18"/>
      <c r="X246" s="18"/>
    </row>
    <row r="247">
      <c r="A247" s="20"/>
      <c r="B247" s="3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35"/>
      <c r="N247" s="18"/>
      <c r="O247" s="18"/>
      <c r="P247" s="18"/>
      <c r="Q247" s="34"/>
      <c r="R247" s="18"/>
      <c r="S247" s="18"/>
      <c r="T247" s="19" t="s">
        <v>267</v>
      </c>
      <c r="U247" s="9" t="str">
        <f t="shared" si="1"/>
        <v>NSE:PROTEAN</v>
      </c>
      <c r="V247" s="18"/>
      <c r="W247" s="18"/>
      <c r="X247" s="18"/>
    </row>
    <row r="248">
      <c r="A248" s="20"/>
      <c r="B248" s="3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35"/>
      <c r="N248" s="18"/>
      <c r="O248" s="18"/>
      <c r="P248" s="18"/>
      <c r="Q248" s="34"/>
      <c r="R248" s="18"/>
      <c r="S248" s="18"/>
      <c r="T248" s="19" t="s">
        <v>268</v>
      </c>
      <c r="U248" s="9" t="str">
        <f t="shared" si="1"/>
        <v>NSE:IRCTC</v>
      </c>
      <c r="V248" s="18"/>
      <c r="W248" s="18"/>
      <c r="X248" s="18"/>
    </row>
    <row r="249">
      <c r="A249" s="20"/>
      <c r="B249" s="3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35"/>
      <c r="N249" s="18"/>
      <c r="O249" s="18"/>
      <c r="P249" s="18"/>
      <c r="Q249" s="34"/>
      <c r="R249" s="18"/>
      <c r="S249" s="18"/>
      <c r="T249" s="19" t="s">
        <v>269</v>
      </c>
      <c r="U249" s="9" t="str">
        <f t="shared" si="1"/>
        <v>NSE:EIHOTEL</v>
      </c>
      <c r="V249" s="18"/>
      <c r="W249" s="18"/>
      <c r="X249" s="18"/>
    </row>
    <row r="250">
      <c r="A250" s="20"/>
      <c r="B250" s="3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35"/>
      <c r="N250" s="18"/>
      <c r="O250" s="18"/>
      <c r="P250" s="18"/>
      <c r="Q250" s="34"/>
      <c r="R250" s="18"/>
      <c r="S250" s="18"/>
      <c r="T250" s="19" t="s">
        <v>270</v>
      </c>
      <c r="U250" s="9" t="str">
        <f t="shared" si="1"/>
        <v>NSE:JCHAC</v>
      </c>
      <c r="V250" s="18"/>
      <c r="W250" s="18"/>
      <c r="X250" s="18"/>
    </row>
    <row r="251">
      <c r="A251" s="20"/>
      <c r="B251" s="3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35"/>
      <c r="N251" s="18"/>
      <c r="O251" s="18"/>
      <c r="P251" s="18"/>
      <c r="Q251" s="34"/>
      <c r="R251" s="18"/>
      <c r="S251" s="18"/>
      <c r="T251" s="19" t="s">
        <v>271</v>
      </c>
      <c r="U251" s="9" t="str">
        <f t="shared" si="1"/>
        <v>NSE:SBICARD</v>
      </c>
      <c r="V251" s="18"/>
      <c r="W251" s="18"/>
      <c r="X251" s="18"/>
    </row>
    <row r="252">
      <c r="A252" s="20"/>
      <c r="B252" s="3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35"/>
      <c r="N252" s="18"/>
      <c r="O252" s="18"/>
      <c r="P252" s="18"/>
      <c r="Q252" s="34"/>
      <c r="R252" s="18"/>
      <c r="S252" s="18"/>
      <c r="T252" s="19" t="s">
        <v>272</v>
      </c>
      <c r="U252" s="9" t="str">
        <f t="shared" si="1"/>
        <v>NSE:EXIDEIND</v>
      </c>
      <c r="V252" s="18"/>
      <c r="W252" s="18"/>
      <c r="X252" s="18"/>
    </row>
    <row r="253">
      <c r="A253" s="20"/>
      <c r="B253" s="3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35"/>
      <c r="N253" s="18"/>
      <c r="O253" s="18"/>
      <c r="P253" s="18"/>
      <c r="Q253" s="34"/>
      <c r="R253" s="18"/>
      <c r="S253" s="18"/>
      <c r="T253" s="19" t="s">
        <v>273</v>
      </c>
      <c r="U253" s="9" t="str">
        <f t="shared" si="1"/>
        <v>NSE:BAJAJHFL</v>
      </c>
      <c r="V253" s="18"/>
      <c r="W253" s="18"/>
      <c r="X253" s="18"/>
    </row>
    <row r="254">
      <c r="A254" s="20"/>
      <c r="B254" s="3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35"/>
      <c r="N254" s="18"/>
      <c r="O254" s="18"/>
      <c r="P254" s="18"/>
      <c r="Q254" s="34"/>
      <c r="R254" s="18"/>
      <c r="S254" s="18"/>
      <c r="T254" s="19" t="s">
        <v>274</v>
      </c>
      <c r="U254" s="9" t="str">
        <f t="shared" si="1"/>
        <v>NSE:RPOWER</v>
      </c>
      <c r="V254" s="18"/>
      <c r="W254" s="18"/>
      <c r="X254" s="18"/>
    </row>
    <row r="255">
      <c r="A255" s="20"/>
      <c r="B255" s="3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35"/>
      <c r="N255" s="18"/>
      <c r="O255" s="18"/>
      <c r="P255" s="18"/>
      <c r="Q255" s="34"/>
      <c r="R255" s="18"/>
      <c r="S255" s="18"/>
      <c r="T255" s="19" t="s">
        <v>275</v>
      </c>
      <c r="U255" s="9" t="str">
        <f t="shared" si="1"/>
        <v>NSE:GOLDIETF</v>
      </c>
      <c r="V255" s="18"/>
      <c r="W255" s="18"/>
      <c r="X255" s="18"/>
    </row>
    <row r="256">
      <c r="A256" s="20"/>
      <c r="B256" s="3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35"/>
      <c r="N256" s="18"/>
      <c r="O256" s="18"/>
      <c r="P256" s="18"/>
      <c r="Q256" s="34"/>
      <c r="R256" s="18"/>
      <c r="S256" s="18"/>
      <c r="T256" s="19" t="s">
        <v>276</v>
      </c>
      <c r="U256" s="9" t="str">
        <f t="shared" si="1"/>
        <v>NSE:SIGNATURE</v>
      </c>
      <c r="V256" s="18"/>
      <c r="W256" s="18"/>
      <c r="X256" s="18"/>
    </row>
    <row r="257">
      <c r="A257" s="20"/>
      <c r="B257" s="3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35"/>
      <c r="N257" s="18"/>
      <c r="O257" s="18"/>
      <c r="P257" s="18"/>
      <c r="Q257" s="34"/>
      <c r="R257" s="18"/>
      <c r="S257" s="18"/>
      <c r="T257" s="19" t="s">
        <v>277</v>
      </c>
      <c r="U257" s="9" t="str">
        <f t="shared" si="1"/>
        <v>NSE:FEDERALBNK</v>
      </c>
      <c r="V257" s="18"/>
      <c r="W257" s="18"/>
      <c r="X257" s="18"/>
    </row>
    <row r="258">
      <c r="A258" s="20"/>
      <c r="B258" s="3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35"/>
      <c r="N258" s="18"/>
      <c r="O258" s="18"/>
      <c r="P258" s="18"/>
      <c r="Q258" s="34"/>
      <c r="R258" s="18"/>
      <c r="S258" s="18"/>
      <c r="T258" s="19" t="s">
        <v>278</v>
      </c>
      <c r="U258" s="9" t="str">
        <f t="shared" si="1"/>
        <v>NSE:IGIL</v>
      </c>
      <c r="V258" s="18"/>
      <c r="W258" s="18"/>
      <c r="X258" s="18"/>
    </row>
    <row r="259">
      <c r="A259" s="20"/>
      <c r="B259" s="3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35"/>
      <c r="N259" s="18"/>
      <c r="O259" s="18"/>
      <c r="P259" s="18"/>
      <c r="Q259" s="34"/>
      <c r="R259" s="18"/>
      <c r="S259" s="18"/>
      <c r="T259" s="19" t="s">
        <v>279</v>
      </c>
      <c r="U259" s="9" t="str">
        <f t="shared" si="1"/>
        <v>NSE:JWL</v>
      </c>
      <c r="V259" s="18"/>
      <c r="W259" s="18"/>
      <c r="X259" s="18"/>
    </row>
    <row r="260">
      <c r="A260" s="20"/>
      <c r="B260" s="3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35"/>
      <c r="N260" s="18"/>
      <c r="O260" s="18"/>
      <c r="P260" s="18"/>
      <c r="Q260" s="34"/>
      <c r="R260" s="18"/>
      <c r="S260" s="18"/>
      <c r="T260" s="19" t="s">
        <v>280</v>
      </c>
      <c r="U260" s="9" t="str">
        <f t="shared" si="1"/>
        <v>NSE:TORNTPHARM</v>
      </c>
      <c r="V260" s="18"/>
      <c r="W260" s="18"/>
      <c r="X260" s="18"/>
    </row>
    <row r="261">
      <c r="A261" s="20"/>
      <c r="B261" s="3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35"/>
      <c r="N261" s="18"/>
      <c r="O261" s="18"/>
      <c r="P261" s="18"/>
      <c r="Q261" s="34"/>
      <c r="R261" s="18"/>
      <c r="S261" s="18"/>
      <c r="T261" s="19" t="s">
        <v>281</v>
      </c>
      <c r="U261" s="9" t="str">
        <f t="shared" si="1"/>
        <v>NSE:RELINFRA</v>
      </c>
      <c r="V261" s="18"/>
      <c r="W261" s="18"/>
      <c r="X261" s="18"/>
    </row>
    <row r="262">
      <c r="A262" s="20"/>
      <c r="B262" s="3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35"/>
      <c r="N262" s="18"/>
      <c r="O262" s="18"/>
      <c r="P262" s="18"/>
      <c r="Q262" s="34"/>
      <c r="R262" s="18"/>
      <c r="S262" s="18"/>
      <c r="T262" s="19" t="s">
        <v>282</v>
      </c>
      <c r="U262" s="9" t="str">
        <f t="shared" si="1"/>
        <v>NSE:BANKINDIA</v>
      </c>
      <c r="V262" s="18"/>
      <c r="W262" s="18"/>
      <c r="X262" s="18"/>
    </row>
    <row r="263">
      <c r="A263" s="20"/>
      <c r="B263" s="3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35"/>
      <c r="N263" s="18"/>
      <c r="O263" s="18"/>
      <c r="P263" s="18"/>
      <c r="Q263" s="34"/>
      <c r="R263" s="18"/>
      <c r="S263" s="18"/>
      <c r="T263" s="19" t="s">
        <v>283</v>
      </c>
      <c r="U263" s="9" t="str">
        <f t="shared" si="1"/>
        <v>NSE:BLS</v>
      </c>
      <c r="V263" s="18"/>
      <c r="W263" s="18"/>
      <c r="X263" s="18"/>
    </row>
    <row r="264">
      <c r="A264" s="20"/>
      <c r="B264" s="3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35"/>
      <c r="N264" s="18"/>
      <c r="O264" s="18"/>
      <c r="P264" s="18"/>
      <c r="Q264" s="34"/>
      <c r="R264" s="18"/>
      <c r="S264" s="18"/>
      <c r="T264" s="19" t="s">
        <v>284</v>
      </c>
      <c r="U264" s="9" t="str">
        <f t="shared" si="1"/>
        <v>NSE:APOLLO</v>
      </c>
      <c r="V264" s="18"/>
      <c r="W264" s="18"/>
      <c r="X264" s="18"/>
    </row>
    <row r="265">
      <c r="A265" s="20"/>
      <c r="B265" s="3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35"/>
      <c r="N265" s="18"/>
      <c r="O265" s="18"/>
      <c r="P265" s="18"/>
      <c r="Q265" s="34"/>
      <c r="R265" s="18"/>
      <c r="S265" s="18"/>
      <c r="T265" s="19" t="s">
        <v>285</v>
      </c>
      <c r="U265" s="9" t="str">
        <f t="shared" si="1"/>
        <v>NSE:JUBLPHARMA</v>
      </c>
      <c r="V265" s="18"/>
      <c r="W265" s="18"/>
      <c r="X265" s="18"/>
    </row>
    <row r="266">
      <c r="A266" s="20"/>
      <c r="B266" s="3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35"/>
      <c r="N266" s="18"/>
      <c r="O266" s="18"/>
      <c r="P266" s="18"/>
      <c r="Q266" s="34"/>
      <c r="R266" s="18"/>
      <c r="S266" s="18"/>
      <c r="T266" s="19" t="s">
        <v>286</v>
      </c>
      <c r="U266" s="9" t="str">
        <f t="shared" si="1"/>
        <v>NSE:PGIL</v>
      </c>
      <c r="V266" s="18"/>
      <c r="W266" s="18"/>
      <c r="X266" s="18"/>
    </row>
    <row r="267">
      <c r="A267" s="20"/>
      <c r="B267" s="3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35"/>
      <c r="N267" s="18"/>
      <c r="O267" s="18"/>
      <c r="P267" s="18"/>
      <c r="Q267" s="34"/>
      <c r="R267" s="18"/>
      <c r="S267" s="18"/>
      <c r="T267" s="19" t="s">
        <v>287</v>
      </c>
      <c r="U267" s="9" t="str">
        <f t="shared" si="1"/>
        <v>NSE:SUNDRMFAST</v>
      </c>
      <c r="V267" s="18"/>
      <c r="W267" s="18"/>
      <c r="X267" s="18"/>
    </row>
    <row r="268">
      <c r="A268" s="20"/>
      <c r="B268" s="3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35"/>
      <c r="N268" s="18"/>
      <c r="O268" s="18"/>
      <c r="P268" s="18"/>
      <c r="Q268" s="34"/>
      <c r="R268" s="18"/>
      <c r="S268" s="18"/>
      <c r="T268" s="19" t="s">
        <v>288</v>
      </c>
      <c r="U268" s="9" t="str">
        <f t="shared" si="1"/>
        <v>NSE:JSWINFRA</v>
      </c>
      <c r="V268" s="18"/>
      <c r="W268" s="18"/>
      <c r="X268" s="18"/>
    </row>
    <row r="269">
      <c r="A269" s="20"/>
      <c r="B269" s="3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35"/>
      <c r="N269" s="18"/>
      <c r="O269" s="18"/>
      <c r="P269" s="18"/>
      <c r="Q269" s="34"/>
      <c r="R269" s="18"/>
      <c r="S269" s="18"/>
      <c r="T269" s="19" t="s">
        <v>289</v>
      </c>
      <c r="U269" s="9" t="str">
        <f t="shared" si="1"/>
        <v>NSE:IRB</v>
      </c>
      <c r="V269" s="18"/>
      <c r="W269" s="18"/>
      <c r="X269" s="18"/>
    </row>
    <row r="270">
      <c r="A270" s="20"/>
      <c r="B270" s="3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35"/>
      <c r="N270" s="18"/>
      <c r="O270" s="18"/>
      <c r="P270" s="18"/>
      <c r="Q270" s="34"/>
      <c r="R270" s="18"/>
      <c r="S270" s="18"/>
      <c r="T270" s="19" t="s">
        <v>290</v>
      </c>
      <c r="U270" s="9" t="str">
        <f t="shared" si="1"/>
        <v>NSE:NAM-INDIA</v>
      </c>
      <c r="V270" s="18"/>
      <c r="W270" s="18"/>
      <c r="X270" s="18"/>
    </row>
    <row r="271">
      <c r="A271" s="20"/>
      <c r="B271" s="3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35"/>
      <c r="N271" s="18"/>
      <c r="O271" s="18"/>
      <c r="P271" s="18"/>
      <c r="Q271" s="34"/>
      <c r="R271" s="18"/>
      <c r="S271" s="18"/>
      <c r="T271" s="19" t="s">
        <v>291</v>
      </c>
      <c r="U271" s="9" t="str">
        <f t="shared" si="1"/>
        <v>NSE:LIQUIDCASE</v>
      </c>
      <c r="V271" s="18"/>
      <c r="W271" s="18"/>
      <c r="X271" s="18"/>
    </row>
    <row r="272">
      <c r="A272" s="20"/>
      <c r="B272" s="3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35"/>
      <c r="N272" s="18"/>
      <c r="O272" s="18"/>
      <c r="P272" s="18"/>
      <c r="Q272" s="34"/>
      <c r="R272" s="18"/>
      <c r="S272" s="18"/>
      <c r="T272" s="19" t="s">
        <v>292</v>
      </c>
      <c r="U272" s="9" t="str">
        <f t="shared" si="1"/>
        <v>NSE:DALBHARAT</v>
      </c>
      <c r="V272" s="18"/>
      <c r="W272" s="18"/>
      <c r="X272" s="18"/>
    </row>
    <row r="273">
      <c r="A273" s="20"/>
      <c r="B273" s="3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35"/>
      <c r="N273" s="18"/>
      <c r="O273" s="18"/>
      <c r="P273" s="18"/>
      <c r="Q273" s="34"/>
      <c r="R273" s="18"/>
      <c r="S273" s="18"/>
      <c r="T273" s="19" t="s">
        <v>293</v>
      </c>
      <c r="U273" s="9" t="str">
        <f t="shared" si="1"/>
        <v>NSE:EASEMYTRIP</v>
      </c>
      <c r="V273" s="18"/>
      <c r="W273" s="18"/>
      <c r="X273" s="18"/>
    </row>
    <row r="274">
      <c r="A274" s="20"/>
      <c r="B274" s="3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35"/>
      <c r="N274" s="18"/>
      <c r="O274" s="18"/>
      <c r="P274" s="18"/>
      <c r="Q274" s="34"/>
      <c r="R274" s="18"/>
      <c r="S274" s="18"/>
      <c r="T274" s="19" t="s">
        <v>294</v>
      </c>
      <c r="U274" s="9" t="str">
        <f t="shared" si="1"/>
        <v>NSE:NUVAMA</v>
      </c>
      <c r="V274" s="18"/>
      <c r="W274" s="18"/>
      <c r="X274" s="18"/>
    </row>
    <row r="275">
      <c r="A275" s="20"/>
      <c r="B275" s="3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35"/>
      <c r="N275" s="18"/>
      <c r="O275" s="18"/>
      <c r="P275" s="18"/>
      <c r="Q275" s="34"/>
      <c r="R275" s="18"/>
      <c r="S275" s="18"/>
      <c r="T275" s="19" t="s">
        <v>295</v>
      </c>
      <c r="U275" s="9" t="str">
        <f t="shared" si="1"/>
        <v>NSE:LAURUSLABS</v>
      </c>
      <c r="V275" s="18"/>
      <c r="W275" s="18"/>
      <c r="X275" s="18"/>
    </row>
    <row r="276">
      <c r="A276" s="20"/>
      <c r="B276" s="3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35"/>
      <c r="N276" s="18"/>
      <c r="O276" s="18"/>
      <c r="P276" s="18"/>
      <c r="Q276" s="34"/>
      <c r="R276" s="18"/>
      <c r="S276" s="18"/>
      <c r="T276" s="19" t="s">
        <v>296</v>
      </c>
      <c r="U276" s="9" t="str">
        <f t="shared" si="1"/>
        <v>NSE:MOBIKWIK</v>
      </c>
      <c r="V276" s="18"/>
      <c r="W276" s="18"/>
      <c r="X276" s="18"/>
    </row>
    <row r="277">
      <c r="A277" s="20"/>
      <c r="B277" s="3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35"/>
      <c r="N277" s="18"/>
      <c r="O277" s="18"/>
      <c r="P277" s="18"/>
      <c r="Q277" s="34"/>
      <c r="R277" s="18"/>
      <c r="S277" s="18"/>
      <c r="T277" s="19" t="s">
        <v>297</v>
      </c>
      <c r="U277" s="9" t="str">
        <f t="shared" si="1"/>
        <v>NSE:HCC</v>
      </c>
      <c r="V277" s="18"/>
      <c r="W277" s="18"/>
      <c r="X277" s="18"/>
    </row>
    <row r="278">
      <c r="A278" s="20"/>
      <c r="B278" s="3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35"/>
      <c r="N278" s="18"/>
      <c r="O278" s="18"/>
      <c r="P278" s="18"/>
      <c r="Q278" s="34"/>
      <c r="R278" s="18"/>
      <c r="S278" s="18"/>
      <c r="T278" s="19" t="s">
        <v>298</v>
      </c>
      <c r="U278" s="9" t="str">
        <f t="shared" si="1"/>
        <v>NSE:NATCOPHARM</v>
      </c>
      <c r="V278" s="18"/>
      <c r="W278" s="18"/>
      <c r="X278" s="18"/>
    </row>
    <row r="279">
      <c r="A279" s="20"/>
      <c r="B279" s="3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35"/>
      <c r="N279" s="18"/>
      <c r="O279" s="18"/>
      <c r="P279" s="18"/>
      <c r="Q279" s="34"/>
      <c r="R279" s="18"/>
      <c r="S279" s="18"/>
      <c r="T279" s="19" t="s">
        <v>299</v>
      </c>
      <c r="U279" s="9" t="str">
        <f t="shared" si="1"/>
        <v>NSE:SHREECEM</v>
      </c>
      <c r="V279" s="18"/>
      <c r="W279" s="18"/>
      <c r="X279" s="18"/>
    </row>
    <row r="280">
      <c r="A280" s="20"/>
      <c r="B280" s="3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35"/>
      <c r="N280" s="18"/>
      <c r="O280" s="18"/>
      <c r="P280" s="18"/>
      <c r="Q280" s="34"/>
      <c r="R280" s="18"/>
      <c r="S280" s="18"/>
      <c r="T280" s="19" t="s">
        <v>300</v>
      </c>
      <c r="U280" s="9" t="str">
        <f t="shared" si="1"/>
        <v>NSE:GLENMARK</v>
      </c>
      <c r="V280" s="18"/>
      <c r="W280" s="18"/>
      <c r="X280" s="18"/>
    </row>
    <row r="281">
      <c r="A281" s="20"/>
      <c r="B281" s="3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35"/>
      <c r="N281" s="18"/>
      <c r="O281" s="18"/>
      <c r="P281" s="18"/>
      <c r="Q281" s="34"/>
      <c r="R281" s="18"/>
      <c r="S281" s="18"/>
      <c r="T281" s="19" t="s">
        <v>301</v>
      </c>
      <c r="U281" s="9" t="str">
        <f t="shared" si="1"/>
        <v>NSE:BIOCON</v>
      </c>
      <c r="V281" s="18"/>
      <c r="W281" s="18"/>
      <c r="X281" s="18"/>
    </row>
    <row r="282">
      <c r="A282" s="20"/>
      <c r="B282" s="3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35"/>
      <c r="N282" s="18"/>
      <c r="O282" s="18"/>
      <c r="P282" s="18"/>
      <c r="Q282" s="34"/>
      <c r="R282" s="18"/>
      <c r="S282" s="18"/>
      <c r="T282" s="19" t="s">
        <v>302</v>
      </c>
      <c r="U282" s="9" t="str">
        <f t="shared" si="1"/>
        <v>NSE:AMIORG</v>
      </c>
      <c r="V282" s="18"/>
      <c r="W282" s="18"/>
      <c r="X282" s="18"/>
    </row>
    <row r="283">
      <c r="A283" s="20"/>
      <c r="B283" s="3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35"/>
      <c r="N283" s="18"/>
      <c r="O283" s="18"/>
      <c r="P283" s="18"/>
      <c r="Q283" s="34"/>
      <c r="R283" s="18"/>
      <c r="S283" s="18"/>
      <c r="T283" s="19" t="s">
        <v>303</v>
      </c>
      <c r="U283" s="9" t="str">
        <f t="shared" si="1"/>
        <v>NSE:ASTRAZEN</v>
      </c>
      <c r="V283" s="18"/>
      <c r="W283" s="18"/>
      <c r="X283" s="18"/>
    </row>
    <row r="284">
      <c r="A284" s="20"/>
      <c r="B284" s="3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35"/>
      <c r="N284" s="18"/>
      <c r="O284" s="18"/>
      <c r="P284" s="18"/>
      <c r="Q284" s="34"/>
      <c r="R284" s="18"/>
      <c r="S284" s="18"/>
      <c r="T284" s="19" t="s">
        <v>304</v>
      </c>
      <c r="U284" s="9" t="str">
        <f t="shared" si="1"/>
        <v>NSE:DAMCAPITAL</v>
      </c>
      <c r="V284" s="18"/>
      <c r="W284" s="18"/>
      <c r="X284" s="18"/>
    </row>
    <row r="285">
      <c r="A285" s="20"/>
      <c r="B285" s="3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35"/>
      <c r="N285" s="18"/>
      <c r="O285" s="18"/>
      <c r="P285" s="18"/>
      <c r="Q285" s="34"/>
      <c r="R285" s="18"/>
      <c r="S285" s="18"/>
      <c r="T285" s="19" t="s">
        <v>305</v>
      </c>
      <c r="U285" s="9" t="str">
        <f t="shared" si="1"/>
        <v>NSE:STARHEALTH</v>
      </c>
      <c r="V285" s="18"/>
      <c r="W285" s="18"/>
      <c r="X285" s="18"/>
    </row>
    <row r="286">
      <c r="A286" s="20"/>
      <c r="B286" s="3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35"/>
      <c r="N286" s="18"/>
      <c r="O286" s="18"/>
      <c r="P286" s="18"/>
      <c r="Q286" s="34"/>
      <c r="R286" s="18"/>
      <c r="S286" s="18"/>
      <c r="T286" s="19" t="s">
        <v>306</v>
      </c>
      <c r="U286" s="9" t="str">
        <f t="shared" si="1"/>
        <v>NSE:ABCAPITAL</v>
      </c>
      <c r="V286" s="18"/>
      <c r="W286" s="18"/>
      <c r="X286" s="18"/>
    </row>
    <row r="287">
      <c r="A287" s="20"/>
      <c r="B287" s="3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35"/>
      <c r="N287" s="18"/>
      <c r="O287" s="18"/>
      <c r="P287" s="18"/>
      <c r="Q287" s="34"/>
      <c r="R287" s="18"/>
      <c r="S287" s="18"/>
      <c r="T287" s="19" t="s">
        <v>307</v>
      </c>
      <c r="U287" s="9" t="str">
        <f t="shared" si="1"/>
        <v>NSE:PARADEEP</v>
      </c>
      <c r="V287" s="18"/>
      <c r="W287" s="18"/>
      <c r="X287" s="18"/>
    </row>
    <row r="288">
      <c r="A288" s="20"/>
      <c r="B288" s="3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35"/>
      <c r="N288" s="18"/>
      <c r="O288" s="18"/>
      <c r="P288" s="18"/>
      <c r="Q288" s="34"/>
      <c r="R288" s="18"/>
      <c r="S288" s="18"/>
      <c r="T288" s="19" t="s">
        <v>308</v>
      </c>
      <c r="U288" s="9" t="str">
        <f t="shared" si="1"/>
        <v>NSE:BAJAJHLDNG</v>
      </c>
      <c r="V288" s="18"/>
      <c r="W288" s="18"/>
      <c r="X288" s="18"/>
    </row>
    <row r="289">
      <c r="A289" s="20"/>
      <c r="B289" s="3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35"/>
      <c r="N289" s="18"/>
      <c r="O289" s="18"/>
      <c r="P289" s="18"/>
      <c r="Q289" s="34"/>
      <c r="R289" s="18"/>
      <c r="S289" s="18"/>
      <c r="T289" s="19" t="s">
        <v>309</v>
      </c>
      <c r="U289" s="9" t="str">
        <f t="shared" si="1"/>
        <v>NSE:PREMIERENE</v>
      </c>
      <c r="V289" s="18"/>
      <c r="W289" s="18"/>
      <c r="X289" s="18"/>
    </row>
    <row r="290">
      <c r="A290" s="20"/>
      <c r="B290" s="3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35"/>
      <c r="N290" s="18"/>
      <c r="O290" s="18"/>
      <c r="P290" s="18"/>
      <c r="Q290" s="34"/>
      <c r="R290" s="18"/>
      <c r="S290" s="18"/>
      <c r="T290" s="19" t="s">
        <v>310</v>
      </c>
      <c r="U290" s="9" t="str">
        <f t="shared" si="1"/>
        <v>NSE:PNBHOUSING</v>
      </c>
      <c r="V290" s="18"/>
      <c r="W290" s="18"/>
      <c r="X290" s="18"/>
    </row>
    <row r="291">
      <c r="A291" s="20"/>
      <c r="B291" s="3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35"/>
      <c r="N291" s="18"/>
      <c r="O291" s="18"/>
      <c r="P291" s="18"/>
      <c r="Q291" s="34"/>
      <c r="R291" s="18"/>
      <c r="S291" s="18"/>
      <c r="T291" s="19" t="s">
        <v>311</v>
      </c>
      <c r="U291" s="9" t="str">
        <f t="shared" si="1"/>
        <v>NSE:IRCON</v>
      </c>
      <c r="V291" s="18"/>
      <c r="W291" s="18"/>
      <c r="X291" s="18"/>
    </row>
    <row r="292">
      <c r="A292" s="20"/>
      <c r="B292" s="3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35"/>
      <c r="N292" s="18"/>
      <c r="O292" s="18"/>
      <c r="P292" s="18"/>
      <c r="Q292" s="34"/>
      <c r="R292" s="18"/>
      <c r="S292" s="18"/>
      <c r="T292" s="19" t="s">
        <v>312</v>
      </c>
      <c r="U292" s="9" t="str">
        <f t="shared" si="1"/>
        <v>NSE:KIMS</v>
      </c>
      <c r="V292" s="18"/>
      <c r="W292" s="18"/>
      <c r="X292" s="18"/>
    </row>
    <row r="293">
      <c r="A293" s="20"/>
      <c r="B293" s="3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35"/>
      <c r="N293" s="18"/>
      <c r="O293" s="18"/>
      <c r="P293" s="18"/>
      <c r="Q293" s="34"/>
      <c r="R293" s="18"/>
      <c r="S293" s="18"/>
      <c r="T293" s="19" t="s">
        <v>313</v>
      </c>
      <c r="U293" s="9" t="str">
        <f t="shared" si="1"/>
        <v>NSE:ABFRL</v>
      </c>
      <c r="V293" s="18"/>
      <c r="W293" s="18"/>
      <c r="X293" s="18"/>
    </row>
    <row r="294">
      <c r="A294" s="20"/>
      <c r="B294" s="3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35"/>
      <c r="N294" s="18"/>
      <c r="O294" s="18"/>
      <c r="P294" s="18"/>
      <c r="Q294" s="34"/>
      <c r="R294" s="18"/>
      <c r="S294" s="18"/>
      <c r="T294" s="19" t="s">
        <v>314</v>
      </c>
      <c r="U294" s="9" t="str">
        <f t="shared" si="1"/>
        <v>NSE:POONAWALLA</v>
      </c>
      <c r="V294" s="18"/>
      <c r="W294" s="18"/>
      <c r="X294" s="18"/>
    </row>
    <row r="295">
      <c r="A295" s="20"/>
      <c r="B295" s="3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35"/>
      <c r="N295" s="18"/>
      <c r="O295" s="18"/>
      <c r="P295" s="18"/>
      <c r="Q295" s="34"/>
      <c r="R295" s="18"/>
      <c r="S295" s="18"/>
      <c r="T295" s="19" t="s">
        <v>315</v>
      </c>
      <c r="U295" s="9" t="str">
        <f t="shared" si="1"/>
        <v>NSE:GREAVESCOT</v>
      </c>
      <c r="V295" s="18"/>
      <c r="W295" s="18"/>
      <c r="X295" s="18"/>
    </row>
    <row r="296">
      <c r="A296" s="20"/>
      <c r="B296" s="3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35"/>
      <c r="N296" s="18"/>
      <c r="O296" s="18"/>
      <c r="P296" s="18"/>
      <c r="Q296" s="34"/>
      <c r="R296" s="18"/>
      <c r="S296" s="18"/>
      <c r="T296" s="19" t="s">
        <v>316</v>
      </c>
      <c r="U296" s="9" t="str">
        <f t="shared" si="1"/>
        <v>NSE:INDGN</v>
      </c>
      <c r="V296" s="18"/>
      <c r="W296" s="18"/>
      <c r="X296" s="18"/>
    </row>
    <row r="297">
      <c r="A297" s="20"/>
      <c r="B297" s="3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35"/>
      <c r="N297" s="18"/>
      <c r="O297" s="18"/>
      <c r="P297" s="18"/>
      <c r="Q297" s="34"/>
      <c r="R297" s="18"/>
      <c r="S297" s="18"/>
      <c r="T297" s="19" t="s">
        <v>317</v>
      </c>
      <c r="U297" s="9" t="str">
        <f t="shared" si="1"/>
        <v>NSE:DEVYANI</v>
      </c>
      <c r="V297" s="18"/>
      <c r="W297" s="18"/>
      <c r="X297" s="18"/>
    </row>
    <row r="298">
      <c r="A298" s="20"/>
      <c r="B298" s="3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35"/>
      <c r="N298" s="18"/>
      <c r="O298" s="18"/>
      <c r="P298" s="18"/>
      <c r="Q298" s="34"/>
      <c r="R298" s="18"/>
      <c r="S298" s="18"/>
      <c r="T298" s="19" t="s">
        <v>318</v>
      </c>
      <c r="U298" s="9" t="str">
        <f t="shared" si="1"/>
        <v>NSE:MOTILALOFS</v>
      </c>
      <c r="V298" s="18"/>
      <c r="W298" s="18"/>
      <c r="X298" s="18"/>
    </row>
    <row r="299">
      <c r="A299" s="20"/>
      <c r="B299" s="3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35"/>
      <c r="N299" s="18"/>
      <c r="O299" s="18"/>
      <c r="P299" s="18"/>
      <c r="Q299" s="34"/>
      <c r="R299" s="18"/>
      <c r="S299" s="18"/>
      <c r="T299" s="19" t="s">
        <v>319</v>
      </c>
      <c r="U299" s="9" t="str">
        <f t="shared" si="1"/>
        <v>NSE:BALRAMCHIN</v>
      </c>
      <c r="V299" s="18"/>
      <c r="W299" s="18"/>
      <c r="X299" s="18"/>
    </row>
    <row r="300">
      <c r="A300" s="20"/>
      <c r="B300" s="3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35"/>
      <c r="N300" s="18"/>
      <c r="O300" s="18"/>
      <c r="P300" s="18"/>
      <c r="Q300" s="34"/>
      <c r="R300" s="18"/>
      <c r="S300" s="18"/>
      <c r="T300" s="19" t="s">
        <v>320</v>
      </c>
      <c r="U300" s="9" t="str">
        <f t="shared" si="1"/>
        <v>NSE:ACI</v>
      </c>
      <c r="V300" s="18"/>
      <c r="W300" s="18"/>
      <c r="X300" s="18"/>
    </row>
    <row r="301">
      <c r="A301" s="20"/>
      <c r="B301" s="3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35"/>
      <c r="N301" s="18"/>
      <c r="O301" s="18"/>
      <c r="P301" s="18"/>
      <c r="Q301" s="34"/>
      <c r="R301" s="18"/>
      <c r="S301" s="18"/>
      <c r="T301" s="19" t="s">
        <v>321</v>
      </c>
      <c r="U301" s="9" t="str">
        <f t="shared" si="1"/>
        <v>NSE:MARICO</v>
      </c>
      <c r="V301" s="18"/>
      <c r="W301" s="18"/>
      <c r="X301" s="18"/>
    </row>
    <row r="302">
      <c r="A302" s="20"/>
      <c r="B302" s="3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35"/>
      <c r="N302" s="18"/>
      <c r="O302" s="18"/>
      <c r="P302" s="18"/>
      <c r="Q302" s="34"/>
      <c r="R302" s="18"/>
      <c r="S302" s="18"/>
      <c r="T302" s="19" t="s">
        <v>322</v>
      </c>
      <c r="U302" s="9" t="str">
        <f t="shared" si="1"/>
        <v>NSE:ZAGGLE</v>
      </c>
      <c r="V302" s="18"/>
      <c r="W302" s="18"/>
      <c r="X302" s="18"/>
    </row>
    <row r="303">
      <c r="A303" s="20"/>
      <c r="B303" s="3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35"/>
      <c r="N303" s="18"/>
      <c r="O303" s="18"/>
      <c r="P303" s="18"/>
      <c r="Q303" s="34"/>
      <c r="R303" s="18"/>
      <c r="S303" s="18"/>
      <c r="T303" s="19" t="s">
        <v>323</v>
      </c>
      <c r="U303" s="9" t="str">
        <f t="shared" si="1"/>
        <v>NSE:ABREL</v>
      </c>
      <c r="V303" s="18"/>
      <c r="W303" s="18"/>
      <c r="X303" s="18"/>
    </row>
    <row r="304">
      <c r="A304" s="20"/>
      <c r="B304" s="3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35"/>
      <c r="N304" s="18"/>
      <c r="O304" s="18"/>
      <c r="P304" s="18"/>
      <c r="Q304" s="34"/>
      <c r="R304" s="18"/>
      <c r="S304" s="18"/>
      <c r="T304" s="19" t="s">
        <v>324</v>
      </c>
      <c r="U304" s="9" t="str">
        <f t="shared" si="1"/>
        <v>NSE:DOMS</v>
      </c>
      <c r="V304" s="18"/>
      <c r="W304" s="18"/>
      <c r="X304" s="18"/>
    </row>
    <row r="305">
      <c r="A305" s="20"/>
      <c r="B305" s="3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35"/>
      <c r="N305" s="18"/>
      <c r="O305" s="18"/>
      <c r="P305" s="18"/>
      <c r="Q305" s="34"/>
      <c r="R305" s="18"/>
      <c r="S305" s="18"/>
      <c r="T305" s="19" t="s">
        <v>325</v>
      </c>
      <c r="U305" s="9" t="str">
        <f t="shared" si="1"/>
        <v>NSE:SUNDARMFIN</v>
      </c>
      <c r="V305" s="18"/>
      <c r="W305" s="18"/>
      <c r="X305" s="18"/>
    </row>
    <row r="306">
      <c r="A306" s="20"/>
      <c r="B306" s="3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35"/>
      <c r="N306" s="18"/>
      <c r="O306" s="18"/>
      <c r="P306" s="18"/>
      <c r="Q306" s="34"/>
      <c r="R306" s="18"/>
      <c r="S306" s="18"/>
      <c r="T306" s="19" t="s">
        <v>326</v>
      </c>
      <c r="U306" s="9" t="str">
        <f t="shared" si="1"/>
        <v>NSE:PCJEWELLER</v>
      </c>
      <c r="V306" s="18"/>
      <c r="W306" s="18"/>
      <c r="X306" s="18"/>
    </row>
    <row r="307">
      <c r="A307" s="20"/>
      <c r="B307" s="3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35"/>
      <c r="N307" s="18"/>
      <c r="O307" s="18"/>
      <c r="P307" s="18"/>
      <c r="Q307" s="34"/>
      <c r="R307" s="18"/>
      <c r="S307" s="18"/>
      <c r="T307" s="19" t="s">
        <v>327</v>
      </c>
      <c r="U307" s="9" t="str">
        <f t="shared" si="1"/>
        <v>NSE:JBCHEPHARM</v>
      </c>
      <c r="V307" s="18"/>
      <c r="W307" s="18"/>
      <c r="X307" s="18"/>
    </row>
    <row r="308">
      <c r="A308" s="20"/>
      <c r="B308" s="3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35"/>
      <c r="N308" s="18"/>
      <c r="O308" s="18"/>
      <c r="P308" s="18"/>
      <c r="Q308" s="34"/>
      <c r="R308" s="18"/>
      <c r="S308" s="18"/>
      <c r="T308" s="19" t="s">
        <v>328</v>
      </c>
      <c r="U308" s="9" t="str">
        <f t="shared" si="1"/>
        <v>NSE:EMBDL</v>
      </c>
      <c r="V308" s="18"/>
      <c r="W308" s="18"/>
      <c r="X308" s="18"/>
    </row>
    <row r="309">
      <c r="A309" s="20"/>
      <c r="B309" s="3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35"/>
      <c r="N309" s="18"/>
      <c r="O309" s="18"/>
      <c r="P309" s="18"/>
      <c r="Q309" s="34"/>
      <c r="R309" s="18"/>
      <c r="S309" s="18"/>
      <c r="T309" s="19" t="s">
        <v>329</v>
      </c>
      <c r="U309" s="9" t="str">
        <f t="shared" si="1"/>
        <v>NSE:ARE&amp;M</v>
      </c>
      <c r="V309" s="18"/>
      <c r="W309" s="18"/>
      <c r="X309" s="18"/>
    </row>
    <row r="310">
      <c r="A310" s="20"/>
      <c r="B310" s="3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35"/>
      <c r="N310" s="18"/>
      <c r="O310" s="18"/>
      <c r="P310" s="18"/>
      <c r="Q310" s="34"/>
      <c r="R310" s="18"/>
      <c r="S310" s="18"/>
      <c r="T310" s="19" t="s">
        <v>330</v>
      </c>
      <c r="U310" s="9" t="str">
        <f t="shared" si="1"/>
        <v>NSE:JINDALSAW</v>
      </c>
      <c r="V310" s="18"/>
      <c r="W310" s="18"/>
      <c r="X310" s="18"/>
    </row>
    <row r="311">
      <c r="A311" s="20"/>
      <c r="B311" s="3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35"/>
      <c r="N311" s="18"/>
      <c r="O311" s="18"/>
      <c r="P311" s="18"/>
      <c r="Q311" s="34"/>
      <c r="R311" s="18"/>
      <c r="S311" s="18"/>
      <c r="T311" s="19" t="s">
        <v>331</v>
      </c>
      <c r="U311" s="9" t="str">
        <f t="shared" si="1"/>
        <v>NSE:JINDRILL</v>
      </c>
      <c r="V311" s="18"/>
      <c r="W311" s="18"/>
      <c r="X311" s="18"/>
    </row>
    <row r="312">
      <c r="A312" s="20"/>
      <c r="B312" s="3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35"/>
      <c r="N312" s="18"/>
      <c r="O312" s="18"/>
      <c r="P312" s="18"/>
      <c r="Q312" s="34"/>
      <c r="R312" s="18"/>
      <c r="S312" s="18"/>
      <c r="T312" s="19" t="s">
        <v>332</v>
      </c>
      <c r="U312" s="9" t="str">
        <f t="shared" si="1"/>
        <v>NSE:OLECTRA</v>
      </c>
      <c r="V312" s="18"/>
      <c r="W312" s="18"/>
      <c r="X312" s="18"/>
    </row>
    <row r="313">
      <c r="A313" s="20"/>
      <c r="B313" s="3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35"/>
      <c r="N313" s="18"/>
      <c r="O313" s="18"/>
      <c r="P313" s="18"/>
      <c r="Q313" s="34"/>
      <c r="R313" s="18"/>
      <c r="S313" s="18"/>
      <c r="T313" s="19" t="s">
        <v>333</v>
      </c>
      <c r="U313" s="9" t="str">
        <f t="shared" si="1"/>
        <v>NSE:JSL</v>
      </c>
      <c r="V313" s="18"/>
      <c r="W313" s="18"/>
      <c r="X313" s="18"/>
    </row>
    <row r="314">
      <c r="A314" s="20"/>
      <c r="B314" s="3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35"/>
      <c r="N314" s="18"/>
      <c r="O314" s="18"/>
      <c r="P314" s="18"/>
      <c r="Q314" s="34"/>
      <c r="R314" s="18"/>
      <c r="S314" s="18"/>
      <c r="T314" s="19" t="s">
        <v>334</v>
      </c>
      <c r="U314" s="9" t="str">
        <f t="shared" si="1"/>
        <v>NSE:GSPL</v>
      </c>
      <c r="V314" s="18"/>
      <c r="W314" s="18"/>
      <c r="X314" s="18"/>
    </row>
    <row r="315">
      <c r="A315" s="20"/>
      <c r="B315" s="3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35"/>
      <c r="N315" s="18"/>
      <c r="O315" s="18"/>
      <c r="P315" s="18"/>
      <c r="Q315" s="34"/>
      <c r="R315" s="18"/>
      <c r="S315" s="18"/>
      <c r="T315" s="19" t="s">
        <v>335</v>
      </c>
      <c r="U315" s="9" t="str">
        <f t="shared" si="1"/>
        <v>NSE:HDFCGOLD</v>
      </c>
      <c r="V315" s="18"/>
      <c r="W315" s="18"/>
      <c r="X315" s="18"/>
    </row>
    <row r="316">
      <c r="A316" s="20"/>
      <c r="B316" s="3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35"/>
      <c r="N316" s="18"/>
      <c r="O316" s="18"/>
      <c r="P316" s="18"/>
      <c r="Q316" s="34"/>
      <c r="R316" s="18"/>
      <c r="S316" s="18"/>
      <c r="T316" s="19" t="s">
        <v>336</v>
      </c>
      <c r="U316" s="9" t="str">
        <f t="shared" si="1"/>
        <v>NSE:IFCI</v>
      </c>
      <c r="V316" s="18"/>
      <c r="W316" s="18"/>
      <c r="X316" s="18"/>
    </row>
    <row r="317">
      <c r="A317" s="20"/>
      <c r="B317" s="3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35"/>
      <c r="N317" s="18"/>
      <c r="O317" s="18"/>
      <c r="P317" s="18"/>
      <c r="Q317" s="34"/>
      <c r="R317" s="18"/>
      <c r="S317" s="18"/>
      <c r="T317" s="19" t="s">
        <v>337</v>
      </c>
      <c r="U317" s="9" t="str">
        <f t="shared" si="1"/>
        <v>NSE:JMFINANCIL</v>
      </c>
      <c r="V317" s="18"/>
      <c r="W317" s="18"/>
      <c r="X317" s="18"/>
    </row>
    <row r="318">
      <c r="A318" s="20"/>
      <c r="B318" s="3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35"/>
      <c r="N318" s="18"/>
      <c r="O318" s="18"/>
      <c r="P318" s="18"/>
      <c r="Q318" s="34"/>
      <c r="R318" s="18"/>
      <c r="S318" s="18"/>
      <c r="T318" s="19" t="s">
        <v>338</v>
      </c>
      <c r="U318" s="9" t="str">
        <f t="shared" si="1"/>
        <v>NSE:GRAPHITE</v>
      </c>
      <c r="V318" s="18"/>
      <c r="W318" s="18"/>
      <c r="X318" s="18"/>
    </row>
    <row r="319">
      <c r="A319" s="20"/>
      <c r="B319" s="3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35"/>
      <c r="N319" s="18"/>
      <c r="O319" s="18"/>
      <c r="P319" s="18"/>
      <c r="Q319" s="34"/>
      <c r="R319" s="18"/>
      <c r="S319" s="18"/>
      <c r="T319" s="19" t="s">
        <v>339</v>
      </c>
      <c r="U319" s="9" t="str">
        <f t="shared" si="1"/>
        <v>NSE:CONCOR</v>
      </c>
      <c r="V319" s="18"/>
      <c r="W319" s="18"/>
      <c r="X319" s="18"/>
    </row>
    <row r="320">
      <c r="A320" s="20"/>
      <c r="B320" s="3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35"/>
      <c r="N320" s="18"/>
      <c r="O320" s="18"/>
      <c r="P320" s="18"/>
      <c r="Q320" s="34"/>
      <c r="R320" s="18"/>
      <c r="S320" s="18"/>
      <c r="T320" s="19" t="s">
        <v>340</v>
      </c>
      <c r="U320" s="9" t="str">
        <f t="shared" si="1"/>
        <v>NSE:PCBL</v>
      </c>
      <c r="V320" s="18"/>
      <c r="W320" s="18"/>
      <c r="X320" s="18"/>
    </row>
    <row r="321">
      <c r="A321" s="20"/>
      <c r="B321" s="3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35"/>
      <c r="N321" s="18"/>
      <c r="O321" s="18"/>
      <c r="P321" s="18"/>
      <c r="Q321" s="34"/>
      <c r="R321" s="18"/>
      <c r="S321" s="18"/>
      <c r="T321" s="19" t="s">
        <v>341</v>
      </c>
      <c r="U321" s="9" t="str">
        <f t="shared" si="1"/>
        <v>NSE:FAIRCHEMOR</v>
      </c>
      <c r="V321" s="18"/>
      <c r="W321" s="18"/>
      <c r="X321" s="18"/>
    </row>
    <row r="322">
      <c r="A322" s="20"/>
      <c r="B322" s="3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35"/>
      <c r="N322" s="18"/>
      <c r="O322" s="18"/>
      <c r="P322" s="18"/>
      <c r="Q322" s="34"/>
      <c r="R322" s="18"/>
      <c r="S322" s="18"/>
      <c r="T322" s="19" t="s">
        <v>342</v>
      </c>
      <c r="U322" s="9" t="str">
        <f t="shared" si="1"/>
        <v>NSE:WABAG</v>
      </c>
      <c r="V322" s="18"/>
      <c r="W322" s="18"/>
      <c r="X322" s="18"/>
    </row>
    <row r="323">
      <c r="A323" s="20"/>
      <c r="B323" s="3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35"/>
      <c r="N323" s="18"/>
      <c r="O323" s="18"/>
      <c r="P323" s="18"/>
      <c r="Q323" s="34"/>
      <c r="R323" s="18"/>
      <c r="S323" s="18"/>
      <c r="T323" s="19" t="s">
        <v>343</v>
      </c>
      <c r="U323" s="9" t="str">
        <f t="shared" si="1"/>
        <v>NSE:NBCC</v>
      </c>
      <c r="V323" s="18"/>
      <c r="W323" s="18"/>
      <c r="X323" s="18"/>
    </row>
    <row r="324">
      <c r="A324" s="20"/>
      <c r="B324" s="3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35"/>
      <c r="N324" s="18"/>
      <c r="O324" s="18"/>
      <c r="P324" s="18"/>
      <c r="Q324" s="34"/>
      <c r="R324" s="18"/>
      <c r="S324" s="18"/>
      <c r="T324" s="19" t="s">
        <v>344</v>
      </c>
      <c r="U324" s="9" t="str">
        <f t="shared" si="1"/>
        <v>NSE:GRAVITA</v>
      </c>
      <c r="V324" s="18"/>
      <c r="W324" s="18"/>
      <c r="X324" s="18"/>
    </row>
    <row r="325">
      <c r="A325" s="20"/>
      <c r="B325" s="3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35"/>
      <c r="N325" s="18"/>
      <c r="O325" s="18"/>
      <c r="P325" s="18"/>
      <c r="Q325" s="34"/>
      <c r="R325" s="18"/>
      <c r="S325" s="18"/>
      <c r="T325" s="19" t="s">
        <v>345</v>
      </c>
      <c r="U325" s="9" t="str">
        <f t="shared" si="1"/>
        <v>NSE:IGL</v>
      </c>
      <c r="V325" s="18"/>
      <c r="W325" s="18"/>
      <c r="X325" s="18"/>
    </row>
    <row r="326">
      <c r="A326" s="20"/>
      <c r="B326" s="3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35"/>
      <c r="N326" s="18"/>
      <c r="O326" s="18"/>
      <c r="P326" s="18"/>
      <c r="Q326" s="34"/>
      <c r="R326" s="18"/>
      <c r="S326" s="18"/>
      <c r="T326" s="19" t="s">
        <v>346</v>
      </c>
      <c r="U326" s="9" t="str">
        <f t="shared" si="1"/>
        <v>NSE:BIKAJI</v>
      </c>
      <c r="V326" s="18"/>
      <c r="W326" s="18"/>
      <c r="X326" s="18"/>
    </row>
    <row r="327">
      <c r="A327" s="20"/>
      <c r="B327" s="3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35"/>
      <c r="N327" s="18"/>
      <c r="O327" s="18"/>
      <c r="P327" s="18"/>
      <c r="Q327" s="34"/>
      <c r="R327" s="18"/>
      <c r="S327" s="18"/>
      <c r="T327" s="19" t="s">
        <v>347</v>
      </c>
      <c r="U327" s="9" t="str">
        <f t="shared" si="1"/>
        <v>NSE:MAHABANK</v>
      </c>
      <c r="V327" s="18"/>
      <c r="W327" s="18"/>
      <c r="X327" s="18"/>
    </row>
    <row r="328">
      <c r="A328" s="20"/>
      <c r="B328" s="3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35"/>
      <c r="N328" s="18"/>
      <c r="O328" s="18"/>
      <c r="P328" s="18"/>
      <c r="Q328" s="34"/>
      <c r="R328" s="18"/>
      <c r="S328" s="18"/>
      <c r="T328" s="19" t="s">
        <v>348</v>
      </c>
      <c r="U328" s="9" t="str">
        <f t="shared" si="1"/>
        <v>NSE:DBREALTY</v>
      </c>
      <c r="V328" s="18"/>
      <c r="W328" s="18"/>
      <c r="X328" s="18"/>
    </row>
    <row r="329">
      <c r="A329" s="20"/>
      <c r="B329" s="3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35"/>
      <c r="N329" s="18"/>
      <c r="O329" s="18"/>
      <c r="P329" s="18"/>
      <c r="Q329" s="34"/>
      <c r="R329" s="18"/>
      <c r="S329" s="18"/>
      <c r="T329" s="19" t="s">
        <v>349</v>
      </c>
      <c r="U329" s="9" t="str">
        <f t="shared" si="1"/>
        <v>NSE:RADICO</v>
      </c>
      <c r="V329" s="18"/>
      <c r="W329" s="18"/>
      <c r="X329" s="18"/>
    </row>
    <row r="330">
      <c r="A330" s="20"/>
      <c r="B330" s="3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35"/>
      <c r="N330" s="18"/>
      <c r="O330" s="18"/>
      <c r="P330" s="18"/>
      <c r="Q330" s="34"/>
      <c r="R330" s="18"/>
      <c r="S330" s="18"/>
      <c r="T330" s="19" t="s">
        <v>350</v>
      </c>
      <c r="U330" s="9" t="str">
        <f t="shared" si="1"/>
        <v>NSE:RAINBOW</v>
      </c>
      <c r="V330" s="18"/>
      <c r="W330" s="18"/>
      <c r="X330" s="18"/>
    </row>
    <row r="331">
      <c r="A331" s="20"/>
      <c r="B331" s="3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35"/>
      <c r="N331" s="18"/>
      <c r="O331" s="18"/>
      <c r="P331" s="18"/>
      <c r="Q331" s="34"/>
      <c r="R331" s="18"/>
      <c r="S331" s="18"/>
      <c r="T331" s="19" t="s">
        <v>351</v>
      </c>
      <c r="U331" s="9" t="str">
        <f t="shared" si="1"/>
        <v>NSE:AEGISLOG</v>
      </c>
      <c r="V331" s="18"/>
      <c r="W331" s="18"/>
      <c r="X331" s="18"/>
    </row>
    <row r="332">
      <c r="A332" s="20"/>
      <c r="B332" s="3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35"/>
      <c r="N332" s="18"/>
      <c r="O332" s="18"/>
      <c r="P332" s="18"/>
      <c r="Q332" s="34"/>
      <c r="R332" s="18"/>
      <c r="S332" s="18"/>
      <c r="T332" s="19" t="s">
        <v>352</v>
      </c>
      <c r="U332" s="9" t="str">
        <f t="shared" si="1"/>
        <v>NSE:ITDCEM</v>
      </c>
      <c r="V332" s="18"/>
      <c r="W332" s="18"/>
      <c r="X332" s="18"/>
    </row>
    <row r="333">
      <c r="A333" s="20"/>
      <c r="B333" s="3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35"/>
      <c r="N333" s="18"/>
      <c r="O333" s="18"/>
      <c r="P333" s="18"/>
      <c r="Q333" s="34"/>
      <c r="R333" s="18"/>
      <c r="S333" s="18"/>
      <c r="T333" s="19" t="s">
        <v>353</v>
      </c>
      <c r="U333" s="9" t="str">
        <f t="shared" si="1"/>
        <v>NSE:KARURVYSYA</v>
      </c>
      <c r="V333" s="18"/>
      <c r="W333" s="18"/>
      <c r="X333" s="18"/>
    </row>
    <row r="334">
      <c r="A334" s="20"/>
      <c r="B334" s="3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35"/>
      <c r="N334" s="18"/>
      <c r="O334" s="18"/>
      <c r="P334" s="18"/>
      <c r="Q334" s="34"/>
      <c r="R334" s="18"/>
      <c r="S334" s="18"/>
      <c r="T334" s="19" t="s">
        <v>354</v>
      </c>
      <c r="U334" s="9" t="str">
        <f t="shared" si="1"/>
        <v>NSE:HATSUN</v>
      </c>
      <c r="V334" s="18"/>
      <c r="W334" s="18"/>
      <c r="X334" s="18"/>
    </row>
    <row r="335">
      <c r="A335" s="20"/>
      <c r="B335" s="3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35"/>
      <c r="N335" s="18"/>
      <c r="O335" s="18"/>
      <c r="P335" s="18"/>
      <c r="Q335" s="34"/>
      <c r="R335" s="18"/>
      <c r="S335" s="18"/>
      <c r="T335" s="19" t="s">
        <v>355</v>
      </c>
      <c r="U335" s="9" t="str">
        <f t="shared" si="1"/>
        <v>NSE:ALKEM</v>
      </c>
      <c r="V335" s="18"/>
      <c r="W335" s="18"/>
      <c r="X335" s="18"/>
    </row>
    <row r="336">
      <c r="A336" s="20"/>
      <c r="B336" s="3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35"/>
      <c r="N336" s="18"/>
      <c r="O336" s="18"/>
      <c r="P336" s="18"/>
      <c r="Q336" s="34"/>
      <c r="R336" s="18"/>
      <c r="S336" s="18"/>
      <c r="T336" s="19" t="s">
        <v>356</v>
      </c>
      <c r="U336" s="9" t="str">
        <f t="shared" si="1"/>
        <v>NSE:YATHARTH</v>
      </c>
      <c r="V336" s="18"/>
      <c r="W336" s="18"/>
      <c r="X336" s="18"/>
    </row>
    <row r="337">
      <c r="A337" s="20"/>
      <c r="B337" s="3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35"/>
      <c r="N337" s="18"/>
      <c r="O337" s="18"/>
      <c r="P337" s="18"/>
      <c r="Q337" s="34"/>
      <c r="R337" s="18"/>
      <c r="S337" s="18"/>
      <c r="T337" s="19" t="s">
        <v>357</v>
      </c>
      <c r="U337" s="9" t="str">
        <f t="shared" si="1"/>
        <v>NSE:DEEPAKNTR</v>
      </c>
      <c r="V337" s="18"/>
      <c r="W337" s="18"/>
      <c r="X337" s="18"/>
    </row>
    <row r="338">
      <c r="A338" s="20"/>
      <c r="B338" s="3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35"/>
      <c r="N338" s="18"/>
      <c r="O338" s="18"/>
      <c r="P338" s="18"/>
      <c r="Q338" s="34"/>
      <c r="R338" s="18"/>
      <c r="S338" s="18"/>
      <c r="T338" s="19" t="s">
        <v>358</v>
      </c>
      <c r="U338" s="9" t="str">
        <f t="shared" si="1"/>
        <v>NSE:NLCINDIA</v>
      </c>
      <c r="V338" s="18"/>
      <c r="W338" s="18"/>
      <c r="X338" s="18"/>
    </row>
    <row r="339">
      <c r="A339" s="20"/>
      <c r="B339" s="3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35"/>
      <c r="N339" s="18"/>
      <c r="O339" s="18"/>
      <c r="P339" s="18"/>
      <c r="Q339" s="34"/>
      <c r="R339" s="18"/>
      <c r="S339" s="18"/>
      <c r="T339" s="19" t="s">
        <v>359</v>
      </c>
      <c r="U339" s="9" t="str">
        <f t="shared" si="1"/>
        <v>NSE:SUPREMEIND</v>
      </c>
      <c r="V339" s="18"/>
      <c r="W339" s="18"/>
      <c r="X339" s="18"/>
    </row>
    <row r="340">
      <c r="A340" s="20"/>
      <c r="B340" s="3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35"/>
      <c r="N340" s="18"/>
      <c r="O340" s="18"/>
      <c r="P340" s="18"/>
      <c r="Q340" s="34"/>
      <c r="R340" s="18"/>
      <c r="S340" s="18"/>
      <c r="T340" s="19" t="s">
        <v>360</v>
      </c>
      <c r="U340" s="9" t="str">
        <f t="shared" si="1"/>
        <v>NSE:ASHOKA</v>
      </c>
      <c r="V340" s="18"/>
      <c r="W340" s="18"/>
      <c r="X340" s="18"/>
    </row>
    <row r="341">
      <c r="A341" s="20"/>
      <c r="B341" s="3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35"/>
      <c r="N341" s="18"/>
      <c r="O341" s="18"/>
      <c r="P341" s="18"/>
      <c r="Q341" s="34"/>
      <c r="R341" s="18"/>
      <c r="S341" s="18"/>
      <c r="T341" s="19" t="s">
        <v>361</v>
      </c>
      <c r="U341" s="9" t="str">
        <f t="shared" si="1"/>
        <v>NSE:TTML</v>
      </c>
      <c r="V341" s="18"/>
      <c r="W341" s="18"/>
      <c r="X341" s="18"/>
    </row>
    <row r="342">
      <c r="A342" s="20"/>
      <c r="B342" s="3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35"/>
      <c r="N342" s="18"/>
      <c r="O342" s="18"/>
      <c r="P342" s="18"/>
      <c r="Q342" s="34"/>
      <c r="R342" s="18"/>
      <c r="S342" s="18"/>
      <c r="T342" s="19" t="s">
        <v>362</v>
      </c>
      <c r="U342" s="9" t="str">
        <f t="shared" si="1"/>
        <v>NSE:IEX</v>
      </c>
      <c r="V342" s="18"/>
      <c r="W342" s="18"/>
      <c r="X342" s="18"/>
    </row>
    <row r="343">
      <c r="A343" s="20"/>
      <c r="B343" s="3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35"/>
      <c r="N343" s="18"/>
      <c r="O343" s="18"/>
      <c r="P343" s="18"/>
      <c r="Q343" s="34"/>
      <c r="R343" s="18"/>
      <c r="S343" s="18"/>
      <c r="T343" s="19" t="s">
        <v>363</v>
      </c>
      <c r="U343" s="9" t="str">
        <f t="shared" si="1"/>
        <v>NSE:PVRINOX</v>
      </c>
      <c r="V343" s="18"/>
      <c r="W343" s="18"/>
      <c r="X343" s="18"/>
    </row>
    <row r="344">
      <c r="A344" s="20"/>
      <c r="B344" s="3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35"/>
      <c r="N344" s="18"/>
      <c r="O344" s="18"/>
      <c r="P344" s="18"/>
      <c r="Q344" s="34"/>
      <c r="R344" s="18"/>
      <c r="S344" s="18"/>
      <c r="T344" s="19" t="s">
        <v>364</v>
      </c>
      <c r="U344" s="9" t="str">
        <f t="shared" si="1"/>
        <v>NSE:TAJGVK</v>
      </c>
      <c r="V344" s="18"/>
      <c r="W344" s="18"/>
      <c r="X344" s="18"/>
    </row>
    <row r="345">
      <c r="A345" s="20"/>
      <c r="B345" s="3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35"/>
      <c r="N345" s="18"/>
      <c r="O345" s="18"/>
      <c r="P345" s="18"/>
      <c r="Q345" s="34"/>
      <c r="R345" s="18"/>
      <c r="S345" s="18"/>
      <c r="T345" s="19" t="s">
        <v>365</v>
      </c>
      <c r="U345" s="9" t="str">
        <f t="shared" si="1"/>
        <v>NSE:PAGEIND</v>
      </c>
      <c r="V345" s="18"/>
      <c r="W345" s="18"/>
      <c r="X345" s="18"/>
    </row>
    <row r="346">
      <c r="A346" s="20"/>
      <c r="B346" s="3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35"/>
      <c r="N346" s="18"/>
      <c r="O346" s="18"/>
      <c r="P346" s="18"/>
      <c r="Q346" s="34"/>
      <c r="R346" s="18"/>
      <c r="S346" s="18"/>
      <c r="T346" s="19" t="s">
        <v>366</v>
      </c>
      <c r="U346" s="9" t="str">
        <f t="shared" si="1"/>
        <v>NSE:RAILTEL</v>
      </c>
      <c r="V346" s="18"/>
      <c r="W346" s="18"/>
      <c r="X346" s="18"/>
    </row>
    <row r="347">
      <c r="A347" s="20"/>
      <c r="B347" s="3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35"/>
      <c r="N347" s="18"/>
      <c r="O347" s="18"/>
      <c r="P347" s="18"/>
      <c r="Q347" s="34"/>
      <c r="R347" s="18"/>
      <c r="S347" s="18"/>
      <c r="T347" s="19" t="s">
        <v>367</v>
      </c>
      <c r="U347" s="9" t="str">
        <f t="shared" si="1"/>
        <v>NSE:BECTORFOOD</v>
      </c>
      <c r="V347" s="18"/>
      <c r="W347" s="18"/>
      <c r="X347" s="18"/>
    </row>
    <row r="348">
      <c r="A348" s="20"/>
      <c r="B348" s="3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35"/>
      <c r="N348" s="18"/>
      <c r="O348" s="18"/>
      <c r="P348" s="18"/>
      <c r="Q348" s="34"/>
      <c r="R348" s="18"/>
      <c r="S348" s="18"/>
      <c r="T348" s="19" t="s">
        <v>368</v>
      </c>
      <c r="U348" s="9" t="str">
        <f t="shared" si="1"/>
        <v>NSE:PTC</v>
      </c>
      <c r="V348" s="18"/>
      <c r="W348" s="18"/>
      <c r="X348" s="18"/>
    </row>
    <row r="349">
      <c r="A349" s="20"/>
      <c r="B349" s="3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35"/>
      <c r="N349" s="18"/>
      <c r="O349" s="18"/>
      <c r="P349" s="18"/>
      <c r="Q349" s="34"/>
      <c r="R349" s="18"/>
      <c r="S349" s="18"/>
      <c r="T349" s="19" t="s">
        <v>369</v>
      </c>
      <c r="U349" s="9" t="str">
        <f t="shared" si="1"/>
        <v>NSE:CHOLAHLDNG</v>
      </c>
      <c r="V349" s="18"/>
      <c r="W349" s="18"/>
      <c r="X349" s="18"/>
    </row>
    <row r="350">
      <c r="A350" s="20"/>
      <c r="B350" s="3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35"/>
      <c r="N350" s="18"/>
      <c r="O350" s="18"/>
      <c r="P350" s="18"/>
      <c r="Q350" s="34"/>
      <c r="R350" s="18"/>
      <c r="S350" s="18"/>
      <c r="T350" s="19" t="s">
        <v>370</v>
      </c>
      <c r="U350" s="9" t="str">
        <f t="shared" si="1"/>
        <v>NSE:MASTEK</v>
      </c>
      <c r="V350" s="18"/>
      <c r="W350" s="18"/>
      <c r="X350" s="18"/>
    </row>
    <row r="351">
      <c r="A351" s="20"/>
      <c r="B351" s="3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35"/>
      <c r="N351" s="18"/>
      <c r="O351" s="18"/>
      <c r="P351" s="18"/>
      <c r="Q351" s="34"/>
      <c r="R351" s="18"/>
      <c r="S351" s="18"/>
      <c r="T351" s="19" t="s">
        <v>371</v>
      </c>
      <c r="U351" s="9" t="str">
        <f t="shared" si="1"/>
        <v>NSE:CARTRADE</v>
      </c>
      <c r="V351" s="18"/>
      <c r="W351" s="18"/>
      <c r="X351" s="18"/>
    </row>
    <row r="352">
      <c r="A352" s="20"/>
      <c r="B352" s="3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35"/>
      <c r="N352" s="18"/>
      <c r="O352" s="18"/>
      <c r="P352" s="18"/>
      <c r="Q352" s="34"/>
      <c r="R352" s="18"/>
      <c r="S352" s="18"/>
      <c r="T352" s="19" t="s">
        <v>372</v>
      </c>
      <c r="U352" s="9" t="str">
        <f t="shared" si="1"/>
        <v>NSE:SONATSOFTW</v>
      </c>
      <c r="V352" s="18"/>
      <c r="W352" s="18"/>
      <c r="X352" s="18"/>
    </row>
    <row r="353">
      <c r="A353" s="20"/>
      <c r="B353" s="3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35"/>
      <c r="N353" s="18"/>
      <c r="O353" s="18"/>
      <c r="P353" s="18"/>
      <c r="Q353" s="34"/>
      <c r="R353" s="18"/>
      <c r="S353" s="18"/>
      <c r="T353" s="19" t="s">
        <v>373</v>
      </c>
      <c r="U353" s="9" t="str">
        <f t="shared" si="1"/>
        <v>NSE:CESC</v>
      </c>
      <c r="V353" s="18"/>
      <c r="W353" s="18"/>
      <c r="X353" s="18"/>
    </row>
    <row r="354">
      <c r="A354" s="20"/>
      <c r="B354" s="3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35"/>
      <c r="N354" s="18"/>
      <c r="O354" s="18"/>
      <c r="P354" s="18"/>
      <c r="Q354" s="34"/>
      <c r="R354" s="18"/>
      <c r="S354" s="18"/>
      <c r="T354" s="19" t="s">
        <v>374</v>
      </c>
      <c r="U354" s="9" t="str">
        <f t="shared" si="1"/>
        <v>NSE:KIRLOSENG</v>
      </c>
      <c r="V354" s="18"/>
      <c r="W354" s="18"/>
      <c r="X354" s="18"/>
    </row>
    <row r="355">
      <c r="A355" s="20"/>
      <c r="B355" s="3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35"/>
      <c r="N355" s="18"/>
      <c r="O355" s="18"/>
      <c r="P355" s="18"/>
      <c r="Q355" s="34"/>
      <c r="R355" s="18"/>
      <c r="S355" s="18"/>
      <c r="T355" s="19" t="s">
        <v>375</v>
      </c>
      <c r="U355" s="9" t="str">
        <f t="shared" si="1"/>
        <v>NSE:EIEL</v>
      </c>
      <c r="V355" s="18"/>
      <c r="W355" s="18"/>
      <c r="X355" s="18"/>
    </row>
    <row r="356">
      <c r="A356" s="20"/>
      <c r="B356" s="3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35"/>
      <c r="N356" s="18"/>
      <c r="O356" s="18"/>
      <c r="P356" s="18"/>
      <c r="Q356" s="34"/>
      <c r="R356" s="18"/>
      <c r="S356" s="18"/>
      <c r="T356" s="19" t="s">
        <v>376</v>
      </c>
      <c r="U356" s="9" t="str">
        <f t="shared" si="1"/>
        <v>NSE:AZAD</v>
      </c>
      <c r="V356" s="18"/>
      <c r="W356" s="18"/>
      <c r="X356" s="18"/>
    </row>
    <row r="357">
      <c r="A357" s="20"/>
      <c r="B357" s="3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35"/>
      <c r="N357" s="18"/>
      <c r="O357" s="18"/>
      <c r="P357" s="18"/>
      <c r="Q357" s="34"/>
      <c r="R357" s="18"/>
      <c r="S357" s="18"/>
      <c r="T357" s="19" t="s">
        <v>377</v>
      </c>
      <c r="U357" s="9" t="str">
        <f t="shared" si="1"/>
        <v>NSE:SJVN</v>
      </c>
      <c r="V357" s="18"/>
      <c r="W357" s="18"/>
      <c r="X357" s="18"/>
    </row>
    <row r="358">
      <c r="A358" s="20"/>
      <c r="B358" s="3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35"/>
      <c r="N358" s="18"/>
      <c r="O358" s="18"/>
      <c r="P358" s="18"/>
      <c r="Q358" s="34"/>
      <c r="R358" s="18"/>
      <c r="S358" s="18"/>
      <c r="T358" s="19" t="s">
        <v>378</v>
      </c>
      <c r="U358" s="9" t="str">
        <f t="shared" si="1"/>
        <v>NSE:RATNAMANI</v>
      </c>
      <c r="V358" s="18"/>
      <c r="W358" s="18"/>
      <c r="X358" s="18"/>
    </row>
    <row r="359">
      <c r="A359" s="20"/>
      <c r="B359" s="3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35"/>
      <c r="N359" s="18"/>
      <c r="O359" s="18"/>
      <c r="P359" s="18"/>
      <c r="Q359" s="34"/>
      <c r="R359" s="18"/>
      <c r="S359" s="18"/>
      <c r="T359" s="19" t="s">
        <v>379</v>
      </c>
      <c r="U359" s="9" t="str">
        <f t="shared" si="1"/>
        <v>NSE:BERGEPAINT</v>
      </c>
      <c r="V359" s="18"/>
      <c r="W359" s="18"/>
      <c r="X359" s="18"/>
    </row>
    <row r="360">
      <c r="A360" s="20"/>
      <c r="B360" s="3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35"/>
      <c r="N360" s="18"/>
      <c r="O360" s="18"/>
      <c r="P360" s="18"/>
      <c r="Q360" s="34"/>
      <c r="R360" s="18"/>
      <c r="S360" s="18"/>
      <c r="T360" s="19" t="s">
        <v>380</v>
      </c>
      <c r="U360" s="9" t="str">
        <f t="shared" si="1"/>
        <v>NSE:IIFL</v>
      </c>
      <c r="V360" s="18"/>
      <c r="W360" s="18"/>
      <c r="X360" s="18"/>
    </row>
    <row r="361">
      <c r="A361" s="20"/>
      <c r="B361" s="3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35"/>
      <c r="N361" s="18"/>
      <c r="O361" s="18"/>
      <c r="P361" s="18"/>
      <c r="Q361" s="34"/>
      <c r="R361" s="18"/>
      <c r="S361" s="18"/>
      <c r="T361" s="19" t="s">
        <v>381</v>
      </c>
      <c r="U361" s="9" t="str">
        <f t="shared" si="1"/>
        <v>NSE:HPL</v>
      </c>
      <c r="V361" s="18"/>
      <c r="W361" s="18"/>
      <c r="X361" s="18"/>
    </row>
    <row r="362">
      <c r="A362" s="20"/>
      <c r="B362" s="3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35"/>
      <c r="N362" s="18"/>
      <c r="O362" s="18"/>
      <c r="P362" s="18"/>
      <c r="Q362" s="34"/>
      <c r="R362" s="18"/>
      <c r="S362" s="18"/>
      <c r="T362" s="19" t="s">
        <v>382</v>
      </c>
      <c r="U362" s="9" t="str">
        <f t="shared" si="1"/>
        <v>NSE:ELECON</v>
      </c>
      <c r="V362" s="18"/>
      <c r="W362" s="18"/>
      <c r="X362" s="18"/>
    </row>
    <row r="363">
      <c r="A363" s="20"/>
      <c r="B363" s="3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35"/>
      <c r="N363" s="18"/>
      <c r="O363" s="18"/>
      <c r="P363" s="18"/>
      <c r="Q363" s="34"/>
      <c r="R363" s="18"/>
      <c r="S363" s="18"/>
      <c r="T363" s="19" t="s">
        <v>383</v>
      </c>
      <c r="U363" s="9" t="str">
        <f t="shared" si="1"/>
        <v>NSE:TORNTPOWER</v>
      </c>
      <c r="V363" s="18"/>
      <c r="W363" s="18"/>
      <c r="X363" s="18"/>
    </row>
    <row r="364">
      <c r="A364" s="20"/>
      <c r="B364" s="3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35"/>
      <c r="N364" s="18"/>
      <c r="O364" s="18"/>
      <c r="P364" s="18"/>
      <c r="Q364" s="34"/>
      <c r="R364" s="18"/>
      <c r="S364" s="18"/>
      <c r="T364" s="19" t="s">
        <v>384</v>
      </c>
      <c r="U364" s="9" t="str">
        <f t="shared" si="1"/>
        <v>NSE:SUDARSCHEM</v>
      </c>
      <c r="V364" s="18"/>
      <c r="W364" s="18"/>
      <c r="X364" s="18"/>
    </row>
    <row r="365">
      <c r="A365" s="20"/>
      <c r="B365" s="3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35"/>
      <c r="N365" s="18"/>
      <c r="O365" s="18"/>
      <c r="P365" s="18"/>
      <c r="Q365" s="34"/>
      <c r="R365" s="18"/>
      <c r="S365" s="18"/>
      <c r="T365" s="19" t="s">
        <v>385</v>
      </c>
      <c r="U365" s="9" t="str">
        <f t="shared" si="1"/>
        <v>NSE:NAVINFLUOR</v>
      </c>
      <c r="V365" s="18"/>
      <c r="W365" s="18"/>
      <c r="X365" s="18"/>
    </row>
    <row r="366">
      <c r="A366" s="20"/>
      <c r="B366" s="3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35"/>
      <c r="N366" s="18"/>
      <c r="O366" s="18"/>
      <c r="P366" s="18"/>
      <c r="Q366" s="34"/>
      <c r="R366" s="18"/>
      <c r="S366" s="18"/>
      <c r="T366" s="19" t="s">
        <v>386</v>
      </c>
      <c r="U366" s="9" t="str">
        <f t="shared" si="1"/>
        <v>NSE:ASTERDM</v>
      </c>
      <c r="V366" s="18"/>
      <c r="W366" s="18"/>
      <c r="X366" s="18"/>
    </row>
    <row r="367">
      <c r="A367" s="20"/>
      <c r="B367" s="3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35"/>
      <c r="N367" s="18"/>
      <c r="O367" s="18"/>
      <c r="P367" s="18"/>
      <c r="Q367" s="34"/>
      <c r="R367" s="18"/>
      <c r="S367" s="18"/>
      <c r="T367" s="19" t="s">
        <v>387</v>
      </c>
      <c r="U367" s="9" t="str">
        <f t="shared" si="1"/>
        <v>NSE:DEEPAKFERT</v>
      </c>
      <c r="V367" s="18"/>
      <c r="W367" s="18"/>
      <c r="X367" s="18"/>
    </row>
    <row r="368">
      <c r="A368" s="20"/>
      <c r="B368" s="3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35"/>
      <c r="N368" s="18"/>
      <c r="O368" s="18"/>
      <c r="P368" s="18"/>
      <c r="Q368" s="34"/>
      <c r="R368" s="18"/>
      <c r="S368" s="18"/>
      <c r="T368" s="19" t="s">
        <v>388</v>
      </c>
      <c r="U368" s="9" t="str">
        <f t="shared" si="1"/>
        <v>NSE:GODREJIND</v>
      </c>
      <c r="V368" s="18"/>
      <c r="W368" s="18"/>
      <c r="X368" s="18"/>
    </row>
    <row r="369">
      <c r="A369" s="20"/>
      <c r="B369" s="3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35"/>
      <c r="N369" s="18"/>
      <c r="O369" s="18"/>
      <c r="P369" s="18"/>
      <c r="Q369" s="34"/>
      <c r="R369" s="18"/>
      <c r="S369" s="18"/>
      <c r="T369" s="19" t="s">
        <v>389</v>
      </c>
      <c r="U369" s="9" t="str">
        <f t="shared" si="1"/>
        <v>NSE:CYIENT</v>
      </c>
      <c r="V369" s="18"/>
      <c r="W369" s="18"/>
      <c r="X369" s="18"/>
    </row>
    <row r="370">
      <c r="A370" s="20"/>
      <c r="B370" s="3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35"/>
      <c r="N370" s="18"/>
      <c r="O370" s="18"/>
      <c r="P370" s="18"/>
      <c r="Q370" s="34"/>
      <c r="R370" s="18"/>
      <c r="S370" s="18"/>
      <c r="T370" s="19" t="s">
        <v>390</v>
      </c>
      <c r="U370" s="9" t="str">
        <f t="shared" si="1"/>
        <v>NSE:MANINDS</v>
      </c>
      <c r="V370" s="18"/>
      <c r="W370" s="18"/>
      <c r="X370" s="18"/>
    </row>
    <row r="371">
      <c r="A371" s="20"/>
      <c r="B371" s="3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35"/>
      <c r="N371" s="18"/>
      <c r="O371" s="18"/>
      <c r="P371" s="18"/>
      <c r="Q371" s="34"/>
      <c r="R371" s="18"/>
      <c r="S371" s="18"/>
      <c r="T371" s="19" t="s">
        <v>391</v>
      </c>
      <c r="U371" s="9" t="str">
        <f t="shared" si="1"/>
        <v>NSE:BHARTIHEXA</v>
      </c>
      <c r="V371" s="18"/>
      <c r="W371" s="18"/>
      <c r="X371" s="18"/>
    </row>
    <row r="372">
      <c r="A372" s="20"/>
      <c r="B372" s="3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35"/>
      <c r="N372" s="18"/>
      <c r="O372" s="18"/>
      <c r="P372" s="18"/>
      <c r="Q372" s="34"/>
      <c r="R372" s="18"/>
      <c r="S372" s="18"/>
      <c r="T372" s="19" t="s">
        <v>392</v>
      </c>
      <c r="U372" s="9" t="str">
        <f t="shared" si="1"/>
        <v>NSE:LEMONTREE</v>
      </c>
      <c r="V372" s="18"/>
      <c r="W372" s="18"/>
      <c r="X372" s="18"/>
    </row>
    <row r="373">
      <c r="A373" s="20"/>
      <c r="B373" s="3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35"/>
      <c r="N373" s="18"/>
      <c r="O373" s="18"/>
      <c r="P373" s="18"/>
      <c r="Q373" s="34"/>
      <c r="R373" s="18"/>
      <c r="S373" s="18"/>
      <c r="T373" s="19" t="s">
        <v>393</v>
      </c>
      <c r="U373" s="9" t="str">
        <f t="shared" si="1"/>
        <v>NSE:LINDEINDIA</v>
      </c>
      <c r="V373" s="18"/>
      <c r="W373" s="18"/>
      <c r="X373" s="18"/>
    </row>
    <row r="374">
      <c r="A374" s="20"/>
      <c r="B374" s="3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35"/>
      <c r="N374" s="18"/>
      <c r="O374" s="18"/>
      <c r="P374" s="18"/>
      <c r="Q374" s="34"/>
      <c r="R374" s="18"/>
      <c r="S374" s="18"/>
      <c r="T374" s="19" t="s">
        <v>394</v>
      </c>
      <c r="U374" s="9" t="str">
        <f t="shared" si="1"/>
        <v>NSE:ZYDUSLIFE</v>
      </c>
      <c r="V374" s="18"/>
      <c r="W374" s="18"/>
      <c r="X374" s="18"/>
    </row>
    <row r="375">
      <c r="A375" s="20"/>
      <c r="B375" s="3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35"/>
      <c r="N375" s="18"/>
      <c r="O375" s="18"/>
      <c r="P375" s="18"/>
      <c r="Q375" s="34"/>
      <c r="R375" s="18"/>
      <c r="S375" s="18"/>
      <c r="T375" s="19" t="s">
        <v>395</v>
      </c>
      <c r="U375" s="9" t="str">
        <f t="shared" si="1"/>
        <v>NSE:RAYMOND</v>
      </c>
      <c r="V375" s="18"/>
      <c r="W375" s="18"/>
      <c r="X375" s="18"/>
    </row>
    <row r="376">
      <c r="A376" s="20"/>
      <c r="B376" s="3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35"/>
      <c r="N376" s="18"/>
      <c r="O376" s="18"/>
      <c r="P376" s="18"/>
      <c r="Q376" s="34"/>
      <c r="R376" s="18"/>
      <c r="S376" s="18"/>
      <c r="T376" s="19" t="s">
        <v>396</v>
      </c>
      <c r="U376" s="9" t="str">
        <f t="shared" si="1"/>
        <v>NSE:TATAINVEST</v>
      </c>
      <c r="V376" s="18"/>
      <c r="W376" s="18"/>
      <c r="X376" s="18"/>
    </row>
    <row r="377">
      <c r="A377" s="20"/>
      <c r="B377" s="3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35"/>
      <c r="N377" s="18"/>
      <c r="O377" s="18"/>
      <c r="P377" s="18"/>
      <c r="Q377" s="34"/>
      <c r="R377" s="18"/>
      <c r="S377" s="18"/>
      <c r="T377" s="19" t="s">
        <v>397</v>
      </c>
      <c r="U377" s="9" t="str">
        <f t="shared" si="1"/>
        <v>NSE:TDPOWERSYS</v>
      </c>
      <c r="V377" s="18"/>
      <c r="W377" s="18"/>
      <c r="X377" s="18"/>
    </row>
    <row r="378">
      <c r="A378" s="20"/>
      <c r="B378" s="3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35"/>
      <c r="N378" s="18"/>
      <c r="O378" s="18"/>
      <c r="P378" s="18"/>
      <c r="Q378" s="34"/>
      <c r="R378" s="18"/>
      <c r="S378" s="18"/>
      <c r="T378" s="19" t="s">
        <v>398</v>
      </c>
      <c r="U378" s="9" t="str">
        <f t="shared" si="1"/>
        <v>NSE:LTF</v>
      </c>
      <c r="V378" s="18"/>
      <c r="W378" s="18"/>
      <c r="X378" s="18"/>
    </row>
    <row r="379">
      <c r="A379" s="20"/>
      <c r="B379" s="3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35"/>
      <c r="N379" s="18"/>
      <c r="O379" s="18"/>
      <c r="P379" s="18"/>
      <c r="Q379" s="34"/>
      <c r="R379" s="18"/>
      <c r="S379" s="18"/>
      <c r="T379" s="19" t="s">
        <v>399</v>
      </c>
      <c r="U379" s="9" t="str">
        <f t="shared" si="1"/>
        <v>NSE:TATACHEM</v>
      </c>
      <c r="V379" s="18"/>
      <c r="W379" s="18"/>
      <c r="X379" s="18"/>
    </row>
    <row r="380">
      <c r="A380" s="20"/>
      <c r="B380" s="3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35"/>
      <c r="N380" s="18"/>
      <c r="O380" s="18"/>
      <c r="P380" s="18"/>
      <c r="Q380" s="34"/>
      <c r="R380" s="18"/>
      <c r="S380" s="18"/>
      <c r="T380" s="19" t="s">
        <v>400</v>
      </c>
      <c r="U380" s="9" t="str">
        <f t="shared" si="1"/>
        <v>NSE:LIQUID1</v>
      </c>
      <c r="V380" s="18"/>
      <c r="W380" s="18"/>
      <c r="X380" s="18"/>
    </row>
    <row r="381">
      <c r="A381" s="20"/>
      <c r="B381" s="3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35"/>
      <c r="N381" s="18"/>
      <c r="O381" s="18"/>
      <c r="P381" s="18"/>
      <c r="Q381" s="34"/>
      <c r="R381" s="18"/>
      <c r="S381" s="18"/>
      <c r="T381" s="19" t="s">
        <v>401</v>
      </c>
      <c r="U381" s="9" t="str">
        <f t="shared" si="1"/>
        <v>NSE:RCF</v>
      </c>
      <c r="V381" s="18"/>
      <c r="W381" s="18"/>
      <c r="X381" s="18"/>
    </row>
    <row r="382">
      <c r="A382" s="20"/>
      <c r="B382" s="3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35"/>
      <c r="N382" s="18"/>
      <c r="O382" s="18"/>
      <c r="P382" s="18"/>
      <c r="Q382" s="34"/>
      <c r="R382" s="18"/>
      <c r="S382" s="18"/>
      <c r="T382" s="19" t="s">
        <v>402</v>
      </c>
      <c r="U382" s="9" t="str">
        <f t="shared" si="1"/>
        <v>NSE:GOLDIAM</v>
      </c>
      <c r="V382" s="18"/>
      <c r="W382" s="18"/>
      <c r="X382" s="18"/>
    </row>
    <row r="383">
      <c r="A383" s="20"/>
      <c r="B383" s="3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35"/>
      <c r="N383" s="18"/>
      <c r="O383" s="18"/>
      <c r="P383" s="18"/>
      <c r="Q383" s="34"/>
      <c r="R383" s="18"/>
      <c r="S383" s="18"/>
      <c r="T383" s="19" t="s">
        <v>403</v>
      </c>
      <c r="U383" s="9" t="str">
        <f t="shared" si="1"/>
        <v>NSE:VOLTAMP</v>
      </c>
      <c r="V383" s="18"/>
      <c r="W383" s="18"/>
      <c r="X383" s="18"/>
    </row>
    <row r="384">
      <c r="A384" s="20"/>
      <c r="B384" s="3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35"/>
      <c r="N384" s="18"/>
      <c r="O384" s="18"/>
      <c r="P384" s="18"/>
      <c r="Q384" s="34"/>
      <c r="R384" s="18"/>
      <c r="S384" s="18"/>
      <c r="T384" s="19" t="s">
        <v>404</v>
      </c>
      <c r="U384" s="9" t="str">
        <f t="shared" si="1"/>
        <v>NSE:KPIGREEN</v>
      </c>
      <c r="V384" s="18"/>
      <c r="W384" s="18"/>
      <c r="X384" s="18"/>
    </row>
    <row r="385">
      <c r="A385" s="20"/>
      <c r="B385" s="3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35"/>
      <c r="N385" s="18"/>
      <c r="O385" s="18"/>
      <c r="P385" s="18"/>
      <c r="Q385" s="34"/>
      <c r="R385" s="18"/>
      <c r="S385" s="18"/>
      <c r="T385" s="19" t="s">
        <v>405</v>
      </c>
      <c r="U385" s="9" t="str">
        <f t="shared" si="1"/>
        <v>NSE:SYRMA</v>
      </c>
      <c r="V385" s="18"/>
      <c r="W385" s="18"/>
      <c r="X385" s="18"/>
    </row>
    <row r="386">
      <c r="A386" s="20"/>
      <c r="B386" s="3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35"/>
      <c r="N386" s="18"/>
      <c r="O386" s="18"/>
      <c r="P386" s="18"/>
      <c r="Q386" s="34"/>
      <c r="R386" s="18"/>
      <c r="S386" s="18"/>
      <c r="T386" s="19" t="s">
        <v>406</v>
      </c>
      <c r="U386" s="9" t="str">
        <f t="shared" si="1"/>
        <v>NSE:BRIGADE</v>
      </c>
      <c r="V386" s="18"/>
      <c r="W386" s="18"/>
      <c r="X386" s="18"/>
    </row>
    <row r="387">
      <c r="A387" s="20"/>
      <c r="B387" s="3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35"/>
      <c r="N387" s="18"/>
      <c r="O387" s="18"/>
      <c r="P387" s="18"/>
      <c r="Q387" s="34"/>
      <c r="R387" s="18"/>
      <c r="S387" s="18"/>
      <c r="T387" s="19" t="s">
        <v>407</v>
      </c>
      <c r="U387" s="9" t="str">
        <f t="shared" si="1"/>
        <v>NSE:SENORES</v>
      </c>
      <c r="V387" s="18"/>
      <c r="W387" s="18"/>
      <c r="X387" s="18"/>
    </row>
    <row r="388">
      <c r="A388" s="20"/>
      <c r="B388" s="3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35"/>
      <c r="N388" s="18"/>
      <c r="O388" s="18"/>
      <c r="P388" s="18"/>
      <c r="Q388" s="34"/>
      <c r="R388" s="18"/>
      <c r="S388" s="18"/>
      <c r="T388" s="19" t="s">
        <v>408</v>
      </c>
      <c r="U388" s="9" t="str">
        <f t="shared" si="1"/>
        <v>NSE:SYNGENE</v>
      </c>
      <c r="V388" s="18"/>
      <c r="W388" s="18"/>
      <c r="X388" s="18"/>
    </row>
    <row r="389">
      <c r="A389" s="20"/>
      <c r="B389" s="3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35"/>
      <c r="N389" s="18"/>
      <c r="O389" s="18"/>
      <c r="P389" s="18"/>
      <c r="Q389" s="34"/>
      <c r="R389" s="18"/>
      <c r="S389" s="18"/>
      <c r="T389" s="19" t="s">
        <v>409</v>
      </c>
      <c r="U389" s="9" t="str">
        <f t="shared" si="1"/>
        <v>NSE:ACMESOLAR</v>
      </c>
      <c r="V389" s="18"/>
      <c r="W389" s="18"/>
      <c r="X389" s="18"/>
    </row>
    <row r="390">
      <c r="A390" s="20"/>
      <c r="B390" s="3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35"/>
      <c r="N390" s="18"/>
      <c r="O390" s="18"/>
      <c r="P390" s="18"/>
      <c r="Q390" s="34"/>
      <c r="R390" s="18"/>
      <c r="S390" s="18"/>
      <c r="T390" s="19" t="s">
        <v>410</v>
      </c>
      <c r="U390" s="9" t="str">
        <f t="shared" si="1"/>
        <v>NSE:GRWRHITECH</v>
      </c>
      <c r="V390" s="18"/>
      <c r="W390" s="18"/>
      <c r="X390" s="18"/>
    </row>
    <row r="391">
      <c r="A391" s="20"/>
      <c r="B391" s="3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35"/>
      <c r="N391" s="18"/>
      <c r="O391" s="18"/>
      <c r="P391" s="18"/>
      <c r="Q391" s="34"/>
      <c r="R391" s="18"/>
      <c r="S391" s="18"/>
      <c r="T391" s="19" t="s">
        <v>411</v>
      </c>
      <c r="U391" s="9" t="str">
        <f t="shared" si="1"/>
        <v>NSE:HEXT</v>
      </c>
      <c r="V391" s="18"/>
      <c r="W391" s="18"/>
      <c r="X391" s="18"/>
    </row>
    <row r="392">
      <c r="A392" s="20"/>
      <c r="B392" s="3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35"/>
      <c r="N392" s="18"/>
      <c r="O392" s="18"/>
      <c r="P392" s="18"/>
      <c r="Q392" s="34"/>
      <c r="R392" s="18"/>
      <c r="S392" s="18"/>
      <c r="T392" s="19" t="s">
        <v>412</v>
      </c>
      <c r="U392" s="9" t="str">
        <f t="shared" si="1"/>
        <v>NSE:GENSOL</v>
      </c>
      <c r="V392" s="18"/>
      <c r="W392" s="18"/>
      <c r="X392" s="18"/>
    </row>
    <row r="393">
      <c r="A393" s="20"/>
      <c r="B393" s="3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35"/>
      <c r="N393" s="18"/>
      <c r="O393" s="18"/>
      <c r="P393" s="18"/>
      <c r="Q393" s="34"/>
      <c r="R393" s="18"/>
      <c r="S393" s="18"/>
      <c r="T393" s="19" t="s">
        <v>413</v>
      </c>
      <c r="U393" s="9" t="str">
        <f t="shared" si="1"/>
        <v>NSE:SGLTL</v>
      </c>
      <c r="V393" s="18"/>
      <c r="W393" s="18"/>
      <c r="X393" s="18"/>
    </row>
    <row r="394">
      <c r="A394" s="20"/>
      <c r="B394" s="3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35"/>
      <c r="N394" s="18"/>
      <c r="O394" s="18"/>
      <c r="P394" s="18"/>
      <c r="Q394" s="34"/>
      <c r="R394" s="18"/>
      <c r="S394" s="18"/>
      <c r="T394" s="19" t="s">
        <v>414</v>
      </c>
      <c r="U394" s="9" t="str">
        <f t="shared" si="1"/>
        <v>NSE:AARTIIND</v>
      </c>
      <c r="V394" s="18"/>
      <c r="W394" s="18"/>
      <c r="X394" s="18"/>
    </row>
    <row r="395">
      <c r="A395" s="20"/>
      <c r="B395" s="3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35"/>
      <c r="N395" s="18"/>
      <c r="O395" s="18"/>
      <c r="P395" s="18"/>
      <c r="Q395" s="34"/>
      <c r="R395" s="18"/>
      <c r="S395" s="18"/>
      <c r="T395" s="19" t="s">
        <v>415</v>
      </c>
      <c r="U395" s="9" t="str">
        <f t="shared" si="1"/>
        <v>NSE:KAMATHOTEL</v>
      </c>
      <c r="V395" s="18"/>
      <c r="W395" s="18"/>
      <c r="X395" s="18"/>
    </row>
    <row r="396">
      <c r="A396" s="20"/>
      <c r="B396" s="3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35"/>
      <c r="N396" s="18"/>
      <c r="O396" s="18"/>
      <c r="P396" s="18"/>
      <c r="Q396" s="34"/>
      <c r="R396" s="18"/>
      <c r="S396" s="18"/>
      <c r="T396" s="19" t="s">
        <v>416</v>
      </c>
      <c r="U396" s="9" t="str">
        <f t="shared" si="1"/>
        <v>NSE:UJJIVANSFB</v>
      </c>
      <c r="V396" s="18"/>
      <c r="W396" s="18"/>
      <c r="X396" s="18"/>
    </row>
    <row r="397">
      <c r="A397" s="20"/>
      <c r="B397" s="3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35"/>
      <c r="N397" s="18"/>
      <c r="O397" s="18"/>
      <c r="P397" s="18"/>
      <c r="Q397" s="34"/>
      <c r="R397" s="18"/>
      <c r="S397" s="18"/>
      <c r="T397" s="19" t="s">
        <v>417</v>
      </c>
      <c r="U397" s="9" t="str">
        <f t="shared" si="1"/>
        <v>NSE:BLUEJET</v>
      </c>
      <c r="V397" s="18"/>
      <c r="W397" s="18"/>
      <c r="X397" s="18"/>
    </row>
    <row r="398">
      <c r="A398" s="20"/>
      <c r="B398" s="3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35"/>
      <c r="N398" s="18"/>
      <c r="O398" s="18"/>
      <c r="P398" s="18"/>
      <c r="Q398" s="34"/>
      <c r="R398" s="18"/>
      <c r="S398" s="18"/>
      <c r="T398" s="19" t="s">
        <v>418</v>
      </c>
      <c r="U398" s="9" t="str">
        <f t="shared" si="1"/>
        <v>NSE:TEXRAIL</v>
      </c>
      <c r="V398" s="18"/>
      <c r="W398" s="18"/>
      <c r="X398" s="18"/>
    </row>
    <row r="399">
      <c r="A399" s="20"/>
      <c r="B399" s="3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35"/>
      <c r="N399" s="18"/>
      <c r="O399" s="18"/>
      <c r="P399" s="18"/>
      <c r="Q399" s="34"/>
      <c r="R399" s="18"/>
      <c r="S399" s="18"/>
      <c r="T399" s="19" t="s">
        <v>419</v>
      </c>
      <c r="U399" s="9" t="str">
        <f t="shared" si="1"/>
        <v>NSE:HSCL</v>
      </c>
      <c r="V399" s="18"/>
      <c r="W399" s="18"/>
      <c r="X399" s="18"/>
    </row>
    <row r="400">
      <c r="A400" s="20"/>
      <c r="B400" s="3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35"/>
      <c r="N400" s="18"/>
      <c r="O400" s="18"/>
      <c r="P400" s="18"/>
      <c r="Q400" s="34"/>
      <c r="R400" s="18"/>
      <c r="S400" s="18"/>
      <c r="T400" s="19" t="s">
        <v>420</v>
      </c>
      <c r="U400" s="9" t="str">
        <f t="shared" si="1"/>
        <v>NSE:PEL</v>
      </c>
      <c r="V400" s="18"/>
      <c r="W400" s="18"/>
      <c r="X400" s="18"/>
    </row>
    <row r="401">
      <c r="A401" s="20"/>
      <c r="B401" s="3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35"/>
      <c r="N401" s="18"/>
      <c r="O401" s="18"/>
      <c r="P401" s="18"/>
      <c r="Q401" s="34"/>
      <c r="R401" s="18"/>
      <c r="S401" s="18"/>
      <c r="T401" s="19" t="s">
        <v>421</v>
      </c>
      <c r="U401" s="9" t="str">
        <f t="shared" si="1"/>
        <v>NSE:FORCEMOT</v>
      </c>
      <c r="V401" s="18"/>
      <c r="W401" s="18"/>
      <c r="X401" s="18"/>
    </row>
    <row r="402">
      <c r="A402" s="20"/>
      <c r="B402" s="3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35"/>
      <c r="N402" s="18"/>
      <c r="O402" s="18"/>
      <c r="P402" s="18"/>
      <c r="Q402" s="34"/>
      <c r="R402" s="18"/>
      <c r="S402" s="18"/>
      <c r="T402" s="19" t="s">
        <v>422</v>
      </c>
      <c r="U402" s="9" t="str">
        <f t="shared" si="1"/>
        <v>NSE:ECLERX</v>
      </c>
      <c r="V402" s="18"/>
      <c r="W402" s="18"/>
      <c r="X402" s="18"/>
    </row>
    <row r="403">
      <c r="A403" s="20"/>
      <c r="B403" s="3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35"/>
      <c r="N403" s="18"/>
      <c r="O403" s="18"/>
      <c r="P403" s="18"/>
      <c r="Q403" s="34"/>
      <c r="R403" s="18"/>
      <c r="S403" s="18"/>
      <c r="T403" s="19" t="s">
        <v>423</v>
      </c>
      <c r="U403" s="9" t="str">
        <f t="shared" si="1"/>
        <v>NSE:GPIL</v>
      </c>
      <c r="V403" s="18"/>
      <c r="W403" s="18"/>
      <c r="X403" s="18"/>
    </row>
    <row r="404">
      <c r="A404" s="20"/>
      <c r="B404" s="3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35"/>
      <c r="N404" s="18"/>
      <c r="O404" s="18"/>
      <c r="P404" s="18"/>
      <c r="Q404" s="34"/>
      <c r="R404" s="18"/>
      <c r="S404" s="18"/>
      <c r="T404" s="19" t="s">
        <v>424</v>
      </c>
      <c r="U404" s="9" t="str">
        <f t="shared" si="1"/>
        <v>NSE:JBMA</v>
      </c>
      <c r="V404" s="18"/>
      <c r="W404" s="18"/>
      <c r="X404" s="18"/>
    </row>
    <row r="405">
      <c r="A405" s="20"/>
      <c r="B405" s="3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35"/>
      <c r="N405" s="18"/>
      <c r="O405" s="18"/>
      <c r="P405" s="18"/>
      <c r="Q405" s="34"/>
      <c r="R405" s="18"/>
      <c r="S405" s="18"/>
      <c r="T405" s="19" t="s">
        <v>425</v>
      </c>
      <c r="U405" s="9" t="str">
        <f t="shared" si="1"/>
        <v>NSE:ORIENTCEM</v>
      </c>
      <c r="V405" s="18"/>
      <c r="W405" s="18"/>
      <c r="X405" s="18"/>
    </row>
    <row r="406">
      <c r="A406" s="20"/>
      <c r="B406" s="3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35"/>
      <c r="N406" s="18"/>
      <c r="O406" s="18"/>
      <c r="P406" s="18"/>
      <c r="Q406" s="34"/>
      <c r="R406" s="18"/>
      <c r="S406" s="18"/>
      <c r="T406" s="19" t="s">
        <v>426</v>
      </c>
      <c r="U406" s="9" t="str">
        <f t="shared" si="1"/>
        <v>NSE:GVT&amp;D</v>
      </c>
      <c r="V406" s="18"/>
      <c r="W406" s="18"/>
      <c r="X406" s="18"/>
    </row>
    <row r="407">
      <c r="A407" s="20"/>
      <c r="B407" s="3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35"/>
      <c r="N407" s="18"/>
      <c r="O407" s="18"/>
      <c r="P407" s="18"/>
      <c r="Q407" s="34"/>
      <c r="R407" s="18"/>
      <c r="S407" s="18"/>
      <c r="T407" s="19" t="s">
        <v>427</v>
      </c>
      <c r="U407" s="9" t="str">
        <f t="shared" si="1"/>
        <v>NSE:NETWORK18</v>
      </c>
      <c r="V407" s="18"/>
      <c r="W407" s="18"/>
      <c r="X407" s="18"/>
    </row>
    <row r="408">
      <c r="A408" s="20"/>
      <c r="B408" s="3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35"/>
      <c r="N408" s="18"/>
      <c r="O408" s="18"/>
      <c r="P408" s="18"/>
      <c r="Q408" s="34"/>
      <c r="R408" s="18"/>
      <c r="S408" s="18"/>
      <c r="T408" s="19" t="s">
        <v>428</v>
      </c>
      <c r="U408" s="9" t="str">
        <f t="shared" si="1"/>
        <v>NSE:TIRUMALCHM</v>
      </c>
      <c r="V408" s="18"/>
      <c r="W408" s="18"/>
      <c r="X408" s="18"/>
    </row>
    <row r="409">
      <c r="A409" s="20"/>
      <c r="B409" s="3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35"/>
      <c r="N409" s="18"/>
      <c r="O409" s="18"/>
      <c r="P409" s="18"/>
      <c r="Q409" s="34"/>
      <c r="R409" s="18"/>
      <c r="S409" s="18"/>
      <c r="T409" s="19" t="s">
        <v>429</v>
      </c>
      <c r="U409" s="9" t="str">
        <f t="shared" si="1"/>
        <v>NSE:IDBI</v>
      </c>
      <c r="V409" s="18"/>
      <c r="W409" s="18"/>
      <c r="X409" s="18"/>
    </row>
    <row r="410">
      <c r="A410" s="20"/>
      <c r="B410" s="3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35"/>
      <c r="N410" s="18"/>
      <c r="O410" s="18"/>
      <c r="P410" s="18"/>
      <c r="Q410" s="34"/>
      <c r="R410" s="18"/>
      <c r="S410" s="18"/>
      <c r="T410" s="19" t="s">
        <v>430</v>
      </c>
      <c r="U410" s="9" t="str">
        <f t="shared" si="1"/>
        <v>NSE:PRAJIND</v>
      </c>
      <c r="V410" s="18"/>
      <c r="W410" s="18"/>
      <c r="X410" s="18"/>
    </row>
    <row r="411">
      <c r="A411" s="20"/>
      <c r="B411" s="3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35"/>
      <c r="N411" s="18"/>
      <c r="O411" s="18"/>
      <c r="P411" s="18"/>
      <c r="Q411" s="34"/>
      <c r="R411" s="18"/>
      <c r="S411" s="18"/>
      <c r="T411" s="19" t="s">
        <v>431</v>
      </c>
      <c r="U411" s="9" t="str">
        <f t="shared" si="1"/>
        <v>NSE:M&amp;MFIN</v>
      </c>
      <c r="V411" s="18"/>
      <c r="W411" s="18"/>
      <c r="X411" s="18"/>
    </row>
    <row r="412">
      <c r="A412" s="20"/>
      <c r="B412" s="3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35"/>
      <c r="N412" s="18"/>
      <c r="O412" s="18"/>
      <c r="P412" s="18"/>
      <c r="Q412" s="34"/>
      <c r="R412" s="18"/>
      <c r="S412" s="18"/>
      <c r="T412" s="19" t="s">
        <v>432</v>
      </c>
      <c r="U412" s="9" t="str">
        <f t="shared" si="1"/>
        <v>NSE:EMAMILTD</v>
      </c>
      <c r="V412" s="18"/>
      <c r="W412" s="18"/>
      <c r="X412" s="18"/>
    </row>
    <row r="413">
      <c r="A413" s="20"/>
      <c r="B413" s="3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35"/>
      <c r="N413" s="18"/>
      <c r="O413" s="18"/>
      <c r="P413" s="18"/>
      <c r="Q413" s="34"/>
      <c r="R413" s="18"/>
      <c r="S413" s="18"/>
      <c r="T413" s="19" t="s">
        <v>433</v>
      </c>
      <c r="U413" s="9" t="str">
        <f t="shared" si="1"/>
        <v>NSE:WOCKPHARMA</v>
      </c>
      <c r="V413" s="18"/>
      <c r="W413" s="18"/>
      <c r="X413" s="18"/>
    </row>
    <row r="414">
      <c r="A414" s="20"/>
      <c r="B414" s="3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35"/>
      <c r="N414" s="18"/>
      <c r="O414" s="18"/>
      <c r="P414" s="18"/>
      <c r="Q414" s="34"/>
      <c r="R414" s="18"/>
      <c r="S414" s="18"/>
      <c r="T414" s="19" t="s">
        <v>434</v>
      </c>
      <c r="U414" s="9" t="str">
        <f t="shared" si="1"/>
        <v>NSE:INTELLECT</v>
      </c>
      <c r="V414" s="18"/>
      <c r="W414" s="18"/>
      <c r="X414" s="18"/>
    </row>
    <row r="415">
      <c r="A415" s="20"/>
      <c r="B415" s="3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35"/>
      <c r="N415" s="18"/>
      <c r="O415" s="18"/>
      <c r="P415" s="18"/>
      <c r="Q415" s="34"/>
      <c r="R415" s="18"/>
      <c r="S415" s="18"/>
      <c r="T415" s="19" t="s">
        <v>435</v>
      </c>
      <c r="U415" s="9" t="str">
        <f t="shared" si="1"/>
        <v>NSE:ESCORTS</v>
      </c>
      <c r="V415" s="18"/>
      <c r="W415" s="18"/>
      <c r="X415" s="18"/>
    </row>
    <row r="416">
      <c r="A416" s="20"/>
      <c r="B416" s="3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35"/>
      <c r="N416" s="18"/>
      <c r="O416" s="18"/>
      <c r="P416" s="18"/>
      <c r="Q416" s="34"/>
      <c r="R416" s="18"/>
      <c r="S416" s="18"/>
      <c r="T416" s="19" t="s">
        <v>436</v>
      </c>
      <c r="U416" s="9" t="str">
        <f t="shared" si="1"/>
        <v>NSE:JUNIORBEES</v>
      </c>
      <c r="V416" s="18"/>
      <c r="W416" s="18"/>
      <c r="X416" s="18"/>
    </row>
    <row r="417">
      <c r="A417" s="20"/>
      <c r="B417" s="3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35"/>
      <c r="N417" s="18"/>
      <c r="O417" s="18"/>
      <c r="P417" s="18"/>
      <c r="Q417" s="34"/>
      <c r="R417" s="18"/>
      <c r="S417" s="18"/>
      <c r="T417" s="19" t="s">
        <v>437</v>
      </c>
      <c r="U417" s="9" t="str">
        <f t="shared" si="1"/>
        <v>NSE:AWL</v>
      </c>
      <c r="V417" s="18"/>
      <c r="W417" s="18"/>
      <c r="X417" s="18"/>
    </row>
    <row r="418">
      <c r="A418" s="20"/>
      <c r="B418" s="3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35"/>
      <c r="N418" s="18"/>
      <c r="O418" s="18"/>
      <c r="P418" s="18"/>
      <c r="Q418" s="34"/>
      <c r="R418" s="18"/>
      <c r="S418" s="18"/>
      <c r="T418" s="19" t="s">
        <v>438</v>
      </c>
      <c r="U418" s="9" t="str">
        <f t="shared" si="1"/>
        <v>NSE:BOSCHLTD</v>
      </c>
      <c r="V418" s="18"/>
      <c r="W418" s="18"/>
      <c r="X418" s="18"/>
    </row>
    <row r="419">
      <c r="A419" s="20"/>
      <c r="B419" s="3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35"/>
      <c r="N419" s="18"/>
      <c r="O419" s="18"/>
      <c r="P419" s="18"/>
      <c r="Q419" s="34"/>
      <c r="R419" s="18"/>
      <c r="S419" s="18"/>
      <c r="T419" s="19" t="s">
        <v>439</v>
      </c>
      <c r="U419" s="9" t="str">
        <f t="shared" si="1"/>
        <v>NSE:GUJGASLTD</v>
      </c>
      <c r="V419" s="18"/>
      <c r="W419" s="18"/>
      <c r="X419" s="18"/>
    </row>
    <row r="420">
      <c r="A420" s="20"/>
      <c r="B420" s="3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35"/>
      <c r="N420" s="18"/>
      <c r="O420" s="18"/>
      <c r="P420" s="18"/>
      <c r="Q420" s="34"/>
      <c r="R420" s="18"/>
      <c r="S420" s="18"/>
      <c r="T420" s="19" t="s">
        <v>440</v>
      </c>
      <c r="U420" s="9" t="str">
        <f t="shared" si="1"/>
        <v>NSE:AJANTPHARM</v>
      </c>
      <c r="V420" s="18"/>
      <c r="W420" s="18"/>
      <c r="X420" s="18"/>
    </row>
    <row r="421">
      <c r="A421" s="20"/>
      <c r="B421" s="3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35"/>
      <c r="N421" s="18"/>
      <c r="O421" s="18"/>
      <c r="P421" s="18"/>
      <c r="Q421" s="34"/>
      <c r="R421" s="18"/>
      <c r="S421" s="18"/>
      <c r="T421" s="19" t="s">
        <v>441</v>
      </c>
      <c r="U421" s="9" t="str">
        <f t="shared" si="1"/>
        <v>NSE:ICICIPRULI</v>
      </c>
      <c r="V421" s="18"/>
      <c r="W421" s="18"/>
      <c r="X421" s="18"/>
    </row>
    <row r="422">
      <c r="A422" s="20"/>
      <c r="B422" s="3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35"/>
      <c r="N422" s="18"/>
      <c r="O422" s="18"/>
      <c r="P422" s="18"/>
      <c r="Q422" s="34"/>
      <c r="R422" s="18"/>
      <c r="S422" s="18"/>
      <c r="T422" s="19" t="s">
        <v>442</v>
      </c>
      <c r="U422" s="9" t="str">
        <f t="shared" si="1"/>
        <v>NSE:TECHNOE</v>
      </c>
      <c r="V422" s="18"/>
      <c r="W422" s="18"/>
      <c r="X422" s="18"/>
    </row>
    <row r="423">
      <c r="A423" s="20"/>
      <c r="B423" s="3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35"/>
      <c r="N423" s="18"/>
      <c r="O423" s="18"/>
      <c r="P423" s="18"/>
      <c r="Q423" s="34"/>
      <c r="R423" s="18"/>
      <c r="S423" s="18"/>
      <c r="T423" s="19" t="s">
        <v>443</v>
      </c>
      <c r="U423" s="9" t="str">
        <f t="shared" si="1"/>
        <v>NSE:TRANSRAILL</v>
      </c>
      <c r="V423" s="18"/>
      <c r="W423" s="18"/>
      <c r="X423" s="18"/>
    </row>
    <row r="424">
      <c r="A424" s="20"/>
      <c r="B424" s="3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35"/>
      <c r="N424" s="18"/>
      <c r="O424" s="18"/>
      <c r="P424" s="18"/>
      <c r="Q424" s="34"/>
      <c r="R424" s="18"/>
      <c r="S424" s="18"/>
      <c r="T424" s="19" t="s">
        <v>444</v>
      </c>
      <c r="U424" s="9" t="str">
        <f t="shared" si="1"/>
        <v>NSE:SHYAMMETL</v>
      </c>
      <c r="V424" s="18"/>
      <c r="W424" s="18"/>
      <c r="X424" s="18"/>
    </row>
    <row r="425">
      <c r="A425" s="20"/>
      <c r="B425" s="3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35"/>
      <c r="N425" s="18"/>
      <c r="O425" s="18"/>
      <c r="P425" s="18"/>
      <c r="Q425" s="34"/>
      <c r="R425" s="18"/>
      <c r="S425" s="18"/>
      <c r="T425" s="19" t="s">
        <v>445</v>
      </c>
      <c r="U425" s="9" t="str">
        <f t="shared" si="1"/>
        <v>NSE:BALUFORGE</v>
      </c>
      <c r="V425" s="18"/>
      <c r="W425" s="18"/>
      <c r="X425" s="18"/>
    </row>
    <row r="426">
      <c r="A426" s="20"/>
      <c r="B426" s="3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35"/>
      <c r="N426" s="18"/>
      <c r="O426" s="18"/>
      <c r="P426" s="18"/>
      <c r="Q426" s="34"/>
      <c r="R426" s="18"/>
      <c r="S426" s="18"/>
      <c r="T426" s="19" t="s">
        <v>446</v>
      </c>
      <c r="U426" s="9" t="str">
        <f t="shared" si="1"/>
        <v>NSE:ONESOURCE</v>
      </c>
      <c r="V426" s="18"/>
      <c r="W426" s="18"/>
      <c r="X426" s="18"/>
    </row>
    <row r="427">
      <c r="A427" s="20"/>
      <c r="B427" s="3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35"/>
      <c r="N427" s="18"/>
      <c r="O427" s="18"/>
      <c r="P427" s="18"/>
      <c r="Q427" s="34"/>
      <c r="R427" s="18"/>
      <c r="S427" s="18"/>
      <c r="T427" s="19" t="s">
        <v>447</v>
      </c>
      <c r="U427" s="9" t="str">
        <f t="shared" si="1"/>
        <v>NSE:LLOYDSME</v>
      </c>
      <c r="V427" s="18"/>
      <c r="W427" s="18"/>
      <c r="X427" s="18"/>
    </row>
    <row r="428">
      <c r="A428" s="20"/>
      <c r="B428" s="3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35"/>
      <c r="N428" s="18"/>
      <c r="O428" s="18"/>
      <c r="P428" s="18"/>
      <c r="Q428" s="34"/>
      <c r="R428" s="18"/>
      <c r="S428" s="18"/>
      <c r="T428" s="19" t="s">
        <v>448</v>
      </c>
      <c r="U428" s="9" t="str">
        <f t="shared" si="1"/>
        <v>NSE:HIMATSEIDE</v>
      </c>
      <c r="V428" s="18"/>
      <c r="W428" s="18"/>
      <c r="X428" s="18"/>
    </row>
    <row r="429">
      <c r="A429" s="20"/>
      <c r="B429" s="3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35"/>
      <c r="N429" s="18"/>
      <c r="O429" s="18"/>
      <c r="P429" s="18"/>
      <c r="Q429" s="34"/>
      <c r="R429" s="18"/>
      <c r="S429" s="18"/>
      <c r="T429" s="19" t="s">
        <v>449</v>
      </c>
      <c r="U429" s="9" t="str">
        <f t="shared" si="1"/>
        <v>NSE:RKFORGE</v>
      </c>
      <c r="V429" s="18"/>
      <c r="W429" s="18"/>
      <c r="X429" s="18"/>
    </row>
    <row r="430">
      <c r="A430" s="20"/>
      <c r="B430" s="3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35"/>
      <c r="N430" s="18"/>
      <c r="O430" s="18"/>
      <c r="P430" s="18"/>
      <c r="Q430" s="34"/>
      <c r="R430" s="18"/>
      <c r="S430" s="18"/>
      <c r="T430" s="19" t="s">
        <v>450</v>
      </c>
      <c r="U430" s="9" t="str">
        <f t="shared" si="1"/>
        <v>NSE:JKIL</v>
      </c>
      <c r="V430" s="18"/>
      <c r="W430" s="18"/>
      <c r="X430" s="18"/>
    </row>
    <row r="431">
      <c r="A431" s="20"/>
      <c r="B431" s="3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35"/>
      <c r="N431" s="18"/>
      <c r="O431" s="18"/>
      <c r="P431" s="18"/>
      <c r="Q431" s="34"/>
      <c r="R431" s="18"/>
      <c r="S431" s="18"/>
      <c r="T431" s="19" t="s">
        <v>451</v>
      </c>
      <c r="U431" s="9" t="str">
        <f t="shared" si="1"/>
        <v>NSE:BBL</v>
      </c>
      <c r="V431" s="18"/>
      <c r="W431" s="18"/>
      <c r="X431" s="18"/>
    </row>
    <row r="432">
      <c r="A432" s="20"/>
      <c r="B432" s="3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35"/>
      <c r="N432" s="18"/>
      <c r="O432" s="18"/>
      <c r="P432" s="18"/>
      <c r="Q432" s="34"/>
      <c r="R432" s="18"/>
      <c r="S432" s="18"/>
      <c r="T432" s="19" t="s">
        <v>452</v>
      </c>
      <c r="U432" s="9" t="str">
        <f t="shared" si="1"/>
        <v>NSE:AWFIS</v>
      </c>
      <c r="V432" s="18"/>
      <c r="W432" s="18"/>
      <c r="X432" s="18"/>
    </row>
    <row r="433">
      <c r="A433" s="20"/>
      <c r="B433" s="3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35"/>
      <c r="N433" s="18"/>
      <c r="O433" s="18"/>
      <c r="P433" s="18"/>
      <c r="Q433" s="34"/>
      <c r="R433" s="18"/>
      <c r="S433" s="18"/>
      <c r="T433" s="19" t="s">
        <v>453</v>
      </c>
      <c r="U433" s="9" t="str">
        <f t="shared" si="1"/>
        <v>NSE:ZFCVINDIA</v>
      </c>
      <c r="V433" s="18"/>
      <c r="W433" s="18"/>
      <c r="X433" s="18"/>
    </row>
    <row r="434">
      <c r="A434" s="20"/>
      <c r="B434" s="3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35"/>
      <c r="N434" s="18"/>
      <c r="O434" s="18"/>
      <c r="P434" s="18"/>
      <c r="Q434" s="34"/>
      <c r="R434" s="18"/>
      <c r="S434" s="18"/>
      <c r="T434" s="19" t="s">
        <v>454</v>
      </c>
      <c r="U434" s="9" t="str">
        <f t="shared" si="1"/>
        <v>NSE:GLAND</v>
      </c>
      <c r="V434" s="18"/>
      <c r="W434" s="18"/>
      <c r="X434" s="18"/>
    </row>
    <row r="435">
      <c r="A435" s="20"/>
      <c r="B435" s="3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35"/>
      <c r="N435" s="18"/>
      <c r="O435" s="18"/>
      <c r="P435" s="18"/>
      <c r="Q435" s="34"/>
      <c r="R435" s="18"/>
      <c r="S435" s="18"/>
      <c r="T435" s="19" t="s">
        <v>455</v>
      </c>
      <c r="U435" s="9" t="str">
        <f t="shared" si="1"/>
        <v>NSE:KPIL</v>
      </c>
      <c r="V435" s="18"/>
      <c r="W435" s="18"/>
      <c r="X435" s="18"/>
    </row>
    <row r="436">
      <c r="A436" s="20"/>
      <c r="B436" s="3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35"/>
      <c r="N436" s="18"/>
      <c r="O436" s="18"/>
      <c r="P436" s="18"/>
      <c r="Q436" s="34"/>
      <c r="R436" s="18"/>
      <c r="S436" s="18"/>
      <c r="T436" s="19" t="s">
        <v>456</v>
      </c>
      <c r="U436" s="9" t="str">
        <f t="shared" si="1"/>
        <v>NSE:AFCONS</v>
      </c>
      <c r="V436" s="18"/>
      <c r="W436" s="18"/>
      <c r="X436" s="18"/>
    </row>
    <row r="437">
      <c r="A437" s="20"/>
      <c r="B437" s="3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35"/>
      <c r="N437" s="18"/>
      <c r="O437" s="18"/>
      <c r="P437" s="18"/>
      <c r="Q437" s="34"/>
      <c r="R437" s="18"/>
      <c r="S437" s="18"/>
      <c r="T437" s="19" t="s">
        <v>457</v>
      </c>
      <c r="U437" s="9" t="str">
        <f t="shared" si="1"/>
        <v>NSE:HEG</v>
      </c>
      <c r="V437" s="18"/>
      <c r="W437" s="18"/>
      <c r="X437" s="18"/>
    </row>
    <row r="438">
      <c r="A438" s="20"/>
      <c r="B438" s="3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35"/>
      <c r="N438" s="18"/>
      <c r="O438" s="18"/>
      <c r="P438" s="18"/>
      <c r="Q438" s="34"/>
      <c r="R438" s="18"/>
      <c r="S438" s="18"/>
      <c r="T438" s="19" t="s">
        <v>458</v>
      </c>
      <c r="U438" s="9" t="str">
        <f t="shared" si="1"/>
        <v>NSE:RAIN</v>
      </c>
      <c r="V438" s="18"/>
      <c r="W438" s="18"/>
      <c r="X438" s="18"/>
    </row>
    <row r="439">
      <c r="A439" s="20"/>
      <c r="B439" s="3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35"/>
      <c r="N439" s="18"/>
      <c r="O439" s="18"/>
      <c r="P439" s="18"/>
      <c r="Q439" s="34"/>
      <c r="R439" s="18"/>
      <c r="S439" s="18"/>
      <c r="T439" s="19" t="s">
        <v>459</v>
      </c>
      <c r="U439" s="9" t="str">
        <f t="shared" si="1"/>
        <v>NSE:HINDOILEXP</v>
      </c>
      <c r="V439" s="18"/>
      <c r="W439" s="18"/>
      <c r="X439" s="18"/>
    </row>
    <row r="440">
      <c r="A440" s="20"/>
      <c r="B440" s="3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35"/>
      <c r="N440" s="18"/>
      <c r="O440" s="18"/>
      <c r="P440" s="18"/>
      <c r="Q440" s="34"/>
      <c r="R440" s="18"/>
      <c r="S440" s="18"/>
      <c r="T440" s="19" t="s">
        <v>460</v>
      </c>
      <c r="U440" s="9" t="str">
        <f t="shared" si="1"/>
        <v>NSE:SAGILITY</v>
      </c>
      <c r="V440" s="18"/>
      <c r="W440" s="18"/>
      <c r="X440" s="18"/>
    </row>
    <row r="441">
      <c r="A441" s="20"/>
      <c r="B441" s="3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35"/>
      <c r="N441" s="18"/>
      <c r="O441" s="18"/>
      <c r="P441" s="18"/>
      <c r="Q441" s="34"/>
      <c r="R441" s="18"/>
      <c r="S441" s="18"/>
      <c r="T441" s="19" t="s">
        <v>461</v>
      </c>
      <c r="U441" s="9" t="str">
        <f t="shared" si="1"/>
        <v>NSE:MAHSEAMLES</v>
      </c>
      <c r="V441" s="18"/>
      <c r="W441" s="18"/>
      <c r="X441" s="18"/>
    </row>
    <row r="442">
      <c r="A442" s="20"/>
      <c r="B442" s="3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35"/>
      <c r="N442" s="18"/>
      <c r="O442" s="18"/>
      <c r="P442" s="18"/>
      <c r="Q442" s="34"/>
      <c r="R442" s="18"/>
      <c r="S442" s="18"/>
      <c r="T442" s="19" t="s">
        <v>462</v>
      </c>
      <c r="U442" s="9" t="str">
        <f t="shared" si="1"/>
        <v>NSE:APOLLOTYRE</v>
      </c>
      <c r="V442" s="18"/>
      <c r="W442" s="18"/>
      <c r="X442" s="18"/>
    </row>
    <row r="443">
      <c r="A443" s="20"/>
      <c r="B443" s="3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35"/>
      <c r="N443" s="18"/>
      <c r="O443" s="18"/>
      <c r="P443" s="18"/>
      <c r="Q443" s="34"/>
      <c r="R443" s="18"/>
      <c r="S443" s="18"/>
      <c r="T443" s="19" t="s">
        <v>463</v>
      </c>
      <c r="U443" s="9" t="str">
        <f t="shared" si="1"/>
        <v>NSE:SAREGAMA</v>
      </c>
      <c r="V443" s="18"/>
      <c r="W443" s="18"/>
      <c r="X443" s="18"/>
    </row>
    <row r="444">
      <c r="A444" s="20"/>
      <c r="B444" s="3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35"/>
      <c r="N444" s="18"/>
      <c r="O444" s="18"/>
      <c r="P444" s="18"/>
      <c r="Q444" s="34"/>
      <c r="R444" s="18"/>
      <c r="S444" s="18"/>
      <c r="T444" s="19" t="s">
        <v>464</v>
      </c>
      <c r="U444" s="9" t="str">
        <f t="shared" si="1"/>
        <v>NSE:GOKEX</v>
      </c>
      <c r="V444" s="18"/>
      <c r="W444" s="18"/>
      <c r="X444" s="18"/>
    </row>
    <row r="445">
      <c r="A445" s="20"/>
      <c r="B445" s="3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35"/>
      <c r="N445" s="18"/>
      <c r="O445" s="18"/>
      <c r="P445" s="18"/>
      <c r="Q445" s="34"/>
      <c r="R445" s="18"/>
      <c r="S445" s="18"/>
      <c r="T445" s="19" t="s">
        <v>465</v>
      </c>
      <c r="U445" s="9" t="str">
        <f t="shared" si="1"/>
        <v>NSE:FLUOROCHEM</v>
      </c>
      <c r="V445" s="18"/>
      <c r="W445" s="18"/>
      <c r="X445" s="18"/>
    </row>
    <row r="446">
      <c r="A446" s="20"/>
      <c r="B446" s="3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35"/>
      <c r="N446" s="18"/>
      <c r="O446" s="18"/>
      <c r="P446" s="18"/>
      <c r="Q446" s="34"/>
      <c r="R446" s="18"/>
      <c r="S446" s="18"/>
      <c r="T446" s="19" t="s">
        <v>466</v>
      </c>
      <c r="U446" s="9" t="str">
        <f t="shared" si="1"/>
        <v>NSE:TIMETECHNO</v>
      </c>
      <c r="V446" s="18"/>
      <c r="W446" s="18"/>
      <c r="X446" s="18"/>
    </row>
    <row r="447">
      <c r="A447" s="20"/>
      <c r="B447" s="3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35"/>
      <c r="N447" s="18"/>
      <c r="O447" s="18"/>
      <c r="P447" s="18"/>
      <c r="Q447" s="34"/>
      <c r="R447" s="18"/>
      <c r="S447" s="18"/>
      <c r="T447" s="19" t="s">
        <v>467</v>
      </c>
      <c r="U447" s="9" t="str">
        <f t="shared" si="1"/>
        <v>NSE:MGL</v>
      </c>
      <c r="V447" s="18"/>
      <c r="W447" s="18"/>
      <c r="X447" s="18"/>
    </row>
    <row r="448">
      <c r="A448" s="20"/>
      <c r="B448" s="3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35"/>
      <c r="N448" s="18"/>
      <c r="O448" s="18"/>
      <c r="P448" s="18"/>
      <c r="Q448" s="34"/>
      <c r="R448" s="18"/>
      <c r="S448" s="18"/>
      <c r="T448" s="19" t="s">
        <v>468</v>
      </c>
      <c r="U448" s="9" t="str">
        <f t="shared" si="1"/>
        <v>NSE:INOXGREEN</v>
      </c>
      <c r="V448" s="18"/>
      <c r="W448" s="18"/>
      <c r="X448" s="18"/>
    </row>
    <row r="449">
      <c r="A449" s="20"/>
      <c r="B449" s="3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35"/>
      <c r="N449" s="18"/>
      <c r="O449" s="18"/>
      <c r="P449" s="18"/>
      <c r="Q449" s="34"/>
      <c r="R449" s="18"/>
      <c r="S449" s="18"/>
      <c r="T449" s="19" t="s">
        <v>469</v>
      </c>
      <c r="U449" s="9" t="str">
        <f t="shared" si="1"/>
        <v>NSE:SCI</v>
      </c>
      <c r="V449" s="18"/>
      <c r="W449" s="18"/>
      <c r="X449" s="18"/>
    </row>
    <row r="450">
      <c r="A450" s="20"/>
      <c r="B450" s="3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35"/>
      <c r="N450" s="18"/>
      <c r="O450" s="18"/>
      <c r="P450" s="18"/>
      <c r="Q450" s="34"/>
      <c r="R450" s="18"/>
      <c r="S450" s="18"/>
      <c r="T450" s="19" t="s">
        <v>470</v>
      </c>
      <c r="U450" s="9" t="str">
        <f t="shared" si="1"/>
        <v>NSE:AARTIPHARM</v>
      </c>
      <c r="V450" s="18"/>
      <c r="W450" s="18"/>
      <c r="X450" s="18"/>
    </row>
    <row r="451">
      <c r="A451" s="20"/>
      <c r="B451" s="3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35"/>
      <c r="N451" s="18"/>
      <c r="O451" s="18"/>
      <c r="P451" s="18"/>
      <c r="Q451" s="34"/>
      <c r="R451" s="18"/>
      <c r="S451" s="18"/>
      <c r="T451" s="19" t="s">
        <v>471</v>
      </c>
      <c r="U451" s="9" t="str">
        <f t="shared" si="1"/>
        <v>NSE:QPOWER</v>
      </c>
      <c r="V451" s="18"/>
      <c r="W451" s="18"/>
      <c r="X451" s="18"/>
    </row>
    <row r="452">
      <c r="A452" s="20"/>
      <c r="B452" s="3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35"/>
      <c r="N452" s="18"/>
      <c r="O452" s="18"/>
      <c r="P452" s="18"/>
      <c r="Q452" s="34"/>
      <c r="R452" s="18"/>
      <c r="S452" s="18"/>
      <c r="T452" s="19" t="s">
        <v>472</v>
      </c>
      <c r="U452" s="9" t="str">
        <f t="shared" si="1"/>
        <v>NSE:MSUMI</v>
      </c>
      <c r="V452" s="18"/>
      <c r="W452" s="18"/>
      <c r="X452" s="18"/>
    </row>
    <row r="453">
      <c r="A453" s="20"/>
      <c r="B453" s="3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35"/>
      <c r="N453" s="18"/>
      <c r="O453" s="18"/>
      <c r="P453" s="18"/>
      <c r="Q453" s="34"/>
      <c r="R453" s="18"/>
      <c r="S453" s="18"/>
      <c r="T453" s="19" t="s">
        <v>473</v>
      </c>
      <c r="U453" s="9" t="str">
        <f t="shared" si="1"/>
        <v>NSE:JKCEMENT</v>
      </c>
      <c r="V453" s="18"/>
      <c r="W453" s="18"/>
      <c r="X453" s="18"/>
    </row>
    <row r="454">
      <c r="A454" s="20"/>
      <c r="B454" s="3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35"/>
      <c r="N454" s="18"/>
      <c r="O454" s="18"/>
      <c r="P454" s="18"/>
      <c r="Q454" s="34"/>
      <c r="R454" s="18"/>
      <c r="S454" s="18"/>
      <c r="T454" s="19" t="s">
        <v>474</v>
      </c>
      <c r="U454" s="9" t="str">
        <f t="shared" si="1"/>
        <v>NSE:STAR</v>
      </c>
      <c r="V454" s="18"/>
      <c r="W454" s="18"/>
      <c r="X454" s="18"/>
    </row>
    <row r="455">
      <c r="A455" s="20"/>
      <c r="B455" s="3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35"/>
      <c r="N455" s="18"/>
      <c r="O455" s="18"/>
      <c r="P455" s="18"/>
      <c r="Q455" s="34"/>
      <c r="R455" s="18"/>
      <c r="S455" s="18"/>
      <c r="T455" s="19" t="s">
        <v>475</v>
      </c>
      <c r="U455" s="9" t="str">
        <f t="shared" si="1"/>
        <v>NSE:ACE</v>
      </c>
      <c r="V455" s="18"/>
      <c r="W455" s="18"/>
      <c r="X455" s="18"/>
    </row>
    <row r="456">
      <c r="A456" s="20"/>
      <c r="B456" s="3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35"/>
      <c r="N456" s="18"/>
      <c r="O456" s="18"/>
      <c r="P456" s="18"/>
      <c r="Q456" s="34"/>
      <c r="R456" s="18"/>
      <c r="S456" s="18"/>
      <c r="T456" s="19" t="s">
        <v>476</v>
      </c>
      <c r="U456" s="9" t="str">
        <f t="shared" si="1"/>
        <v>NSE:GABRIEL</v>
      </c>
      <c r="V456" s="18"/>
      <c r="W456" s="18"/>
      <c r="X456" s="18"/>
    </row>
    <row r="457">
      <c r="A457" s="20"/>
      <c r="B457" s="3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35"/>
      <c r="N457" s="18"/>
      <c r="O457" s="18"/>
      <c r="P457" s="18"/>
      <c r="Q457" s="34"/>
      <c r="R457" s="18"/>
      <c r="S457" s="18"/>
      <c r="T457" s="19" t="s">
        <v>477</v>
      </c>
      <c r="U457" s="9" t="str">
        <f t="shared" si="1"/>
        <v>NSE:INDIAMART</v>
      </c>
      <c r="V457" s="18"/>
      <c r="W457" s="18"/>
      <c r="X457" s="18"/>
    </row>
    <row r="458">
      <c r="A458" s="20"/>
      <c r="B458" s="3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35"/>
      <c r="N458" s="18"/>
      <c r="O458" s="18"/>
      <c r="P458" s="18"/>
      <c r="Q458" s="34"/>
      <c r="R458" s="18"/>
      <c r="S458" s="18"/>
      <c r="T458" s="19" t="s">
        <v>478</v>
      </c>
      <c r="U458" s="9" t="str">
        <f t="shared" si="1"/>
        <v>NSE:GESHIP</v>
      </c>
      <c r="V458" s="18"/>
      <c r="W458" s="18"/>
      <c r="X458" s="18"/>
    </row>
    <row r="459">
      <c r="A459" s="20"/>
      <c r="B459" s="3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35"/>
      <c r="N459" s="18"/>
      <c r="O459" s="18"/>
      <c r="P459" s="18"/>
      <c r="Q459" s="34"/>
      <c r="R459" s="18"/>
      <c r="S459" s="18"/>
      <c r="T459" s="19" t="s">
        <v>479</v>
      </c>
      <c r="U459" s="9" t="str">
        <f t="shared" si="1"/>
        <v>NSE:GENESYS</v>
      </c>
      <c r="V459" s="18"/>
      <c r="W459" s="18"/>
      <c r="X459" s="18"/>
    </row>
    <row r="460">
      <c r="A460" s="20"/>
      <c r="B460" s="3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35"/>
      <c r="N460" s="18"/>
      <c r="O460" s="18"/>
      <c r="P460" s="18"/>
      <c r="Q460" s="34"/>
      <c r="R460" s="18"/>
      <c r="S460" s="18"/>
      <c r="T460" s="19" t="s">
        <v>480</v>
      </c>
      <c r="U460" s="9" t="str">
        <f t="shared" si="1"/>
        <v>NSE:RELIGARE</v>
      </c>
      <c r="V460" s="18"/>
      <c r="W460" s="18"/>
      <c r="X460" s="18"/>
    </row>
    <row r="461">
      <c r="A461" s="20"/>
      <c r="B461" s="3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35"/>
      <c r="N461" s="18"/>
      <c r="O461" s="18"/>
      <c r="P461" s="18"/>
      <c r="Q461" s="34"/>
      <c r="R461" s="18"/>
      <c r="S461" s="18"/>
      <c r="T461" s="19" t="s">
        <v>481</v>
      </c>
      <c r="U461" s="9" t="str">
        <f t="shared" si="1"/>
        <v>NSE:SAILIFE</v>
      </c>
      <c r="V461" s="18"/>
      <c r="W461" s="18"/>
      <c r="X461" s="18"/>
    </row>
    <row r="462">
      <c r="A462" s="20"/>
      <c r="B462" s="3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35"/>
      <c r="N462" s="18"/>
      <c r="O462" s="18"/>
      <c r="P462" s="18"/>
      <c r="Q462" s="34"/>
      <c r="R462" s="18"/>
      <c r="S462" s="18"/>
      <c r="T462" s="19" t="s">
        <v>482</v>
      </c>
      <c r="U462" s="9" t="str">
        <f t="shared" si="1"/>
        <v>NSE:RATEGAIN</v>
      </c>
      <c r="V462" s="18"/>
      <c r="W462" s="18"/>
      <c r="X462" s="18"/>
    </row>
    <row r="463">
      <c r="A463" s="20"/>
      <c r="B463" s="3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35"/>
      <c r="N463" s="18"/>
      <c r="O463" s="18"/>
      <c r="P463" s="18"/>
      <c r="Q463" s="34"/>
      <c r="R463" s="18"/>
      <c r="S463" s="18"/>
      <c r="T463" s="19" t="s">
        <v>483</v>
      </c>
      <c r="U463" s="9" t="str">
        <f t="shared" si="1"/>
        <v>NSE:PRUDENT</v>
      </c>
      <c r="V463" s="18"/>
      <c r="W463" s="18"/>
      <c r="X463" s="18"/>
    </row>
    <row r="464">
      <c r="A464" s="20"/>
      <c r="B464" s="3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35"/>
      <c r="N464" s="18"/>
      <c r="O464" s="18"/>
      <c r="P464" s="18"/>
      <c r="Q464" s="34"/>
      <c r="R464" s="18"/>
      <c r="S464" s="18"/>
      <c r="T464" s="19" t="s">
        <v>484</v>
      </c>
      <c r="U464" s="9" t="str">
        <f t="shared" si="1"/>
        <v>NSE:NEWGEN</v>
      </c>
      <c r="V464" s="18"/>
      <c r="W464" s="18"/>
      <c r="X464" s="18"/>
    </row>
    <row r="465">
      <c r="A465" s="20"/>
      <c r="B465" s="3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35"/>
      <c r="N465" s="18"/>
      <c r="O465" s="18"/>
      <c r="P465" s="18"/>
      <c r="Q465" s="34"/>
      <c r="R465" s="18"/>
      <c r="S465" s="18"/>
      <c r="T465" s="19" t="s">
        <v>485</v>
      </c>
      <c r="U465" s="9" t="str">
        <f t="shared" si="1"/>
        <v>NSE:GRANULES</v>
      </c>
      <c r="V465" s="18"/>
      <c r="W465" s="18"/>
      <c r="X465" s="18"/>
    </row>
    <row r="466">
      <c r="A466" s="20"/>
      <c r="B466" s="3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35"/>
      <c r="N466" s="18"/>
      <c r="O466" s="18"/>
      <c r="P466" s="18"/>
      <c r="Q466" s="34"/>
      <c r="R466" s="18"/>
      <c r="S466" s="18"/>
      <c r="T466" s="19" t="s">
        <v>486</v>
      </c>
      <c r="U466" s="9" t="str">
        <f t="shared" si="1"/>
        <v>NSE:EDELWEISS</v>
      </c>
      <c r="V466" s="18"/>
      <c r="W466" s="18"/>
      <c r="X466" s="18"/>
    </row>
    <row r="467">
      <c r="A467" s="20"/>
      <c r="B467" s="3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35"/>
      <c r="N467" s="18"/>
      <c r="O467" s="18"/>
      <c r="P467" s="18"/>
      <c r="Q467" s="34"/>
      <c r="R467" s="18"/>
      <c r="S467" s="18"/>
      <c r="T467" s="19" t="s">
        <v>487</v>
      </c>
      <c r="U467" s="9" t="str">
        <f t="shared" si="1"/>
        <v>NSE:GICRE</v>
      </c>
      <c r="V467" s="18"/>
      <c r="W467" s="18"/>
      <c r="X467" s="18"/>
    </row>
    <row r="468">
      <c r="A468" s="20"/>
      <c r="B468" s="3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35"/>
      <c r="N468" s="18"/>
      <c r="O468" s="18"/>
      <c r="P468" s="18"/>
      <c r="Q468" s="34"/>
      <c r="R468" s="18"/>
      <c r="S468" s="18"/>
      <c r="T468" s="19" t="s">
        <v>488</v>
      </c>
      <c r="U468" s="9" t="str">
        <f t="shared" si="1"/>
        <v>NSE:ELECTCAST</v>
      </c>
      <c r="V468" s="18"/>
      <c r="W468" s="18"/>
      <c r="X468" s="18"/>
    </row>
    <row r="469">
      <c r="A469" s="20"/>
      <c r="B469" s="3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35"/>
      <c r="N469" s="18"/>
      <c r="O469" s="18"/>
      <c r="P469" s="18"/>
      <c r="Q469" s="34"/>
      <c r="R469" s="18"/>
      <c r="S469" s="18"/>
      <c r="T469" s="19" t="s">
        <v>489</v>
      </c>
      <c r="U469" s="9" t="str">
        <f t="shared" si="1"/>
        <v>NSE:TARIL</v>
      </c>
      <c r="V469" s="18"/>
      <c r="W469" s="18"/>
      <c r="X469" s="18"/>
    </row>
    <row r="470">
      <c r="A470" s="20"/>
      <c r="B470" s="3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35"/>
      <c r="N470" s="18"/>
      <c r="O470" s="18"/>
      <c r="P470" s="18"/>
      <c r="Q470" s="34"/>
      <c r="R470" s="18"/>
      <c r="S470" s="18"/>
      <c r="T470" s="19" t="s">
        <v>490</v>
      </c>
      <c r="U470" s="9" t="str">
        <f t="shared" si="1"/>
        <v>NSE:UBL</v>
      </c>
      <c r="V470" s="18"/>
      <c r="W470" s="18"/>
      <c r="X470" s="18"/>
    </row>
    <row r="471">
      <c r="A471" s="20"/>
      <c r="B471" s="3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35"/>
      <c r="N471" s="18"/>
      <c r="O471" s="18"/>
      <c r="P471" s="18"/>
      <c r="Q471" s="34"/>
      <c r="R471" s="18"/>
      <c r="S471" s="18"/>
      <c r="T471" s="19" t="s">
        <v>491</v>
      </c>
      <c r="U471" s="9" t="str">
        <f t="shared" si="1"/>
        <v>NSE:BANKBEES</v>
      </c>
      <c r="V471" s="18"/>
      <c r="W471" s="18"/>
      <c r="X471" s="18"/>
    </row>
    <row r="472">
      <c r="A472" s="20"/>
      <c r="B472" s="3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35"/>
      <c r="N472" s="18"/>
      <c r="O472" s="18"/>
      <c r="P472" s="18"/>
      <c r="Q472" s="34"/>
      <c r="R472" s="18"/>
      <c r="S472" s="18"/>
      <c r="T472" s="19" t="s">
        <v>492</v>
      </c>
      <c r="U472" s="9" t="str">
        <f t="shared" si="1"/>
        <v>NSE:MON100</v>
      </c>
      <c r="V472" s="18"/>
      <c r="W472" s="18"/>
      <c r="X472" s="18"/>
    </row>
    <row r="473">
      <c r="A473" s="20"/>
      <c r="B473" s="3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35"/>
      <c r="N473" s="18"/>
      <c r="O473" s="18"/>
      <c r="P473" s="18"/>
      <c r="Q473" s="34"/>
      <c r="R473" s="18"/>
      <c r="S473" s="18"/>
      <c r="T473" s="19" t="s">
        <v>493</v>
      </c>
      <c r="U473" s="9" t="str">
        <f t="shared" si="1"/>
        <v>NSE:JKPAPER</v>
      </c>
      <c r="V473" s="18"/>
      <c r="W473" s="18"/>
      <c r="X473" s="18"/>
    </row>
    <row r="474">
      <c r="A474" s="20"/>
      <c r="B474" s="3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35"/>
      <c r="N474" s="18"/>
      <c r="O474" s="18"/>
      <c r="P474" s="18"/>
      <c r="Q474" s="34"/>
      <c r="R474" s="18"/>
      <c r="S474" s="18"/>
      <c r="T474" s="19" t="s">
        <v>494</v>
      </c>
      <c r="U474" s="9" t="str">
        <f t="shared" si="1"/>
        <v>NSE:LLOYDSENGG</v>
      </c>
      <c r="V474" s="18"/>
      <c r="W474" s="18"/>
      <c r="X474" s="18"/>
    </row>
    <row r="475">
      <c r="A475" s="20"/>
      <c r="B475" s="3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35"/>
      <c r="N475" s="18"/>
      <c r="O475" s="18"/>
      <c r="P475" s="18"/>
      <c r="Q475" s="34"/>
      <c r="R475" s="18"/>
      <c r="S475" s="18"/>
      <c r="T475" s="19" t="s">
        <v>495</v>
      </c>
      <c r="U475" s="9" t="str">
        <f t="shared" si="1"/>
        <v>NSE:VINDHYATEL</v>
      </c>
      <c r="V475" s="18"/>
      <c r="W475" s="18"/>
      <c r="X475" s="18"/>
    </row>
    <row r="476">
      <c r="A476" s="20"/>
      <c r="B476" s="3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35"/>
      <c r="N476" s="18"/>
      <c r="O476" s="18"/>
      <c r="P476" s="18"/>
      <c r="Q476" s="34"/>
      <c r="R476" s="18"/>
      <c r="S476" s="18"/>
      <c r="T476" s="19" t="s">
        <v>496</v>
      </c>
      <c r="U476" s="9" t="str">
        <f t="shared" si="1"/>
        <v>NSE:HAPPSTMNDS</v>
      </c>
      <c r="V476" s="18"/>
      <c r="W476" s="18"/>
      <c r="X476" s="18"/>
    </row>
    <row r="477">
      <c r="A477" s="20"/>
      <c r="B477" s="3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35"/>
      <c r="N477" s="18"/>
      <c r="O477" s="18"/>
      <c r="P477" s="18"/>
      <c r="Q477" s="34"/>
      <c r="R477" s="18"/>
      <c r="S477" s="18"/>
      <c r="T477" s="19" t="s">
        <v>497</v>
      </c>
      <c r="U477" s="9" t="str">
        <f t="shared" si="1"/>
        <v>NSE:HNGSNGBEES</v>
      </c>
      <c r="V477" s="18"/>
      <c r="W477" s="18"/>
      <c r="X477" s="18"/>
    </row>
    <row r="478">
      <c r="A478" s="20"/>
      <c r="B478" s="3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35"/>
      <c r="N478" s="18"/>
      <c r="O478" s="18"/>
      <c r="P478" s="18"/>
      <c r="Q478" s="34"/>
      <c r="R478" s="18"/>
      <c r="S478" s="18"/>
      <c r="T478" s="19" t="s">
        <v>498</v>
      </c>
      <c r="U478" s="9" t="str">
        <f t="shared" si="1"/>
        <v>NSE:SPARC</v>
      </c>
      <c r="V478" s="18"/>
      <c r="W478" s="18"/>
      <c r="X478" s="18"/>
    </row>
    <row r="479">
      <c r="A479" s="20"/>
      <c r="B479" s="3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35"/>
      <c r="N479" s="18"/>
      <c r="O479" s="18"/>
      <c r="P479" s="18"/>
      <c r="Q479" s="34"/>
      <c r="R479" s="18"/>
      <c r="S479" s="18"/>
      <c r="T479" s="19" t="s">
        <v>499</v>
      </c>
      <c r="U479" s="9" t="str">
        <f t="shared" si="1"/>
        <v>NSE:FINCABLES</v>
      </c>
      <c r="V479" s="18"/>
      <c r="W479" s="18"/>
      <c r="X479" s="18"/>
    </row>
    <row r="480">
      <c r="A480" s="20"/>
      <c r="B480" s="3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35"/>
      <c r="N480" s="18"/>
      <c r="O480" s="18"/>
      <c r="P480" s="18"/>
      <c r="Q480" s="34"/>
      <c r="R480" s="18"/>
      <c r="S480" s="18"/>
      <c r="T480" s="19" t="s">
        <v>500</v>
      </c>
      <c r="U480" s="9" t="str">
        <f t="shared" si="1"/>
        <v>NSE:GSFC</v>
      </c>
      <c r="V480" s="18"/>
      <c r="W480" s="18"/>
      <c r="X480" s="18"/>
    </row>
    <row r="481">
      <c r="A481" s="20"/>
      <c r="B481" s="3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35"/>
      <c r="N481" s="18"/>
      <c r="O481" s="18"/>
      <c r="P481" s="18"/>
      <c r="Q481" s="34"/>
      <c r="R481" s="18"/>
      <c r="S481" s="18"/>
      <c r="T481" s="19" t="s">
        <v>501</v>
      </c>
      <c r="U481" s="9" t="str">
        <f t="shared" si="1"/>
        <v>NSE:GPPL</v>
      </c>
      <c r="V481" s="18"/>
      <c r="W481" s="18"/>
      <c r="X481" s="18"/>
    </row>
    <row r="482">
      <c r="A482" s="20"/>
      <c r="B482" s="3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35"/>
      <c r="N482" s="18"/>
      <c r="O482" s="18"/>
      <c r="P482" s="18"/>
      <c r="Q482" s="34"/>
      <c r="R482" s="18"/>
      <c r="S482" s="18"/>
      <c r="T482" s="19" t="s">
        <v>502</v>
      </c>
      <c r="U482" s="9" t="str">
        <f t="shared" si="1"/>
        <v>NSE:WELSPUNLIV</v>
      </c>
      <c r="V482" s="18"/>
      <c r="W482" s="18"/>
      <c r="X482" s="18"/>
    </row>
    <row r="483">
      <c r="A483" s="20"/>
      <c r="B483" s="3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35"/>
      <c r="N483" s="18"/>
      <c r="O483" s="18"/>
      <c r="P483" s="18"/>
      <c r="Q483" s="34"/>
      <c r="R483" s="18"/>
      <c r="S483" s="18"/>
      <c r="T483" s="19" t="s">
        <v>503</v>
      </c>
      <c r="U483" s="9" t="str">
        <f t="shared" si="1"/>
        <v>NSE:KSB</v>
      </c>
      <c r="V483" s="18"/>
      <c r="W483" s="18"/>
      <c r="X483" s="18"/>
    </row>
    <row r="484">
      <c r="A484" s="20"/>
      <c r="B484" s="3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35"/>
      <c r="N484" s="18"/>
      <c r="O484" s="18"/>
      <c r="P484" s="18"/>
      <c r="Q484" s="34"/>
      <c r="R484" s="18"/>
      <c r="S484" s="18"/>
      <c r="T484" s="19" t="s">
        <v>504</v>
      </c>
      <c r="U484" s="9" t="str">
        <f t="shared" si="1"/>
        <v>NSE:ROUTE</v>
      </c>
      <c r="V484" s="18"/>
      <c r="W484" s="18"/>
      <c r="X484" s="18"/>
    </row>
    <row r="485">
      <c r="A485" s="20"/>
      <c r="B485" s="3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35"/>
      <c r="N485" s="18"/>
      <c r="O485" s="18"/>
      <c r="P485" s="18"/>
      <c r="Q485" s="34"/>
      <c r="R485" s="18"/>
      <c r="S485" s="18"/>
      <c r="T485" s="19" t="s">
        <v>505</v>
      </c>
      <c r="U485" s="9" t="str">
        <f t="shared" si="1"/>
        <v>NSE:SAPPHIRE</v>
      </c>
      <c r="V485" s="18"/>
      <c r="W485" s="18"/>
      <c r="X485" s="18"/>
    </row>
    <row r="486">
      <c r="A486" s="20"/>
      <c r="B486" s="3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35"/>
      <c r="N486" s="18"/>
      <c r="O486" s="18"/>
      <c r="P486" s="18"/>
      <c r="Q486" s="34"/>
      <c r="R486" s="18"/>
      <c r="S486" s="18"/>
      <c r="T486" s="19" t="s">
        <v>506</v>
      </c>
      <c r="U486" s="9" t="str">
        <f t="shared" si="1"/>
        <v>NSE:CAMLINFINE</v>
      </c>
      <c r="V486" s="18"/>
      <c r="W486" s="18"/>
      <c r="X486" s="18"/>
    </row>
    <row r="487">
      <c r="A487" s="20"/>
      <c r="B487" s="3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35"/>
      <c r="N487" s="18"/>
      <c r="O487" s="18"/>
      <c r="P487" s="18"/>
      <c r="Q487" s="34"/>
      <c r="R487" s="18"/>
      <c r="S487" s="18"/>
      <c r="T487" s="19" t="s">
        <v>507</v>
      </c>
      <c r="U487" s="9" t="str">
        <f t="shared" si="1"/>
        <v>NSE:VENTIVE</v>
      </c>
      <c r="V487" s="18"/>
      <c r="W487" s="18"/>
      <c r="X487" s="18"/>
    </row>
    <row r="488">
      <c r="A488" s="20"/>
      <c r="B488" s="3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35"/>
      <c r="N488" s="18"/>
      <c r="O488" s="18"/>
      <c r="P488" s="18"/>
      <c r="Q488" s="34"/>
      <c r="R488" s="18"/>
      <c r="S488" s="18"/>
      <c r="T488" s="19" t="s">
        <v>508</v>
      </c>
      <c r="U488" s="9" t="str">
        <f t="shared" si="1"/>
        <v>NSE:JYOTISTRUC</v>
      </c>
      <c r="V488" s="18"/>
      <c r="W488" s="18"/>
      <c r="X488" s="18"/>
    </row>
    <row r="489">
      <c r="A489" s="20"/>
      <c r="B489" s="3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35"/>
      <c r="N489" s="18"/>
      <c r="O489" s="18"/>
      <c r="P489" s="18"/>
      <c r="Q489" s="34"/>
      <c r="R489" s="18"/>
      <c r="S489" s="18"/>
      <c r="T489" s="19" t="s">
        <v>509</v>
      </c>
      <c r="U489" s="9" t="str">
        <f t="shared" si="1"/>
        <v>NSE:RITES</v>
      </c>
      <c r="V489" s="18"/>
      <c r="W489" s="18"/>
      <c r="X489" s="18"/>
    </row>
    <row r="490">
      <c r="A490" s="20"/>
      <c r="B490" s="3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35"/>
      <c r="N490" s="18"/>
      <c r="O490" s="18"/>
      <c r="P490" s="18"/>
      <c r="Q490" s="34"/>
      <c r="R490" s="18"/>
      <c r="S490" s="18"/>
      <c r="T490" s="19" t="s">
        <v>510</v>
      </c>
      <c r="U490" s="9" t="str">
        <f t="shared" si="1"/>
        <v>NSE:INFIBEAM</v>
      </c>
      <c r="V490" s="18"/>
      <c r="W490" s="18"/>
      <c r="X490" s="18"/>
    </row>
    <row r="491">
      <c r="A491" s="20"/>
      <c r="B491" s="3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35"/>
      <c r="N491" s="18"/>
      <c r="O491" s="18"/>
      <c r="P491" s="18"/>
      <c r="Q491" s="34"/>
      <c r="R491" s="18"/>
      <c r="S491" s="18"/>
      <c r="T491" s="19" t="s">
        <v>511</v>
      </c>
      <c r="U491" s="9" t="str">
        <f t="shared" si="1"/>
        <v>NSE:GMDCLTD</v>
      </c>
      <c r="V491" s="18"/>
      <c r="W491" s="18"/>
      <c r="X491" s="18"/>
    </row>
    <row r="492">
      <c r="A492" s="20"/>
      <c r="B492" s="3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35"/>
      <c r="N492" s="18"/>
      <c r="O492" s="18"/>
      <c r="P492" s="18"/>
      <c r="Q492" s="34"/>
      <c r="R492" s="18"/>
      <c r="S492" s="18"/>
      <c r="T492" s="19" t="s">
        <v>512</v>
      </c>
      <c r="U492" s="9" t="str">
        <f t="shared" si="1"/>
        <v>NSE:SAMHI</v>
      </c>
      <c r="V492" s="18"/>
      <c r="W492" s="18"/>
      <c r="X492" s="18"/>
    </row>
    <row r="493">
      <c r="A493" s="20"/>
      <c r="B493" s="3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35"/>
      <c r="N493" s="18"/>
      <c r="O493" s="18"/>
      <c r="P493" s="18"/>
      <c r="Q493" s="34"/>
      <c r="R493" s="18"/>
      <c r="S493" s="18"/>
      <c r="T493" s="19" t="s">
        <v>513</v>
      </c>
      <c r="U493" s="9" t="str">
        <f t="shared" si="1"/>
        <v>NSE:DISHTV</v>
      </c>
      <c r="V493" s="18"/>
      <c r="W493" s="18"/>
      <c r="X493" s="18"/>
    </row>
    <row r="494">
      <c r="A494" s="20"/>
      <c r="B494" s="3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35"/>
      <c r="N494" s="18"/>
      <c r="O494" s="18"/>
      <c r="P494" s="18"/>
      <c r="Q494" s="34"/>
      <c r="R494" s="18"/>
      <c r="S494" s="18"/>
      <c r="T494" s="19" t="s">
        <v>514</v>
      </c>
      <c r="U494" s="9" t="str">
        <f t="shared" si="1"/>
        <v>NSE:GENUSPOWER</v>
      </c>
      <c r="V494" s="18"/>
      <c r="W494" s="18"/>
      <c r="X494" s="18"/>
    </row>
    <row r="495">
      <c r="A495" s="20"/>
      <c r="B495" s="3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35"/>
      <c r="N495" s="18"/>
      <c r="O495" s="18"/>
      <c r="P495" s="18"/>
      <c r="Q495" s="34"/>
      <c r="R495" s="18"/>
      <c r="S495" s="18"/>
      <c r="T495" s="19" t="s">
        <v>515</v>
      </c>
      <c r="U495" s="9" t="str">
        <f t="shared" si="1"/>
        <v>NSE:MFSL</v>
      </c>
      <c r="V495" s="18"/>
      <c r="W495" s="18"/>
      <c r="X495" s="18"/>
    </row>
    <row r="496">
      <c r="A496" s="20"/>
      <c r="B496" s="3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35"/>
      <c r="N496" s="18"/>
      <c r="O496" s="18"/>
      <c r="P496" s="18"/>
      <c r="Q496" s="34"/>
      <c r="R496" s="18"/>
      <c r="S496" s="18"/>
      <c r="T496" s="19" t="s">
        <v>516</v>
      </c>
      <c r="U496" s="9" t="str">
        <f t="shared" si="1"/>
        <v>NSE:GODREJAGRO</v>
      </c>
      <c r="V496" s="18"/>
      <c r="W496" s="18"/>
      <c r="X496" s="18"/>
    </row>
    <row r="497">
      <c r="A497" s="20"/>
      <c r="B497" s="3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35"/>
      <c r="N497" s="18"/>
      <c r="O497" s="18"/>
      <c r="P497" s="18"/>
      <c r="Q497" s="34"/>
      <c r="R497" s="18"/>
      <c r="S497" s="18"/>
      <c r="T497" s="19" t="s">
        <v>517</v>
      </c>
      <c r="U497" s="9" t="str">
        <f t="shared" si="1"/>
        <v>NSE:KIRLOSBROS</v>
      </c>
      <c r="V497" s="18"/>
      <c r="W497" s="18"/>
      <c r="X497" s="18"/>
    </row>
    <row r="498">
      <c r="A498" s="20"/>
      <c r="B498" s="3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35"/>
      <c r="N498" s="18"/>
      <c r="O498" s="18"/>
      <c r="P498" s="18"/>
      <c r="Q498" s="34"/>
      <c r="R498" s="18"/>
      <c r="S498" s="18"/>
      <c r="T498" s="19" t="s">
        <v>518</v>
      </c>
      <c r="U498" s="9" t="str">
        <f t="shared" si="1"/>
        <v>NSE:STLTECH</v>
      </c>
      <c r="V498" s="18"/>
      <c r="W498" s="18"/>
      <c r="X498" s="18"/>
    </row>
    <row r="499">
      <c r="A499" s="20"/>
      <c r="B499" s="3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35"/>
      <c r="N499" s="18"/>
      <c r="O499" s="18"/>
      <c r="P499" s="18"/>
      <c r="Q499" s="34"/>
      <c r="R499" s="18"/>
      <c r="S499" s="18"/>
      <c r="T499" s="19" t="s">
        <v>519</v>
      </c>
      <c r="U499" s="9" t="str">
        <f t="shared" si="1"/>
        <v>NSE:PARAS</v>
      </c>
      <c r="V499" s="18"/>
      <c r="W499" s="18"/>
      <c r="X499" s="18"/>
    </row>
    <row r="500">
      <c r="A500" s="20"/>
      <c r="B500" s="3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35"/>
      <c r="N500" s="18"/>
      <c r="O500" s="18"/>
      <c r="P500" s="18"/>
      <c r="Q500" s="34"/>
      <c r="R500" s="18"/>
      <c r="S500" s="18"/>
      <c r="T500" s="19" t="s">
        <v>520</v>
      </c>
      <c r="U500" s="9" t="str">
        <f t="shared" si="1"/>
        <v>NSE:GLAXO</v>
      </c>
      <c r="V500" s="18"/>
      <c r="W500" s="18"/>
      <c r="X500" s="18"/>
    </row>
    <row r="501">
      <c r="A501" s="20"/>
      <c r="B501" s="3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35"/>
      <c r="N501" s="18"/>
      <c r="O501" s="18"/>
      <c r="P501" s="18"/>
      <c r="Q501" s="34"/>
      <c r="R501" s="18"/>
      <c r="S501" s="18"/>
      <c r="T501" s="19" t="s">
        <v>521</v>
      </c>
      <c r="U501" s="9" t="str">
        <f t="shared" si="1"/>
        <v>NSE:MAHLIFE</v>
      </c>
      <c r="V501" s="18"/>
      <c r="W501" s="18"/>
      <c r="X501" s="18"/>
    </row>
    <row r="502">
      <c r="A502" s="20"/>
      <c r="B502" s="3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35"/>
      <c r="N502" s="18"/>
      <c r="O502" s="18"/>
      <c r="P502" s="18"/>
      <c r="Q502" s="34"/>
      <c r="R502" s="18"/>
      <c r="S502" s="18"/>
      <c r="T502" s="19" t="s">
        <v>522</v>
      </c>
      <c r="U502" s="9" t="str">
        <f t="shared" si="1"/>
        <v>NSE:ITDC</v>
      </c>
      <c r="V502" s="18"/>
      <c r="W502" s="18"/>
      <c r="X502" s="18"/>
    </row>
    <row r="503">
      <c r="A503" s="20"/>
      <c r="B503" s="3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35"/>
      <c r="N503" s="18"/>
      <c r="O503" s="18"/>
      <c r="P503" s="18"/>
      <c r="Q503" s="34"/>
      <c r="R503" s="18"/>
      <c r="S503" s="18"/>
      <c r="T503" s="19" t="s">
        <v>523</v>
      </c>
      <c r="U503" s="9" t="str">
        <f t="shared" si="1"/>
        <v>NSE:NETWEB</v>
      </c>
      <c r="V503" s="18"/>
      <c r="W503" s="18"/>
      <c r="X503" s="18"/>
    </row>
    <row r="504">
      <c r="A504" s="20"/>
      <c r="B504" s="3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35"/>
      <c r="N504" s="18"/>
      <c r="O504" s="18"/>
      <c r="P504" s="18"/>
      <c r="Q504" s="34"/>
      <c r="R504" s="18"/>
      <c r="S504" s="18"/>
      <c r="T504" s="19" t="s">
        <v>524</v>
      </c>
      <c r="U504" s="9" t="str">
        <f t="shared" si="1"/>
        <v>NSE:JISLJALEQS</v>
      </c>
      <c r="V504" s="18"/>
      <c r="W504" s="18"/>
      <c r="X504" s="18"/>
    </row>
    <row r="505">
      <c r="A505" s="20"/>
      <c r="B505" s="3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35"/>
      <c r="N505" s="18"/>
      <c r="O505" s="18"/>
      <c r="P505" s="18"/>
      <c r="Q505" s="34"/>
      <c r="R505" s="18"/>
      <c r="S505" s="18"/>
      <c r="T505" s="19" t="s">
        <v>525</v>
      </c>
      <c r="U505" s="9" t="str">
        <f t="shared" si="1"/>
        <v>NSE:GILLETTE</v>
      </c>
      <c r="V505" s="18"/>
      <c r="W505" s="18"/>
      <c r="X505" s="18"/>
    </row>
    <row r="506">
      <c r="A506" s="20"/>
      <c r="B506" s="3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35"/>
      <c r="N506" s="18"/>
      <c r="O506" s="18"/>
      <c r="P506" s="18"/>
      <c r="Q506" s="34"/>
      <c r="R506" s="18"/>
      <c r="S506" s="18"/>
      <c r="T506" s="19" t="s">
        <v>526</v>
      </c>
      <c r="U506" s="9" t="str">
        <f t="shared" si="1"/>
        <v>NSE:IPCALAB</v>
      </c>
      <c r="V506" s="18"/>
      <c r="W506" s="18"/>
      <c r="X506" s="18"/>
    </row>
    <row r="507">
      <c r="A507" s="20"/>
      <c r="B507" s="3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35"/>
      <c r="N507" s="18"/>
      <c r="O507" s="18"/>
      <c r="P507" s="18"/>
      <c r="Q507" s="34"/>
      <c r="R507" s="18"/>
      <c r="S507" s="18"/>
      <c r="T507" s="19" t="s">
        <v>527</v>
      </c>
      <c r="U507" s="9" t="str">
        <f t="shared" si="1"/>
        <v>NSE:MOIL</v>
      </c>
      <c r="V507" s="18"/>
      <c r="W507" s="18"/>
      <c r="X507" s="18"/>
    </row>
    <row r="508">
      <c r="A508" s="20"/>
      <c r="B508" s="3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35"/>
      <c r="N508" s="18"/>
      <c r="O508" s="18"/>
      <c r="P508" s="18"/>
      <c r="Q508" s="34"/>
      <c r="R508" s="18"/>
      <c r="S508" s="18"/>
      <c r="T508" s="19" t="s">
        <v>528</v>
      </c>
      <c r="U508" s="9" t="str">
        <f t="shared" si="1"/>
        <v>NSE:CUB</v>
      </c>
      <c r="V508" s="18"/>
      <c r="W508" s="18"/>
      <c r="X508" s="18"/>
    </row>
    <row r="509">
      <c r="A509" s="20"/>
      <c r="B509" s="3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35"/>
      <c r="N509" s="18"/>
      <c r="O509" s="18"/>
      <c r="P509" s="18"/>
      <c r="Q509" s="34"/>
      <c r="R509" s="18"/>
      <c r="S509" s="18"/>
      <c r="T509" s="19" t="s">
        <v>529</v>
      </c>
      <c r="U509" s="9" t="str">
        <f t="shared" si="1"/>
        <v>NSE:ABBOTINDIA</v>
      </c>
      <c r="V509" s="18"/>
      <c r="W509" s="18"/>
      <c r="X509" s="18"/>
    </row>
    <row r="510">
      <c r="A510" s="20"/>
      <c r="B510" s="3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35"/>
      <c r="N510" s="18"/>
      <c r="O510" s="18"/>
      <c r="P510" s="18"/>
      <c r="Q510" s="34"/>
      <c r="R510" s="18"/>
      <c r="S510" s="18"/>
      <c r="T510" s="19" t="s">
        <v>530</v>
      </c>
      <c r="U510" s="9" t="str">
        <f t="shared" si="1"/>
        <v>NSE:THANGAMAYL</v>
      </c>
      <c r="V510" s="18"/>
      <c r="W510" s="18"/>
      <c r="X510" s="18"/>
    </row>
    <row r="511">
      <c r="A511" s="20"/>
      <c r="B511" s="3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35"/>
      <c r="N511" s="18"/>
      <c r="O511" s="18"/>
      <c r="P511" s="18"/>
      <c r="Q511" s="34"/>
      <c r="R511" s="18"/>
      <c r="S511" s="18"/>
      <c r="T511" s="19" t="s">
        <v>531</v>
      </c>
      <c r="U511" s="9" t="str">
        <f t="shared" si="1"/>
        <v>NSE:IONEXCHANG</v>
      </c>
      <c r="V511" s="18"/>
      <c r="W511" s="18"/>
      <c r="X511" s="18"/>
    </row>
    <row r="512">
      <c r="A512" s="20"/>
      <c r="B512" s="3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35"/>
      <c r="N512" s="18"/>
      <c r="O512" s="18"/>
      <c r="P512" s="18"/>
      <c r="Q512" s="34"/>
      <c r="R512" s="18"/>
      <c r="S512" s="18"/>
      <c r="T512" s="19" t="s">
        <v>532</v>
      </c>
      <c r="U512" s="9" t="str">
        <f t="shared" si="1"/>
        <v>NSE:ASTRAMICRO</v>
      </c>
      <c r="V512" s="18"/>
      <c r="W512" s="18"/>
      <c r="X512" s="18"/>
    </row>
    <row r="513">
      <c r="A513" s="20"/>
      <c r="B513" s="3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35"/>
      <c r="N513" s="18"/>
      <c r="O513" s="18"/>
      <c r="P513" s="18"/>
      <c r="Q513" s="34"/>
      <c r="R513" s="18"/>
      <c r="S513" s="18"/>
      <c r="T513" s="19" t="s">
        <v>533</v>
      </c>
      <c r="U513" s="9" t="str">
        <f t="shared" si="1"/>
        <v>NSE:DCXINDIA</v>
      </c>
      <c r="V513" s="18"/>
      <c r="W513" s="18"/>
      <c r="X513" s="18"/>
    </row>
    <row r="514">
      <c r="A514" s="20"/>
      <c r="B514" s="3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35"/>
      <c r="N514" s="18"/>
      <c r="O514" s="18"/>
      <c r="P514" s="18"/>
      <c r="Q514" s="34"/>
      <c r="R514" s="18"/>
      <c r="S514" s="18"/>
      <c r="T514" s="19" t="s">
        <v>534</v>
      </c>
      <c r="U514" s="9" t="str">
        <f t="shared" si="1"/>
        <v>NSE:GMRP&amp;UI</v>
      </c>
      <c r="V514" s="18"/>
      <c r="W514" s="18"/>
      <c r="X514" s="18"/>
    </row>
    <row r="515">
      <c r="A515" s="20"/>
      <c r="B515" s="3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35"/>
      <c r="N515" s="18"/>
      <c r="O515" s="18"/>
      <c r="P515" s="18"/>
      <c r="Q515" s="34"/>
      <c r="R515" s="18"/>
      <c r="S515" s="18"/>
      <c r="T515" s="19" t="s">
        <v>535</v>
      </c>
      <c r="U515" s="9" t="str">
        <f t="shared" si="1"/>
        <v>NSE:IKS</v>
      </c>
      <c r="V515" s="18"/>
      <c r="W515" s="18"/>
      <c r="X515" s="18"/>
    </row>
    <row r="516">
      <c r="A516" s="20"/>
      <c r="B516" s="3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35"/>
      <c r="N516" s="18"/>
      <c r="O516" s="18"/>
      <c r="P516" s="18"/>
      <c r="Q516" s="34"/>
      <c r="R516" s="18"/>
      <c r="S516" s="18"/>
      <c r="T516" s="19" t="s">
        <v>536</v>
      </c>
      <c r="U516" s="9" t="str">
        <f t="shared" si="1"/>
        <v>NSE:KTKBANK</v>
      </c>
      <c r="V516" s="18"/>
      <c r="W516" s="18"/>
      <c r="X516" s="18"/>
    </row>
    <row r="517">
      <c r="A517" s="20"/>
      <c r="B517" s="3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35"/>
      <c r="N517" s="18"/>
      <c r="O517" s="18"/>
      <c r="P517" s="18"/>
      <c r="Q517" s="34"/>
      <c r="R517" s="18"/>
      <c r="S517" s="18"/>
      <c r="T517" s="19" t="s">
        <v>537</v>
      </c>
      <c r="U517" s="9" t="str">
        <f t="shared" si="1"/>
        <v>NSE:GANDHITUBE</v>
      </c>
      <c r="V517" s="18"/>
      <c r="W517" s="18"/>
      <c r="X517" s="18"/>
    </row>
    <row r="518">
      <c r="A518" s="20"/>
      <c r="B518" s="3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35"/>
      <c r="N518" s="18"/>
      <c r="O518" s="18"/>
      <c r="P518" s="18"/>
      <c r="Q518" s="34"/>
      <c r="R518" s="18"/>
      <c r="S518" s="18"/>
      <c r="T518" s="19" t="s">
        <v>538</v>
      </c>
      <c r="U518" s="9" t="str">
        <f t="shared" si="1"/>
        <v>NSE:FIVESTAR</v>
      </c>
      <c r="V518" s="18"/>
      <c r="W518" s="18"/>
      <c r="X518" s="18"/>
    </row>
    <row r="519">
      <c r="A519" s="20"/>
      <c r="B519" s="3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35"/>
      <c r="N519" s="18"/>
      <c r="O519" s="18"/>
      <c r="P519" s="18"/>
      <c r="Q519" s="34"/>
      <c r="R519" s="18"/>
      <c r="S519" s="18"/>
      <c r="T519" s="19" t="s">
        <v>539</v>
      </c>
      <c r="U519" s="9" t="str">
        <f t="shared" si="1"/>
        <v>NSE:HOMEFIRST</v>
      </c>
      <c r="V519" s="18"/>
      <c r="W519" s="18"/>
      <c r="X519" s="18"/>
    </row>
    <row r="520">
      <c r="A520" s="20"/>
      <c r="B520" s="3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35"/>
      <c r="N520" s="18"/>
      <c r="O520" s="18"/>
      <c r="P520" s="18"/>
      <c r="Q520" s="34"/>
      <c r="R520" s="18"/>
      <c r="S520" s="18"/>
      <c r="T520" s="19" t="s">
        <v>540</v>
      </c>
      <c r="U520" s="9" t="str">
        <f t="shared" si="1"/>
        <v>NSE:JSWHL</v>
      </c>
      <c r="V520" s="18"/>
      <c r="W520" s="18"/>
      <c r="X520" s="18"/>
    </row>
    <row r="521">
      <c r="A521" s="20"/>
      <c r="B521" s="3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35"/>
      <c r="N521" s="18"/>
      <c r="O521" s="18"/>
      <c r="P521" s="18"/>
      <c r="Q521" s="34"/>
      <c r="R521" s="18"/>
      <c r="S521" s="18"/>
      <c r="T521" s="19" t="s">
        <v>541</v>
      </c>
      <c r="U521" s="9" t="str">
        <f t="shared" si="1"/>
        <v>NSE:NAZARA</v>
      </c>
      <c r="V521" s="18"/>
      <c r="W521" s="18"/>
      <c r="X521" s="18"/>
    </row>
    <row r="522">
      <c r="A522" s="20"/>
      <c r="B522" s="3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35"/>
      <c r="N522" s="18"/>
      <c r="O522" s="18"/>
      <c r="P522" s="18"/>
      <c r="Q522" s="34"/>
      <c r="R522" s="18"/>
      <c r="S522" s="18"/>
      <c r="T522" s="19" t="s">
        <v>542</v>
      </c>
      <c r="U522" s="9" t="str">
        <f t="shared" si="1"/>
        <v>NSE:GODIGIT</v>
      </c>
      <c r="V522" s="18"/>
      <c r="W522" s="18"/>
      <c r="X522" s="18"/>
    </row>
    <row r="523">
      <c r="A523" s="20"/>
      <c r="B523" s="3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35"/>
      <c r="N523" s="18"/>
      <c r="O523" s="18"/>
      <c r="P523" s="18"/>
      <c r="Q523" s="34"/>
      <c r="R523" s="18"/>
      <c r="S523" s="18"/>
      <c r="T523" s="19" t="s">
        <v>543</v>
      </c>
      <c r="U523" s="9" t="str">
        <f t="shared" si="1"/>
        <v>NSE:PFIZER</v>
      </c>
      <c r="V523" s="18"/>
      <c r="W523" s="18"/>
      <c r="X523" s="18"/>
    </row>
    <row r="524">
      <c r="A524" s="20"/>
      <c r="B524" s="3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35"/>
      <c r="N524" s="18"/>
      <c r="O524" s="18"/>
      <c r="P524" s="18"/>
      <c r="Q524" s="34"/>
      <c r="R524" s="18"/>
      <c r="S524" s="18"/>
      <c r="T524" s="19" t="s">
        <v>544</v>
      </c>
      <c r="U524" s="9" t="str">
        <f t="shared" si="1"/>
        <v>NSE:SUVENPHAR</v>
      </c>
      <c r="V524" s="18"/>
      <c r="W524" s="18"/>
      <c r="X524" s="18"/>
    </row>
    <row r="525">
      <c r="A525" s="20"/>
      <c r="B525" s="3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35"/>
      <c r="N525" s="18"/>
      <c r="O525" s="18"/>
      <c r="P525" s="18"/>
      <c r="Q525" s="34"/>
      <c r="R525" s="18"/>
      <c r="S525" s="18"/>
      <c r="T525" s="19" t="s">
        <v>545</v>
      </c>
      <c r="U525" s="9" t="str">
        <f t="shared" si="1"/>
        <v>NSE:LIQUID</v>
      </c>
      <c r="V525" s="18"/>
      <c r="W525" s="18"/>
      <c r="X525" s="18"/>
    </row>
    <row r="526">
      <c r="A526" s="20"/>
      <c r="B526" s="3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35"/>
      <c r="N526" s="18"/>
      <c r="O526" s="18"/>
      <c r="P526" s="18"/>
      <c r="Q526" s="34"/>
      <c r="R526" s="18"/>
      <c r="S526" s="18"/>
      <c r="T526" s="19" t="s">
        <v>546</v>
      </c>
      <c r="U526" s="9" t="str">
        <f t="shared" si="1"/>
        <v>NSE:CEATLTD</v>
      </c>
      <c r="V526" s="18"/>
      <c r="W526" s="18"/>
      <c r="X526" s="18"/>
    </row>
    <row r="527">
      <c r="A527" s="20"/>
      <c r="B527" s="3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35"/>
      <c r="N527" s="18"/>
      <c r="O527" s="18"/>
      <c r="P527" s="18"/>
      <c r="Q527" s="34"/>
      <c r="R527" s="18"/>
      <c r="S527" s="18"/>
      <c r="T527" s="19" t="s">
        <v>547</v>
      </c>
      <c r="U527" s="9" t="str">
        <f t="shared" si="1"/>
        <v>NSE:NOCIL</v>
      </c>
      <c r="V527" s="18"/>
      <c r="W527" s="18"/>
      <c r="X527" s="18"/>
    </row>
    <row r="528">
      <c r="A528" s="20"/>
      <c r="B528" s="3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35"/>
      <c r="N528" s="18"/>
      <c r="O528" s="18"/>
      <c r="P528" s="18"/>
      <c r="Q528" s="34"/>
      <c r="R528" s="18"/>
      <c r="S528" s="18"/>
      <c r="T528" s="19" t="s">
        <v>548</v>
      </c>
      <c r="U528" s="9" t="str">
        <f t="shared" si="1"/>
        <v>NSE:MTARTECH</v>
      </c>
      <c r="V528" s="18"/>
      <c r="W528" s="18"/>
      <c r="X528" s="18"/>
    </row>
    <row r="529">
      <c r="A529" s="20"/>
      <c r="B529" s="3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35"/>
      <c r="N529" s="18"/>
      <c r="O529" s="18"/>
      <c r="P529" s="18"/>
      <c r="Q529" s="34"/>
      <c r="R529" s="18"/>
      <c r="S529" s="18"/>
      <c r="T529" s="19" t="s">
        <v>549</v>
      </c>
      <c r="U529" s="9" t="str">
        <f t="shared" si="1"/>
        <v>NSE:CHOICEIN</v>
      </c>
      <c r="V529" s="18"/>
      <c r="W529" s="18"/>
      <c r="X529" s="18"/>
    </row>
    <row r="530">
      <c r="A530" s="20"/>
      <c r="B530" s="3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35"/>
      <c r="N530" s="18"/>
      <c r="O530" s="18"/>
      <c r="P530" s="18"/>
      <c r="Q530" s="34"/>
      <c r="R530" s="18"/>
      <c r="S530" s="18"/>
      <c r="T530" s="19" t="s">
        <v>550</v>
      </c>
      <c r="U530" s="9" t="str">
        <f t="shared" si="1"/>
        <v>NSE:FMGOETZE</v>
      </c>
      <c r="V530" s="18"/>
      <c r="W530" s="18"/>
      <c r="X530" s="18"/>
    </row>
    <row r="531">
      <c r="A531" s="20"/>
      <c r="B531" s="3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35"/>
      <c r="N531" s="18"/>
      <c r="O531" s="18"/>
      <c r="P531" s="18"/>
      <c r="Q531" s="34"/>
      <c r="R531" s="18"/>
      <c r="S531" s="18"/>
      <c r="T531" s="19" t="s">
        <v>551</v>
      </c>
      <c r="U531" s="9" t="str">
        <f t="shared" si="1"/>
        <v>NSE:DCMSHRIRAM</v>
      </c>
      <c r="V531" s="18"/>
      <c r="W531" s="18"/>
      <c r="X531" s="18"/>
    </row>
    <row r="532">
      <c r="A532" s="20"/>
      <c r="B532" s="3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35"/>
      <c r="N532" s="18"/>
      <c r="O532" s="18"/>
      <c r="P532" s="18"/>
      <c r="Q532" s="34"/>
      <c r="R532" s="18"/>
      <c r="S532" s="18"/>
      <c r="T532" s="19" t="s">
        <v>552</v>
      </c>
      <c r="U532" s="9" t="str">
        <f t="shared" si="1"/>
        <v>NSE:TI</v>
      </c>
      <c r="V532" s="18"/>
      <c r="W532" s="18"/>
      <c r="X532" s="18"/>
    </row>
    <row r="533">
      <c r="A533" s="20"/>
      <c r="B533" s="3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35"/>
      <c r="N533" s="18"/>
      <c r="O533" s="18"/>
      <c r="P533" s="18"/>
      <c r="Q533" s="34"/>
      <c r="R533" s="18"/>
      <c r="S533" s="18"/>
      <c r="T533" s="19" t="s">
        <v>553</v>
      </c>
      <c r="U533" s="9" t="str">
        <f t="shared" si="1"/>
        <v>NSE:GRMOVER</v>
      </c>
      <c r="V533" s="18"/>
      <c r="W533" s="18"/>
      <c r="X533" s="18"/>
    </row>
    <row r="534">
      <c r="A534" s="20"/>
      <c r="B534" s="3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35"/>
      <c r="N534" s="18"/>
      <c r="O534" s="18"/>
      <c r="P534" s="18"/>
      <c r="Q534" s="34"/>
      <c r="R534" s="18"/>
      <c r="S534" s="18"/>
      <c r="T534" s="19" t="s">
        <v>554</v>
      </c>
      <c r="U534" s="9" t="str">
        <f t="shared" si="1"/>
        <v>NSE:EMSLIMITED</v>
      </c>
      <c r="V534" s="18"/>
      <c r="W534" s="18"/>
      <c r="X534" s="18"/>
    </row>
    <row r="535">
      <c r="A535" s="20"/>
      <c r="B535" s="3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35"/>
      <c r="N535" s="18"/>
      <c r="O535" s="18"/>
      <c r="P535" s="18"/>
      <c r="Q535" s="34"/>
      <c r="R535" s="18"/>
      <c r="S535" s="18"/>
      <c r="T535" s="19" t="s">
        <v>555</v>
      </c>
      <c r="U535" s="9" t="str">
        <f t="shared" si="1"/>
        <v>NSE:NIFTYIETF</v>
      </c>
      <c r="V535" s="18"/>
      <c r="W535" s="18"/>
      <c r="X535" s="18"/>
    </row>
    <row r="536">
      <c r="A536" s="20"/>
      <c r="B536" s="3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35"/>
      <c r="N536" s="18"/>
      <c r="O536" s="18"/>
      <c r="P536" s="18"/>
      <c r="Q536" s="34"/>
      <c r="R536" s="18"/>
      <c r="S536" s="18"/>
      <c r="T536" s="19" t="s">
        <v>556</v>
      </c>
      <c r="U536" s="9" t="str">
        <f t="shared" si="1"/>
        <v>NSE:ITBEES</v>
      </c>
      <c r="V536" s="18"/>
      <c r="W536" s="18"/>
      <c r="X536" s="18"/>
    </row>
    <row r="537">
      <c r="A537" s="20"/>
      <c r="B537" s="3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35"/>
      <c r="N537" s="18"/>
      <c r="O537" s="18"/>
      <c r="P537" s="18"/>
      <c r="Q537" s="34"/>
      <c r="R537" s="18"/>
      <c r="S537" s="18"/>
      <c r="T537" s="19" t="s">
        <v>557</v>
      </c>
      <c r="U537" s="9" t="str">
        <f t="shared" si="1"/>
        <v>NSE:CAPACITE</v>
      </c>
      <c r="V537" s="18"/>
      <c r="W537" s="18"/>
      <c r="X537" s="18"/>
    </row>
    <row r="538">
      <c r="A538" s="20"/>
      <c r="B538" s="3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35"/>
      <c r="N538" s="18"/>
      <c r="O538" s="18"/>
      <c r="P538" s="18"/>
      <c r="Q538" s="34"/>
      <c r="R538" s="18"/>
      <c r="S538" s="18"/>
      <c r="T538" s="19" t="s">
        <v>558</v>
      </c>
      <c r="U538" s="9" t="str">
        <f t="shared" si="1"/>
        <v>NSE:EPL</v>
      </c>
      <c r="V538" s="18"/>
      <c r="W538" s="18"/>
      <c r="X538" s="18"/>
    </row>
    <row r="539">
      <c r="A539" s="20"/>
      <c r="B539" s="3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35"/>
      <c r="N539" s="18"/>
      <c r="O539" s="18"/>
      <c r="P539" s="18"/>
      <c r="Q539" s="34"/>
      <c r="R539" s="18"/>
      <c r="S539" s="18"/>
      <c r="T539" s="19" t="s">
        <v>559</v>
      </c>
      <c r="U539" s="9" t="str">
        <f t="shared" si="1"/>
        <v>NSE:CARERATING</v>
      </c>
      <c r="V539" s="18"/>
      <c r="W539" s="18"/>
      <c r="X539" s="18"/>
    </row>
    <row r="540">
      <c r="A540" s="20"/>
      <c r="B540" s="3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35"/>
      <c r="N540" s="18"/>
      <c r="O540" s="18"/>
      <c r="P540" s="18"/>
      <c r="Q540" s="34"/>
      <c r="R540" s="18"/>
      <c r="S540" s="18"/>
      <c r="T540" s="19" t="s">
        <v>560</v>
      </c>
      <c r="U540" s="9" t="str">
        <f t="shared" si="1"/>
        <v>NSE:MOREPENLAB</v>
      </c>
      <c r="V540" s="18"/>
      <c r="W540" s="18"/>
      <c r="X540" s="18"/>
    </row>
    <row r="541">
      <c r="A541" s="20"/>
      <c r="B541" s="3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35"/>
      <c r="N541" s="18"/>
      <c r="O541" s="18"/>
      <c r="P541" s="18"/>
      <c r="Q541" s="34"/>
      <c r="R541" s="18"/>
      <c r="S541" s="18"/>
      <c r="T541" s="19" t="s">
        <v>561</v>
      </c>
      <c r="U541" s="9" t="str">
        <f t="shared" si="1"/>
        <v>NSE:NSLNISP</v>
      </c>
      <c r="V541" s="18"/>
      <c r="W541" s="18"/>
      <c r="X541" s="18"/>
    </row>
    <row r="542">
      <c r="A542" s="20"/>
      <c r="B542" s="3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35"/>
      <c r="N542" s="18"/>
      <c r="O542" s="18"/>
      <c r="P542" s="18"/>
      <c r="Q542" s="34"/>
      <c r="R542" s="18"/>
      <c r="S542" s="18"/>
      <c r="T542" s="19" t="s">
        <v>562</v>
      </c>
      <c r="U542" s="9" t="str">
        <f t="shared" si="1"/>
        <v>NSE:MAXESTATES</v>
      </c>
      <c r="V542" s="18"/>
      <c r="W542" s="18"/>
      <c r="X542" s="18"/>
    </row>
    <row r="543">
      <c r="A543" s="20"/>
      <c r="B543" s="3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35"/>
      <c r="N543" s="18"/>
      <c r="O543" s="18"/>
      <c r="P543" s="18"/>
      <c r="Q543" s="34"/>
      <c r="R543" s="18"/>
      <c r="S543" s="18"/>
      <c r="T543" s="19" t="s">
        <v>563</v>
      </c>
      <c r="U543" s="9" t="str">
        <f t="shared" si="1"/>
        <v>NSE:METROPOLIS</v>
      </c>
      <c r="V543" s="18"/>
      <c r="W543" s="18"/>
      <c r="X543" s="18"/>
    </row>
    <row r="544">
      <c r="A544" s="20"/>
      <c r="B544" s="3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35"/>
      <c r="N544" s="18"/>
      <c r="O544" s="18"/>
      <c r="P544" s="18"/>
      <c r="Q544" s="34"/>
      <c r="R544" s="18"/>
      <c r="S544" s="18"/>
      <c r="T544" s="19" t="s">
        <v>564</v>
      </c>
      <c r="U544" s="9" t="str">
        <f t="shared" si="1"/>
        <v>NSE:LALPATHLAB</v>
      </c>
      <c r="V544" s="18"/>
      <c r="W544" s="18"/>
      <c r="X544" s="18"/>
    </row>
    <row r="545">
      <c r="A545" s="20"/>
      <c r="B545" s="3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35"/>
      <c r="N545" s="18"/>
      <c r="O545" s="18"/>
      <c r="P545" s="18"/>
      <c r="Q545" s="34"/>
      <c r="R545" s="18"/>
      <c r="S545" s="18"/>
      <c r="T545" s="19" t="s">
        <v>565</v>
      </c>
      <c r="U545" s="9" t="str">
        <f t="shared" si="1"/>
        <v>NSE:ARVINDFASN</v>
      </c>
      <c r="V545" s="18"/>
      <c r="W545" s="18"/>
      <c r="X545" s="18"/>
    </row>
    <row r="546">
      <c r="A546" s="20"/>
      <c r="B546" s="3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35"/>
      <c r="N546" s="18"/>
      <c r="O546" s="18"/>
      <c r="P546" s="18"/>
      <c r="Q546" s="34"/>
      <c r="R546" s="18"/>
      <c r="S546" s="18"/>
      <c r="T546" s="19" t="s">
        <v>566</v>
      </c>
      <c r="U546" s="9" t="str">
        <f t="shared" si="1"/>
        <v>NSE:LATENTVIEW</v>
      </c>
      <c r="V546" s="18"/>
      <c r="W546" s="18"/>
      <c r="X546" s="18"/>
    </row>
    <row r="547">
      <c r="A547" s="20"/>
      <c r="B547" s="3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35"/>
      <c r="N547" s="18"/>
      <c r="O547" s="18"/>
      <c r="P547" s="18"/>
      <c r="Q547" s="34"/>
      <c r="R547" s="18"/>
      <c r="S547" s="18"/>
      <c r="T547" s="19" t="s">
        <v>567</v>
      </c>
      <c r="U547" s="9" t="str">
        <f t="shared" si="1"/>
        <v>NSE:TANLA</v>
      </c>
      <c r="V547" s="18"/>
      <c r="W547" s="18"/>
      <c r="X547" s="18"/>
    </row>
    <row r="548">
      <c r="A548" s="20"/>
      <c r="B548" s="3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35"/>
      <c r="N548" s="18"/>
      <c r="O548" s="18"/>
      <c r="P548" s="18"/>
      <c r="Q548" s="34"/>
      <c r="R548" s="18"/>
      <c r="S548" s="18"/>
      <c r="T548" s="19" t="s">
        <v>568</v>
      </c>
      <c r="U548" s="9" t="str">
        <f t="shared" si="1"/>
        <v>NSE:WELENT</v>
      </c>
      <c r="V548" s="18"/>
      <c r="W548" s="18"/>
      <c r="X548" s="18"/>
    </row>
    <row r="549">
      <c r="A549" s="20"/>
      <c r="B549" s="3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35"/>
      <c r="N549" s="18"/>
      <c r="O549" s="18"/>
      <c r="P549" s="18"/>
      <c r="Q549" s="34"/>
      <c r="R549" s="18"/>
      <c r="S549" s="18"/>
      <c r="T549" s="19" t="s">
        <v>569</v>
      </c>
      <c r="U549" s="9" t="str">
        <f t="shared" si="1"/>
        <v>NSE:APTUS</v>
      </c>
      <c r="V549" s="18"/>
      <c r="W549" s="18"/>
      <c r="X549" s="18"/>
    </row>
    <row r="550">
      <c r="A550" s="20"/>
      <c r="B550" s="3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35"/>
      <c r="N550" s="18"/>
      <c r="O550" s="18"/>
      <c r="P550" s="18"/>
      <c r="Q550" s="34"/>
      <c r="R550" s="18"/>
      <c r="S550" s="18"/>
      <c r="T550" s="19" t="s">
        <v>570</v>
      </c>
      <c r="U550" s="9" t="str">
        <f t="shared" si="1"/>
        <v>NSE:MEDANTA</v>
      </c>
      <c r="V550" s="18"/>
      <c r="W550" s="18"/>
      <c r="X550" s="18"/>
    </row>
    <row r="551">
      <c r="A551" s="20"/>
      <c r="B551" s="3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35"/>
      <c r="N551" s="18"/>
      <c r="O551" s="18"/>
      <c r="P551" s="18"/>
      <c r="Q551" s="34"/>
      <c r="R551" s="18"/>
      <c r="S551" s="18"/>
      <c r="T551" s="19" t="s">
        <v>571</v>
      </c>
      <c r="U551" s="9" t="str">
        <f t="shared" si="1"/>
        <v>NSE:PATELENG</v>
      </c>
      <c r="V551" s="18"/>
      <c r="W551" s="18"/>
      <c r="X551" s="18"/>
    </row>
    <row r="552">
      <c r="A552" s="20"/>
      <c r="B552" s="3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35"/>
      <c r="N552" s="18"/>
      <c r="O552" s="18"/>
      <c r="P552" s="18"/>
      <c r="Q552" s="34"/>
      <c r="R552" s="18"/>
      <c r="S552" s="18"/>
      <c r="T552" s="19" t="s">
        <v>572</v>
      </c>
      <c r="U552" s="9" t="str">
        <f t="shared" si="1"/>
        <v>NSE:SUYOG</v>
      </c>
      <c r="V552" s="18"/>
      <c r="W552" s="18"/>
      <c r="X552" s="18"/>
    </row>
    <row r="553">
      <c r="A553" s="20"/>
      <c r="B553" s="3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35"/>
      <c r="N553" s="18"/>
      <c r="O553" s="18"/>
      <c r="P553" s="18"/>
      <c r="Q553" s="34"/>
      <c r="R553" s="18"/>
      <c r="S553" s="18"/>
      <c r="T553" s="19" t="s">
        <v>573</v>
      </c>
      <c r="U553" s="9" t="str">
        <f t="shared" si="1"/>
        <v>NSE:JSFB</v>
      </c>
      <c r="V553" s="18"/>
      <c r="W553" s="18"/>
      <c r="X553" s="18"/>
    </row>
    <row r="554">
      <c r="A554" s="20"/>
      <c r="B554" s="3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35"/>
      <c r="N554" s="18"/>
      <c r="O554" s="18"/>
      <c r="P554" s="18"/>
      <c r="Q554" s="34"/>
      <c r="R554" s="18"/>
      <c r="S554" s="18"/>
      <c r="T554" s="19" t="s">
        <v>574</v>
      </c>
      <c r="U554" s="9" t="str">
        <f t="shared" si="1"/>
        <v>NSE:HONDAPOWER</v>
      </c>
      <c r="V554" s="18"/>
      <c r="W554" s="18"/>
      <c r="X554" s="18"/>
    </row>
    <row r="555">
      <c r="A555" s="20"/>
      <c r="B555" s="3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35"/>
      <c r="N555" s="18"/>
      <c r="O555" s="18"/>
      <c r="P555" s="18"/>
      <c r="Q555" s="34"/>
      <c r="R555" s="18"/>
      <c r="S555" s="18"/>
      <c r="T555" s="19" t="s">
        <v>575</v>
      </c>
      <c r="U555" s="9" t="str">
        <f t="shared" si="1"/>
        <v>NSE:JUBLINGREA</v>
      </c>
      <c r="V555" s="18"/>
      <c r="W555" s="18"/>
      <c r="X555" s="18"/>
    </row>
    <row r="556">
      <c r="A556" s="20"/>
      <c r="B556" s="3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35"/>
      <c r="N556" s="18"/>
      <c r="O556" s="18"/>
      <c r="P556" s="18"/>
      <c r="Q556" s="34"/>
      <c r="R556" s="18"/>
      <c r="S556" s="18"/>
      <c r="T556" s="19" t="s">
        <v>576</v>
      </c>
      <c r="U556" s="9" t="str">
        <f t="shared" si="1"/>
        <v>NSE:ATUL</v>
      </c>
      <c r="V556" s="18"/>
      <c r="W556" s="18"/>
      <c r="X556" s="18"/>
    </row>
    <row r="557">
      <c r="A557" s="20"/>
      <c r="B557" s="3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35"/>
      <c r="N557" s="18"/>
      <c r="O557" s="18"/>
      <c r="P557" s="18"/>
      <c r="Q557" s="34"/>
      <c r="R557" s="18"/>
      <c r="S557" s="18"/>
      <c r="T557" s="19" t="s">
        <v>577</v>
      </c>
      <c r="U557" s="9" t="str">
        <f t="shared" si="1"/>
        <v>NSE:MANYAVAR</v>
      </c>
      <c r="V557" s="18"/>
      <c r="W557" s="18"/>
      <c r="X557" s="18"/>
    </row>
    <row r="558">
      <c r="A558" s="20"/>
      <c r="B558" s="3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35"/>
      <c r="N558" s="18"/>
      <c r="O558" s="18"/>
      <c r="P558" s="18"/>
      <c r="Q558" s="34"/>
      <c r="R558" s="18"/>
      <c r="S558" s="18"/>
      <c r="T558" s="19" t="s">
        <v>578</v>
      </c>
      <c r="U558" s="9" t="str">
        <f t="shared" si="1"/>
        <v>NSE:BATAINDIA</v>
      </c>
      <c r="V558" s="18"/>
      <c r="W558" s="18"/>
      <c r="X558" s="18"/>
    </row>
    <row r="559">
      <c r="A559" s="20"/>
      <c r="B559" s="3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35"/>
      <c r="N559" s="18"/>
      <c r="O559" s="18"/>
      <c r="P559" s="18"/>
      <c r="Q559" s="34"/>
      <c r="R559" s="18"/>
      <c r="S559" s="18"/>
      <c r="T559" s="19" t="s">
        <v>579</v>
      </c>
      <c r="U559" s="9" t="str">
        <f t="shared" si="1"/>
        <v>NSE:NEOGEN</v>
      </c>
      <c r="V559" s="18"/>
      <c r="W559" s="18"/>
      <c r="X559" s="18"/>
    </row>
    <row r="560">
      <c r="A560" s="20"/>
      <c r="B560" s="3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35"/>
      <c r="N560" s="18"/>
      <c r="O560" s="18"/>
      <c r="P560" s="18"/>
      <c r="Q560" s="34"/>
      <c r="R560" s="18"/>
      <c r="S560" s="18"/>
      <c r="T560" s="19" t="s">
        <v>580</v>
      </c>
      <c r="U560" s="9" t="str">
        <f t="shared" si="1"/>
        <v>NSE:REDTAPE</v>
      </c>
      <c r="V560" s="18"/>
      <c r="W560" s="18"/>
      <c r="X560" s="18"/>
    </row>
    <row r="561">
      <c r="A561" s="20"/>
      <c r="B561" s="3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35"/>
      <c r="N561" s="18"/>
      <c r="O561" s="18"/>
      <c r="P561" s="18"/>
      <c r="Q561" s="34"/>
      <c r="R561" s="18"/>
      <c r="S561" s="18"/>
      <c r="T561" s="19" t="s">
        <v>581</v>
      </c>
      <c r="U561" s="9" t="str">
        <f t="shared" si="1"/>
        <v>NSE:CENTRALBK</v>
      </c>
      <c r="V561" s="18"/>
      <c r="W561" s="18"/>
      <c r="X561" s="18"/>
    </row>
    <row r="562">
      <c r="A562" s="20"/>
      <c r="B562" s="3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35"/>
      <c r="N562" s="18"/>
      <c r="O562" s="18"/>
      <c r="P562" s="18"/>
      <c r="Q562" s="34"/>
      <c r="R562" s="18"/>
      <c r="S562" s="18"/>
      <c r="T562" s="19" t="s">
        <v>582</v>
      </c>
      <c r="U562" s="9" t="str">
        <f t="shared" si="1"/>
        <v>NSE:AGARWALEYE</v>
      </c>
      <c r="V562" s="18"/>
      <c r="W562" s="18"/>
      <c r="X562" s="18"/>
    </row>
    <row r="563">
      <c r="A563" s="20"/>
      <c r="B563" s="3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35"/>
      <c r="N563" s="18"/>
      <c r="O563" s="18"/>
      <c r="P563" s="18"/>
      <c r="Q563" s="34"/>
      <c r="R563" s="18"/>
      <c r="S563" s="18"/>
      <c r="T563" s="19" t="s">
        <v>583</v>
      </c>
      <c r="U563" s="9" t="str">
        <f t="shared" si="1"/>
        <v>NSE:INOXINDIA</v>
      </c>
      <c r="V563" s="18"/>
      <c r="W563" s="18"/>
      <c r="X563" s="18"/>
    </row>
    <row r="564">
      <c r="A564" s="20"/>
      <c r="B564" s="3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35"/>
      <c r="N564" s="18"/>
      <c r="O564" s="18"/>
      <c r="P564" s="18"/>
      <c r="Q564" s="34"/>
      <c r="R564" s="18"/>
      <c r="S564" s="18"/>
      <c r="T564" s="19" t="s">
        <v>584</v>
      </c>
      <c r="U564" s="9" t="str">
        <f t="shared" si="1"/>
        <v>NSE:GRINFRA</v>
      </c>
      <c r="V564" s="18"/>
      <c r="W564" s="18"/>
      <c r="X564" s="18"/>
    </row>
    <row r="565">
      <c r="A565" s="20"/>
      <c r="B565" s="3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35"/>
      <c r="N565" s="18"/>
      <c r="O565" s="18"/>
      <c r="P565" s="18"/>
      <c r="Q565" s="34"/>
      <c r="R565" s="18"/>
      <c r="S565" s="18"/>
      <c r="T565" s="19" t="s">
        <v>585</v>
      </c>
      <c r="U565" s="9" t="str">
        <f t="shared" si="1"/>
        <v>NSE:AGI</v>
      </c>
      <c r="V565" s="18"/>
      <c r="W565" s="18"/>
      <c r="X565" s="18"/>
    </row>
    <row r="566">
      <c r="A566" s="20"/>
      <c r="B566" s="3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35"/>
      <c r="N566" s="18"/>
      <c r="O566" s="18"/>
      <c r="P566" s="18"/>
      <c r="Q566" s="34"/>
      <c r="R566" s="18"/>
      <c r="S566" s="18"/>
      <c r="T566" s="19" t="s">
        <v>586</v>
      </c>
      <c r="U566" s="9" t="str">
        <f t="shared" si="1"/>
        <v>NSE:TRIVENI</v>
      </c>
      <c r="V566" s="18"/>
      <c r="W566" s="18"/>
      <c r="X566" s="18"/>
    </row>
    <row r="567">
      <c r="A567" s="20"/>
      <c r="B567" s="3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35"/>
      <c r="N567" s="18"/>
      <c r="O567" s="18"/>
      <c r="P567" s="18"/>
      <c r="Q567" s="34"/>
      <c r="R567" s="18"/>
      <c r="S567" s="18"/>
      <c r="T567" s="19" t="s">
        <v>587</v>
      </c>
      <c r="U567" s="9" t="str">
        <f t="shared" si="1"/>
        <v>NSE:KAJARIACER</v>
      </c>
      <c r="V567" s="18"/>
      <c r="W567" s="18"/>
      <c r="X567" s="18"/>
    </row>
    <row r="568">
      <c r="A568" s="20"/>
      <c r="B568" s="3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35"/>
      <c r="N568" s="18"/>
      <c r="O568" s="18"/>
      <c r="P568" s="18"/>
      <c r="Q568" s="34"/>
      <c r="R568" s="18"/>
      <c r="S568" s="18"/>
      <c r="T568" s="19" t="s">
        <v>588</v>
      </c>
      <c r="U568" s="9" t="str">
        <f t="shared" si="1"/>
        <v>NSE:TASTYBITE</v>
      </c>
      <c r="V568" s="18"/>
      <c r="W568" s="18"/>
      <c r="X568" s="18"/>
    </row>
    <row r="569">
      <c r="A569" s="20"/>
      <c r="B569" s="3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35"/>
      <c r="N569" s="18"/>
      <c r="O569" s="18"/>
      <c r="P569" s="18"/>
      <c r="Q569" s="34"/>
      <c r="R569" s="18"/>
      <c r="S569" s="18"/>
      <c r="T569" s="19" t="s">
        <v>589</v>
      </c>
      <c r="U569" s="9" t="str">
        <f t="shared" si="1"/>
        <v>NSE:IFBIND</v>
      </c>
      <c r="V569" s="18"/>
      <c r="W569" s="18"/>
      <c r="X569" s="18"/>
    </row>
    <row r="570">
      <c r="A570" s="20"/>
      <c r="B570" s="3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35"/>
      <c r="N570" s="18"/>
      <c r="O570" s="18"/>
      <c r="P570" s="18"/>
      <c r="Q570" s="34"/>
      <c r="R570" s="18"/>
      <c r="S570" s="18"/>
      <c r="T570" s="19" t="s">
        <v>590</v>
      </c>
      <c r="U570" s="9" t="str">
        <f t="shared" si="1"/>
        <v>NSE:MARKSANS</v>
      </c>
      <c r="V570" s="18"/>
      <c r="W570" s="18"/>
      <c r="X570" s="18"/>
    </row>
    <row r="571">
      <c r="A571" s="20"/>
      <c r="B571" s="3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35"/>
      <c r="N571" s="18"/>
      <c r="O571" s="18"/>
      <c r="P571" s="18"/>
      <c r="Q571" s="34"/>
      <c r="R571" s="18"/>
      <c r="S571" s="18"/>
      <c r="T571" s="19" t="s">
        <v>591</v>
      </c>
      <c r="U571" s="9" t="str">
        <f t="shared" si="1"/>
        <v>NSE:MINDACORP</v>
      </c>
      <c r="V571" s="18"/>
      <c r="W571" s="18"/>
      <c r="X571" s="18"/>
    </row>
    <row r="572">
      <c r="A572" s="20"/>
      <c r="B572" s="3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35"/>
      <c r="N572" s="18"/>
      <c r="O572" s="18"/>
      <c r="P572" s="18"/>
      <c r="Q572" s="34"/>
      <c r="R572" s="18"/>
      <c r="S572" s="18"/>
      <c r="T572" s="19" t="s">
        <v>592</v>
      </c>
      <c r="U572" s="9" t="str">
        <f t="shared" si="1"/>
        <v>NSE:MIDHANI</v>
      </c>
      <c r="V572" s="18"/>
      <c r="W572" s="18"/>
      <c r="X572" s="18"/>
    </row>
    <row r="573">
      <c r="A573" s="20"/>
      <c r="B573" s="3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35"/>
      <c r="N573" s="18"/>
      <c r="O573" s="18"/>
      <c r="P573" s="18"/>
      <c r="Q573" s="34"/>
      <c r="R573" s="18"/>
      <c r="S573" s="18"/>
      <c r="T573" s="19" t="s">
        <v>593</v>
      </c>
      <c r="U573" s="9" t="str">
        <f t="shared" si="1"/>
        <v>NSE:JUSTDIAL</v>
      </c>
      <c r="V573" s="18"/>
      <c r="W573" s="18"/>
      <c r="X573" s="18"/>
    </row>
    <row r="574">
      <c r="A574" s="20"/>
      <c r="B574" s="3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35"/>
      <c r="N574" s="18"/>
      <c r="O574" s="18"/>
      <c r="P574" s="18"/>
      <c r="Q574" s="34"/>
      <c r="R574" s="18"/>
      <c r="S574" s="18"/>
      <c r="T574" s="19" t="s">
        <v>594</v>
      </c>
      <c r="U574" s="9" t="str">
        <f t="shared" si="1"/>
        <v>NSE:GMMPFAUDLR</v>
      </c>
      <c r="V574" s="18"/>
      <c r="W574" s="18"/>
      <c r="X574" s="18"/>
    </row>
    <row r="575">
      <c r="A575" s="20"/>
      <c r="B575" s="3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35"/>
      <c r="N575" s="18"/>
      <c r="O575" s="18"/>
      <c r="P575" s="18"/>
      <c r="Q575" s="34"/>
      <c r="R575" s="18"/>
      <c r="S575" s="18"/>
      <c r="T575" s="19" t="s">
        <v>595</v>
      </c>
      <c r="U575" s="9" t="str">
        <f t="shared" si="1"/>
        <v>NSE:CAPLIPOINT</v>
      </c>
      <c r="V575" s="18"/>
      <c r="W575" s="18"/>
      <c r="X575" s="18"/>
    </row>
    <row r="576">
      <c r="A576" s="20"/>
      <c r="B576" s="3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35"/>
      <c r="N576" s="18"/>
      <c r="O576" s="18"/>
      <c r="P576" s="18"/>
      <c r="Q576" s="34"/>
      <c r="R576" s="18"/>
      <c r="S576" s="18"/>
      <c r="T576" s="19" t="s">
        <v>596</v>
      </c>
      <c r="U576" s="9" t="str">
        <f t="shared" si="1"/>
        <v>NSE:SKIPPER</v>
      </c>
      <c r="V576" s="18"/>
      <c r="W576" s="18"/>
      <c r="X576" s="18"/>
    </row>
    <row r="577">
      <c r="A577" s="20"/>
      <c r="B577" s="3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35"/>
      <c r="N577" s="18"/>
      <c r="O577" s="18"/>
      <c r="P577" s="18"/>
      <c r="Q577" s="34"/>
      <c r="R577" s="18"/>
      <c r="S577" s="18"/>
      <c r="T577" s="19" t="s">
        <v>597</v>
      </c>
      <c r="U577" s="9" t="str">
        <f t="shared" si="1"/>
        <v>NSE:PREMEXPLN</v>
      </c>
      <c r="V577" s="18"/>
      <c r="W577" s="18"/>
      <c r="X577" s="18"/>
    </row>
    <row r="578">
      <c r="A578" s="20"/>
      <c r="B578" s="3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35"/>
      <c r="N578" s="18"/>
      <c r="O578" s="18"/>
      <c r="P578" s="18"/>
      <c r="Q578" s="34"/>
      <c r="R578" s="18"/>
      <c r="S578" s="18"/>
      <c r="T578" s="19" t="s">
        <v>598</v>
      </c>
      <c r="U578" s="9" t="str">
        <f t="shared" si="1"/>
        <v>NSE:KIRIINDUS</v>
      </c>
      <c r="V578" s="18"/>
      <c r="W578" s="18"/>
      <c r="X578" s="18"/>
    </row>
    <row r="579">
      <c r="A579" s="20"/>
      <c r="B579" s="3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35"/>
      <c r="N579" s="18"/>
      <c r="O579" s="18"/>
      <c r="P579" s="18"/>
      <c r="Q579" s="34"/>
      <c r="R579" s="18"/>
      <c r="S579" s="18"/>
      <c r="T579" s="19" t="s">
        <v>599</v>
      </c>
      <c r="U579" s="9" t="str">
        <f t="shared" si="1"/>
        <v>NSE:TRIDENT</v>
      </c>
      <c r="V579" s="18"/>
      <c r="W579" s="18"/>
      <c r="X579" s="18"/>
    </row>
    <row r="580">
      <c r="A580" s="20"/>
      <c r="B580" s="3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35"/>
      <c r="N580" s="18"/>
      <c r="O580" s="18"/>
      <c r="P580" s="18"/>
      <c r="Q580" s="34"/>
      <c r="R580" s="18"/>
      <c r="S580" s="18"/>
      <c r="T580" s="19" t="s">
        <v>600</v>
      </c>
      <c r="U580" s="9" t="str">
        <f t="shared" si="1"/>
        <v>NSE:CPSEETF</v>
      </c>
      <c r="V580" s="18"/>
      <c r="W580" s="18"/>
      <c r="X580" s="18"/>
    </row>
    <row r="581">
      <c r="A581" s="20"/>
      <c r="B581" s="3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35"/>
      <c r="N581" s="18"/>
      <c r="O581" s="18"/>
      <c r="P581" s="18"/>
      <c r="Q581" s="34"/>
      <c r="R581" s="18"/>
      <c r="S581" s="18"/>
      <c r="T581" s="19" t="s">
        <v>601</v>
      </c>
      <c r="U581" s="9" t="str">
        <f t="shared" si="1"/>
        <v>NSE:FACT</v>
      </c>
      <c r="V581" s="18"/>
      <c r="W581" s="18"/>
      <c r="X581" s="18"/>
    </row>
    <row r="582">
      <c r="A582" s="20"/>
      <c r="B582" s="3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35"/>
      <c r="N582" s="18"/>
      <c r="O582" s="18"/>
      <c r="P582" s="18"/>
      <c r="Q582" s="34"/>
      <c r="R582" s="18"/>
      <c r="S582" s="18"/>
      <c r="T582" s="19" t="s">
        <v>602</v>
      </c>
      <c r="U582" s="9" t="str">
        <f t="shared" si="1"/>
        <v>NSE:CIGNITITEC</v>
      </c>
      <c r="V582" s="18"/>
      <c r="W582" s="18"/>
      <c r="X582" s="18"/>
    </row>
    <row r="583">
      <c r="A583" s="20"/>
      <c r="B583" s="3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35"/>
      <c r="N583" s="18"/>
      <c r="O583" s="18"/>
      <c r="P583" s="18"/>
      <c r="Q583" s="34"/>
      <c r="R583" s="18"/>
      <c r="S583" s="18"/>
      <c r="T583" s="19" t="s">
        <v>603</v>
      </c>
      <c r="U583" s="9" t="str">
        <f t="shared" si="1"/>
        <v>NSE:KNRCON</v>
      </c>
      <c r="V583" s="18"/>
      <c r="W583" s="18"/>
      <c r="X583" s="18"/>
    </row>
    <row r="584">
      <c r="A584" s="20"/>
      <c r="B584" s="3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35"/>
      <c r="N584" s="18"/>
      <c r="O584" s="18"/>
      <c r="P584" s="18"/>
      <c r="Q584" s="34"/>
      <c r="R584" s="18"/>
      <c r="S584" s="18"/>
      <c r="T584" s="19" t="s">
        <v>604</v>
      </c>
      <c r="U584" s="9" t="str">
        <f t="shared" si="1"/>
        <v>NSE:RENUKA</v>
      </c>
      <c r="V584" s="18"/>
      <c r="W584" s="18"/>
      <c r="X584" s="18"/>
    </row>
    <row r="585">
      <c r="A585" s="20"/>
      <c r="B585" s="3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35"/>
      <c r="N585" s="18"/>
      <c r="O585" s="18"/>
      <c r="P585" s="18"/>
      <c r="Q585" s="34"/>
      <c r="R585" s="18"/>
      <c r="S585" s="18"/>
      <c r="T585" s="19" t="s">
        <v>605</v>
      </c>
      <c r="U585" s="9" t="str">
        <f t="shared" si="1"/>
        <v>NSE:ANURAS</v>
      </c>
      <c r="V585" s="18"/>
      <c r="W585" s="18"/>
      <c r="X585" s="18"/>
    </row>
    <row r="586">
      <c r="A586" s="20"/>
      <c r="B586" s="3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35"/>
      <c r="N586" s="18"/>
      <c r="O586" s="18"/>
      <c r="P586" s="18"/>
      <c r="Q586" s="34"/>
      <c r="R586" s="18"/>
      <c r="S586" s="18"/>
      <c r="T586" s="19" t="s">
        <v>606</v>
      </c>
      <c r="U586" s="9" t="str">
        <f t="shared" si="1"/>
        <v>NSE:HITECH</v>
      </c>
      <c r="V586" s="18"/>
      <c r="W586" s="18"/>
      <c r="X586" s="18"/>
    </row>
    <row r="587">
      <c r="A587" s="20"/>
      <c r="B587" s="3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35"/>
      <c r="N587" s="18"/>
      <c r="O587" s="18"/>
      <c r="P587" s="18"/>
      <c r="Q587" s="34"/>
      <c r="R587" s="18"/>
      <c r="S587" s="18"/>
      <c r="T587" s="19" t="s">
        <v>607</v>
      </c>
      <c r="U587" s="9" t="str">
        <f t="shared" si="1"/>
        <v>NSE:SUMICHEM</v>
      </c>
      <c r="V587" s="18"/>
      <c r="W587" s="18"/>
      <c r="X587" s="18"/>
    </row>
    <row r="588">
      <c r="A588" s="20"/>
      <c r="B588" s="3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35"/>
      <c r="N588" s="18"/>
      <c r="O588" s="18"/>
      <c r="P588" s="18"/>
      <c r="Q588" s="34"/>
      <c r="R588" s="18"/>
      <c r="S588" s="18"/>
      <c r="T588" s="19" t="s">
        <v>608</v>
      </c>
      <c r="U588" s="9" t="str">
        <f t="shared" si="1"/>
        <v>NSE:VIPIND</v>
      </c>
      <c r="V588" s="18"/>
      <c r="W588" s="18"/>
      <c r="X588" s="18"/>
    </row>
    <row r="589">
      <c r="A589" s="20"/>
      <c r="B589" s="3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35"/>
      <c r="N589" s="18"/>
      <c r="O589" s="18"/>
      <c r="P589" s="18"/>
      <c r="Q589" s="34"/>
      <c r="R589" s="18"/>
      <c r="S589" s="18"/>
      <c r="T589" s="19" t="s">
        <v>609</v>
      </c>
      <c r="U589" s="9" t="str">
        <f t="shared" si="1"/>
        <v>NSE:PENIND</v>
      </c>
      <c r="V589" s="18"/>
      <c r="W589" s="18"/>
      <c r="X589" s="18"/>
    </row>
    <row r="590">
      <c r="A590" s="20"/>
      <c r="B590" s="3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35"/>
      <c r="N590" s="18"/>
      <c r="O590" s="18"/>
      <c r="P590" s="18"/>
      <c r="Q590" s="34"/>
      <c r="R590" s="18"/>
      <c r="S590" s="18"/>
      <c r="T590" s="19" t="s">
        <v>610</v>
      </c>
      <c r="U590" s="9" t="str">
        <f t="shared" si="1"/>
        <v>NSE:EQUITASBNK</v>
      </c>
      <c r="V590" s="18"/>
      <c r="W590" s="18"/>
      <c r="X590" s="18"/>
    </row>
    <row r="591">
      <c r="A591" s="20"/>
      <c r="B591" s="3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35"/>
      <c r="N591" s="18"/>
      <c r="O591" s="18"/>
      <c r="P591" s="18"/>
      <c r="Q591" s="34"/>
      <c r="R591" s="18"/>
      <c r="S591" s="18"/>
      <c r="T591" s="19" t="s">
        <v>611</v>
      </c>
      <c r="U591" s="9" t="str">
        <f t="shared" si="1"/>
        <v>NSE:HERITGFOOD</v>
      </c>
      <c r="V591" s="18"/>
      <c r="W591" s="18"/>
      <c r="X591" s="18"/>
    </row>
    <row r="592">
      <c r="A592" s="20"/>
      <c r="B592" s="3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35"/>
      <c r="N592" s="18"/>
      <c r="O592" s="18"/>
      <c r="P592" s="18"/>
      <c r="Q592" s="34"/>
      <c r="R592" s="18"/>
      <c r="S592" s="18"/>
      <c r="T592" s="19" t="s">
        <v>612</v>
      </c>
      <c r="U592" s="9" t="str">
        <f t="shared" si="1"/>
        <v>NSE:JYOTHYLAB</v>
      </c>
      <c r="V592" s="18"/>
      <c r="W592" s="18"/>
      <c r="X592" s="18"/>
    </row>
    <row r="593">
      <c r="A593" s="20"/>
      <c r="B593" s="3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35"/>
      <c r="N593" s="18"/>
      <c r="O593" s="18"/>
      <c r="P593" s="18"/>
      <c r="Q593" s="34"/>
      <c r="R593" s="18"/>
      <c r="S593" s="18"/>
      <c r="T593" s="19" t="s">
        <v>613</v>
      </c>
      <c r="U593" s="9" t="str">
        <f t="shared" si="1"/>
        <v>NSE:GEPIL</v>
      </c>
      <c r="V593" s="18"/>
      <c r="W593" s="18"/>
      <c r="X593" s="18"/>
    </row>
    <row r="594">
      <c r="A594" s="20"/>
      <c r="B594" s="3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35"/>
      <c r="N594" s="18"/>
      <c r="O594" s="18"/>
      <c r="P594" s="18"/>
      <c r="Q594" s="34"/>
      <c r="R594" s="18"/>
      <c r="S594" s="18"/>
      <c r="T594" s="19" t="s">
        <v>614</v>
      </c>
      <c r="U594" s="9" t="str">
        <f t="shared" si="1"/>
        <v>NSE:LIQUIDETF</v>
      </c>
      <c r="V594" s="18"/>
      <c r="W594" s="18"/>
      <c r="X594" s="18"/>
    </row>
    <row r="595">
      <c r="A595" s="20"/>
      <c r="B595" s="3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35"/>
      <c r="N595" s="18"/>
      <c r="O595" s="18"/>
      <c r="P595" s="18"/>
      <c r="Q595" s="34"/>
      <c r="R595" s="18"/>
      <c r="S595" s="18"/>
      <c r="T595" s="19" t="s">
        <v>615</v>
      </c>
      <c r="U595" s="9" t="str">
        <f t="shared" si="1"/>
        <v>NSE:CELLO</v>
      </c>
      <c r="V595" s="18"/>
      <c r="W595" s="18"/>
      <c r="X595" s="18"/>
    </row>
    <row r="596">
      <c r="A596" s="20"/>
      <c r="B596" s="3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35"/>
      <c r="N596" s="18"/>
      <c r="O596" s="18"/>
      <c r="P596" s="18"/>
      <c r="Q596" s="34"/>
      <c r="R596" s="18"/>
      <c r="S596" s="18"/>
      <c r="T596" s="19" t="s">
        <v>616</v>
      </c>
      <c r="U596" s="9" t="str">
        <f t="shared" si="1"/>
        <v>NSE:ORCHPHARMA</v>
      </c>
      <c r="V596" s="18"/>
      <c r="W596" s="18"/>
      <c r="X596" s="18"/>
    </row>
    <row r="597">
      <c r="A597" s="20"/>
      <c r="B597" s="3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35"/>
      <c r="N597" s="18"/>
      <c r="O597" s="18"/>
      <c r="P597" s="18"/>
      <c r="Q597" s="34"/>
      <c r="R597" s="18"/>
      <c r="S597" s="18"/>
      <c r="T597" s="19" t="s">
        <v>617</v>
      </c>
      <c r="U597" s="9" t="str">
        <f t="shared" si="1"/>
        <v>NSE:QUESS</v>
      </c>
      <c r="V597" s="18"/>
      <c r="W597" s="18"/>
      <c r="X597" s="18"/>
    </row>
    <row r="598">
      <c r="A598" s="20"/>
      <c r="B598" s="3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35"/>
      <c r="N598" s="18"/>
      <c r="O598" s="18"/>
      <c r="P598" s="18"/>
      <c r="Q598" s="34"/>
      <c r="R598" s="18"/>
      <c r="S598" s="18"/>
      <c r="T598" s="19" t="s">
        <v>618</v>
      </c>
      <c r="U598" s="9" t="str">
        <f t="shared" si="1"/>
        <v>NSE:BANKNIFTY1</v>
      </c>
      <c r="V598" s="18"/>
      <c r="W598" s="18"/>
      <c r="X598" s="18"/>
    </row>
    <row r="599">
      <c r="A599" s="20"/>
      <c r="B599" s="3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35"/>
      <c r="N599" s="18"/>
      <c r="O599" s="18"/>
      <c r="P599" s="18"/>
      <c r="Q599" s="34"/>
      <c r="R599" s="18"/>
      <c r="S599" s="18"/>
      <c r="T599" s="19" t="s">
        <v>619</v>
      </c>
      <c r="U599" s="9" t="str">
        <f t="shared" si="1"/>
        <v>NSE:IOB</v>
      </c>
      <c r="V599" s="18"/>
      <c r="W599" s="18"/>
      <c r="X599" s="18"/>
    </row>
    <row r="600">
      <c r="A600" s="20"/>
      <c r="B600" s="3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35"/>
      <c r="N600" s="18"/>
      <c r="O600" s="18"/>
      <c r="P600" s="18"/>
      <c r="Q600" s="34"/>
      <c r="R600" s="18"/>
      <c r="S600" s="18"/>
      <c r="T600" s="19" t="s">
        <v>620</v>
      </c>
      <c r="U600" s="9" t="str">
        <f t="shared" si="1"/>
        <v>NSE:TFCILTD</v>
      </c>
      <c r="V600" s="18"/>
      <c r="W600" s="18"/>
      <c r="X600" s="18"/>
    </row>
    <row r="601">
      <c r="A601" s="20"/>
      <c r="B601" s="3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35"/>
      <c r="N601" s="18"/>
      <c r="O601" s="18"/>
      <c r="P601" s="18"/>
      <c r="Q601" s="34"/>
      <c r="R601" s="18"/>
      <c r="S601" s="18"/>
      <c r="T601" s="19" t="s">
        <v>621</v>
      </c>
      <c r="U601" s="9" t="str">
        <f t="shared" si="1"/>
        <v>NSE:TVSSCS</v>
      </c>
      <c r="V601" s="18"/>
      <c r="W601" s="18"/>
      <c r="X601" s="18"/>
    </row>
    <row r="602">
      <c r="A602" s="20"/>
      <c r="B602" s="3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35"/>
      <c r="N602" s="18"/>
      <c r="O602" s="18"/>
      <c r="P602" s="18"/>
      <c r="Q602" s="34"/>
      <c r="R602" s="18"/>
      <c r="S602" s="18"/>
      <c r="T602" s="19" t="s">
        <v>622</v>
      </c>
      <c r="U602" s="9" t="str">
        <f t="shared" si="1"/>
        <v>NSE:LTFOODS</v>
      </c>
      <c r="V602" s="18"/>
      <c r="W602" s="18"/>
      <c r="X602" s="18"/>
    </row>
    <row r="603">
      <c r="A603" s="20"/>
      <c r="B603" s="3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35"/>
      <c r="N603" s="18"/>
      <c r="O603" s="18"/>
      <c r="P603" s="18"/>
      <c r="Q603" s="34"/>
      <c r="R603" s="18"/>
      <c r="S603" s="18"/>
      <c r="T603" s="19" t="s">
        <v>623</v>
      </c>
      <c r="U603" s="9" t="str">
        <f t="shared" si="1"/>
        <v>NSE:USHAMART</v>
      </c>
      <c r="V603" s="18"/>
      <c r="W603" s="18"/>
      <c r="X603" s="18"/>
    </row>
    <row r="604">
      <c r="A604" s="20"/>
      <c r="B604" s="3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35"/>
      <c r="N604" s="18"/>
      <c r="O604" s="18"/>
      <c r="P604" s="18"/>
      <c r="Q604" s="34"/>
      <c r="R604" s="18"/>
      <c r="S604" s="18"/>
      <c r="T604" s="19" t="s">
        <v>624</v>
      </c>
      <c r="U604" s="9" t="str">
        <f t="shared" si="1"/>
        <v>NSE:TCPLPACK</v>
      </c>
      <c r="V604" s="18"/>
      <c r="W604" s="18"/>
      <c r="X604" s="18"/>
    </row>
    <row r="605">
      <c r="A605" s="20"/>
      <c r="B605" s="3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35"/>
      <c r="N605" s="18"/>
      <c r="O605" s="18"/>
      <c r="P605" s="18"/>
      <c r="Q605" s="34"/>
      <c r="R605" s="18"/>
      <c r="S605" s="18"/>
      <c r="T605" s="19" t="s">
        <v>625</v>
      </c>
      <c r="U605" s="9" t="str">
        <f t="shared" si="1"/>
        <v>NSE:SANGHVIMOV</v>
      </c>
      <c r="V605" s="18"/>
      <c r="W605" s="18"/>
      <c r="X605" s="18"/>
    </row>
    <row r="606">
      <c r="A606" s="20"/>
      <c r="B606" s="3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35"/>
      <c r="N606" s="18"/>
      <c r="O606" s="18"/>
      <c r="P606" s="18"/>
      <c r="Q606" s="34"/>
      <c r="R606" s="18"/>
      <c r="S606" s="18"/>
      <c r="T606" s="19" t="s">
        <v>626</v>
      </c>
      <c r="U606" s="9" t="str">
        <f t="shared" si="1"/>
        <v>NSE:SKFINDIA</v>
      </c>
      <c r="V606" s="18"/>
      <c r="W606" s="18"/>
      <c r="X606" s="18"/>
    </row>
    <row r="607">
      <c r="A607" s="20"/>
      <c r="B607" s="3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35"/>
      <c r="N607" s="18"/>
      <c r="O607" s="18"/>
      <c r="P607" s="18"/>
      <c r="Q607" s="34"/>
      <c r="R607" s="18"/>
      <c r="S607" s="18"/>
      <c r="T607" s="19" t="s">
        <v>627</v>
      </c>
      <c r="U607" s="9" t="str">
        <f t="shared" si="1"/>
        <v>NSE:LIQUIDBETF</v>
      </c>
      <c r="V607" s="18"/>
      <c r="W607" s="18"/>
      <c r="X607" s="18"/>
    </row>
    <row r="608">
      <c r="A608" s="20"/>
      <c r="B608" s="3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35"/>
      <c r="N608" s="18"/>
      <c r="O608" s="18"/>
      <c r="P608" s="18"/>
      <c r="Q608" s="34"/>
      <c r="R608" s="18"/>
      <c r="S608" s="18"/>
      <c r="T608" s="19" t="s">
        <v>628</v>
      </c>
      <c r="U608" s="9" t="str">
        <f t="shared" si="1"/>
        <v>NSE:CHALET</v>
      </c>
      <c r="V608" s="18"/>
      <c r="W608" s="18"/>
      <c r="X608" s="18"/>
    </row>
    <row r="609">
      <c r="A609" s="20"/>
      <c r="B609" s="3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35"/>
      <c r="N609" s="18"/>
      <c r="O609" s="18"/>
      <c r="P609" s="18"/>
      <c r="Q609" s="34"/>
      <c r="R609" s="18"/>
      <c r="S609" s="18"/>
      <c r="T609" s="19" t="s">
        <v>629</v>
      </c>
      <c r="U609" s="9" t="str">
        <f t="shared" si="1"/>
        <v>NSE:SAFARI</v>
      </c>
      <c r="V609" s="18"/>
      <c r="W609" s="18"/>
      <c r="X609" s="18"/>
    </row>
    <row r="610">
      <c r="A610" s="20"/>
      <c r="B610" s="3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35"/>
      <c r="N610" s="18"/>
      <c r="O610" s="18"/>
      <c r="P610" s="18"/>
      <c r="Q610" s="34"/>
      <c r="R610" s="18"/>
      <c r="S610" s="18"/>
      <c r="T610" s="19" t="s">
        <v>630</v>
      </c>
      <c r="U610" s="9" t="str">
        <f t="shared" si="1"/>
        <v>NSE:ABSLAMC</v>
      </c>
      <c r="V610" s="18"/>
      <c r="W610" s="18"/>
      <c r="X610" s="18"/>
    </row>
    <row r="611">
      <c r="A611" s="20"/>
      <c r="B611" s="3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35"/>
      <c r="N611" s="18"/>
      <c r="O611" s="18"/>
      <c r="P611" s="18"/>
      <c r="Q611" s="34"/>
      <c r="R611" s="18"/>
      <c r="S611" s="18"/>
      <c r="T611" s="19" t="s">
        <v>631</v>
      </c>
      <c r="U611" s="9" t="str">
        <f t="shared" si="1"/>
        <v>NSE:KSCL</v>
      </c>
      <c r="V611" s="18"/>
      <c r="W611" s="18"/>
      <c r="X611" s="18"/>
    </row>
    <row r="612">
      <c r="A612" s="20"/>
      <c r="B612" s="3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35"/>
      <c r="N612" s="18"/>
      <c r="O612" s="18"/>
      <c r="P612" s="18"/>
      <c r="Q612" s="34"/>
      <c r="R612" s="18"/>
      <c r="S612" s="18"/>
      <c r="T612" s="19" t="s">
        <v>632</v>
      </c>
      <c r="U612" s="9" t="str">
        <f t="shared" si="1"/>
        <v>NSE:BALAMINES</v>
      </c>
      <c r="V612" s="18"/>
      <c r="W612" s="18"/>
      <c r="X612" s="18"/>
    </row>
    <row r="613">
      <c r="A613" s="20"/>
      <c r="B613" s="3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35"/>
      <c r="N613" s="18"/>
      <c r="O613" s="18"/>
      <c r="P613" s="18"/>
      <c r="Q613" s="34"/>
      <c r="R613" s="18"/>
      <c r="S613" s="18"/>
      <c r="T613" s="19" t="s">
        <v>633</v>
      </c>
      <c r="U613" s="9" t="str">
        <f t="shared" si="1"/>
        <v>NSE:FCL</v>
      </c>
      <c r="V613" s="18"/>
      <c r="W613" s="18"/>
      <c r="X613" s="18"/>
    </row>
    <row r="614">
      <c r="A614" s="20"/>
      <c r="B614" s="3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35"/>
      <c r="N614" s="18"/>
      <c r="O614" s="18"/>
      <c r="P614" s="18"/>
      <c r="Q614" s="34"/>
      <c r="R614" s="18"/>
      <c r="S614" s="18"/>
      <c r="T614" s="19" t="s">
        <v>634</v>
      </c>
      <c r="U614" s="9" t="str">
        <f t="shared" si="1"/>
        <v>NSE:PNCINFRA</v>
      </c>
      <c r="V614" s="18"/>
      <c r="W614" s="18"/>
      <c r="X614" s="18"/>
    </row>
    <row r="615">
      <c r="A615" s="20"/>
      <c r="B615" s="3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35"/>
      <c r="N615" s="18"/>
      <c r="O615" s="18"/>
      <c r="P615" s="18"/>
      <c r="Q615" s="34"/>
      <c r="R615" s="18"/>
      <c r="S615" s="18"/>
      <c r="T615" s="19" t="s">
        <v>635</v>
      </c>
      <c r="U615" s="9" t="str">
        <f t="shared" si="1"/>
        <v>NSE:ASALCBR</v>
      </c>
      <c r="V615" s="18"/>
      <c r="W615" s="18"/>
      <c r="X615" s="18"/>
    </row>
    <row r="616">
      <c r="A616" s="20"/>
      <c r="B616" s="3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35"/>
      <c r="N616" s="18"/>
      <c r="O616" s="18"/>
      <c r="P616" s="18"/>
      <c r="Q616" s="34"/>
      <c r="R616" s="18"/>
      <c r="S616" s="18"/>
      <c r="T616" s="19" t="s">
        <v>636</v>
      </c>
      <c r="U616" s="9" t="str">
        <f t="shared" si="1"/>
        <v>NSE:BAJAJHIND</v>
      </c>
      <c r="V616" s="18"/>
      <c r="W616" s="18"/>
      <c r="X616" s="18"/>
    </row>
    <row r="617">
      <c r="A617" s="20"/>
      <c r="B617" s="3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35"/>
      <c r="N617" s="18"/>
      <c r="O617" s="18"/>
      <c r="P617" s="18"/>
      <c r="Q617" s="34"/>
      <c r="R617" s="18"/>
      <c r="S617" s="18"/>
      <c r="T617" s="19" t="s">
        <v>637</v>
      </c>
      <c r="U617" s="9" t="str">
        <f t="shared" si="1"/>
        <v>NSE:SHRIRAMPPS</v>
      </c>
      <c r="V617" s="18"/>
      <c r="W617" s="18"/>
      <c r="X617" s="18"/>
    </row>
    <row r="618">
      <c r="A618" s="20"/>
      <c r="B618" s="3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35"/>
      <c r="N618" s="18"/>
      <c r="O618" s="18"/>
      <c r="P618" s="18"/>
      <c r="Q618" s="34"/>
      <c r="R618" s="18"/>
      <c r="S618" s="18"/>
      <c r="T618" s="19" t="s">
        <v>638</v>
      </c>
      <c r="U618" s="9" t="str">
        <f t="shared" si="1"/>
        <v>NSE:SETFGOLD</v>
      </c>
      <c r="V618" s="18"/>
      <c r="W618" s="18"/>
      <c r="X618" s="18"/>
    </row>
    <row r="619">
      <c r="A619" s="20"/>
      <c r="B619" s="3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35"/>
      <c r="N619" s="18"/>
      <c r="O619" s="18"/>
      <c r="P619" s="18"/>
      <c r="Q619" s="34"/>
      <c r="R619" s="18"/>
      <c r="S619" s="18"/>
      <c r="T619" s="19" t="s">
        <v>639</v>
      </c>
      <c r="U619" s="9" t="str">
        <f t="shared" si="1"/>
        <v>NSE:RAYMONDLSL</v>
      </c>
      <c r="V619" s="18"/>
      <c r="W619" s="18"/>
      <c r="X619" s="18"/>
    </row>
    <row r="620">
      <c r="A620" s="20"/>
      <c r="B620" s="3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35"/>
      <c r="N620" s="18"/>
      <c r="O620" s="18"/>
      <c r="P620" s="18"/>
      <c r="Q620" s="34"/>
      <c r="R620" s="18"/>
      <c r="S620" s="18"/>
      <c r="T620" s="19" t="s">
        <v>640</v>
      </c>
      <c r="U620" s="9" t="str">
        <f t="shared" si="1"/>
        <v>NSE:CRISIL</v>
      </c>
      <c r="V620" s="18"/>
      <c r="W620" s="18"/>
      <c r="X620" s="18"/>
    </row>
    <row r="621">
      <c r="A621" s="20"/>
      <c r="B621" s="3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35"/>
      <c r="N621" s="18"/>
      <c r="O621" s="18"/>
      <c r="P621" s="18"/>
      <c r="Q621" s="34"/>
      <c r="R621" s="18"/>
      <c r="S621" s="18"/>
      <c r="T621" s="19" t="s">
        <v>641</v>
      </c>
      <c r="U621" s="9" t="str">
        <f t="shared" si="1"/>
        <v>NSE:GULFOILLUB</v>
      </c>
      <c r="V621" s="18"/>
      <c r="W621" s="18"/>
      <c r="X621" s="18"/>
    </row>
    <row r="622">
      <c r="A622" s="20"/>
      <c r="B622" s="3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35"/>
      <c r="N622" s="18"/>
      <c r="O622" s="18"/>
      <c r="P622" s="18"/>
      <c r="Q622" s="34"/>
      <c r="R622" s="18"/>
      <c r="S622" s="18"/>
      <c r="T622" s="19" t="s">
        <v>642</v>
      </c>
      <c r="U622" s="9" t="str">
        <f t="shared" si="1"/>
        <v>NSE:MSTCLTD</v>
      </c>
      <c r="V622" s="18"/>
      <c r="W622" s="18"/>
      <c r="X622" s="18"/>
    </row>
    <row r="623">
      <c r="A623" s="20"/>
      <c r="B623" s="3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35"/>
      <c r="N623" s="18"/>
      <c r="O623" s="18"/>
      <c r="P623" s="18"/>
      <c r="Q623" s="34"/>
      <c r="R623" s="18"/>
      <c r="S623" s="18"/>
      <c r="T623" s="19" t="s">
        <v>643</v>
      </c>
      <c r="U623" s="9" t="str">
        <f t="shared" si="1"/>
        <v>NSE:INDIACEM</v>
      </c>
      <c r="V623" s="18"/>
      <c r="W623" s="18"/>
      <c r="X623" s="18"/>
    </row>
    <row r="624">
      <c r="A624" s="20"/>
      <c r="B624" s="3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35"/>
      <c r="N624" s="18"/>
      <c r="O624" s="18"/>
      <c r="P624" s="18"/>
      <c r="Q624" s="34"/>
      <c r="R624" s="18"/>
      <c r="S624" s="18"/>
      <c r="T624" s="19" t="s">
        <v>644</v>
      </c>
      <c r="U624" s="9" t="str">
        <f t="shared" si="1"/>
        <v>NSE:TIMKEN</v>
      </c>
      <c r="V624" s="18"/>
      <c r="W624" s="18"/>
      <c r="X624" s="18"/>
    </row>
    <row r="625">
      <c r="A625" s="20"/>
      <c r="B625" s="3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35"/>
      <c r="N625" s="18"/>
      <c r="O625" s="18"/>
      <c r="P625" s="18"/>
      <c r="Q625" s="34"/>
      <c r="R625" s="18"/>
      <c r="S625" s="18"/>
      <c r="T625" s="19" t="s">
        <v>645</v>
      </c>
      <c r="U625" s="9" t="str">
        <f t="shared" si="1"/>
        <v>NSE:AJAXENGG</v>
      </c>
      <c r="V625" s="18"/>
      <c r="W625" s="18"/>
      <c r="X625" s="18"/>
    </row>
    <row r="626">
      <c r="A626" s="20"/>
      <c r="B626" s="3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35"/>
      <c r="N626" s="18"/>
      <c r="O626" s="18"/>
      <c r="P626" s="18"/>
      <c r="Q626" s="34"/>
      <c r="R626" s="18"/>
      <c r="S626" s="18"/>
      <c r="T626" s="19" t="s">
        <v>646</v>
      </c>
      <c r="U626" s="9" t="str">
        <f t="shared" si="1"/>
        <v>NSE:INTERARCH</v>
      </c>
      <c r="V626" s="18"/>
      <c r="W626" s="18"/>
      <c r="X626" s="18"/>
    </row>
    <row r="627">
      <c r="A627" s="20"/>
      <c r="B627" s="3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35"/>
      <c r="N627" s="18"/>
      <c r="O627" s="18"/>
      <c r="P627" s="18"/>
      <c r="Q627" s="34"/>
      <c r="R627" s="18"/>
      <c r="S627" s="18"/>
      <c r="T627" s="19" t="s">
        <v>647</v>
      </c>
      <c r="U627" s="9" t="str">
        <f t="shared" si="1"/>
        <v>NSE:SUNTV</v>
      </c>
      <c r="V627" s="18"/>
      <c r="W627" s="18"/>
      <c r="X627" s="18"/>
    </row>
    <row r="628">
      <c r="A628" s="20"/>
      <c r="B628" s="3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35"/>
      <c r="N628" s="18"/>
      <c r="O628" s="18"/>
      <c r="P628" s="18"/>
      <c r="Q628" s="34"/>
      <c r="R628" s="18"/>
      <c r="S628" s="18"/>
      <c r="T628" s="19" t="s">
        <v>648</v>
      </c>
      <c r="U628" s="9" t="str">
        <f t="shared" si="1"/>
        <v>NSE:MAPMYINDIA</v>
      </c>
      <c r="V628" s="18"/>
      <c r="W628" s="18"/>
      <c r="X628" s="18"/>
    </row>
    <row r="629">
      <c r="A629" s="20"/>
      <c r="B629" s="3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35"/>
      <c r="N629" s="18"/>
      <c r="O629" s="18"/>
      <c r="P629" s="18"/>
      <c r="Q629" s="34"/>
      <c r="R629" s="18"/>
      <c r="S629" s="18"/>
      <c r="T629" s="19" t="s">
        <v>649</v>
      </c>
      <c r="U629" s="9" t="str">
        <f t="shared" si="1"/>
        <v>NSE:MANINFRA</v>
      </c>
      <c r="V629" s="18"/>
      <c r="W629" s="18"/>
      <c r="X629" s="18"/>
    </row>
    <row r="630">
      <c r="A630" s="20"/>
      <c r="B630" s="3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35"/>
      <c r="N630" s="18"/>
      <c r="O630" s="18"/>
      <c r="P630" s="18"/>
      <c r="Q630" s="34"/>
      <c r="R630" s="18"/>
      <c r="S630" s="18"/>
      <c r="T630" s="19" t="s">
        <v>650</v>
      </c>
      <c r="U630" s="9" t="str">
        <f t="shared" si="1"/>
        <v>NSE:VGUARD</v>
      </c>
      <c r="V630" s="18"/>
      <c r="W630" s="18"/>
      <c r="X630" s="18"/>
    </row>
    <row r="631">
      <c r="A631" s="20"/>
      <c r="B631" s="3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35"/>
      <c r="N631" s="18"/>
      <c r="O631" s="18"/>
      <c r="P631" s="18"/>
      <c r="Q631" s="34"/>
      <c r="R631" s="18"/>
      <c r="S631" s="18"/>
      <c r="T631" s="19" t="s">
        <v>651</v>
      </c>
      <c r="U631" s="9" t="str">
        <f t="shared" si="1"/>
        <v>NSE:GANESHHOUC</v>
      </c>
      <c r="V631" s="18"/>
      <c r="W631" s="18"/>
      <c r="X631" s="18"/>
    </row>
    <row r="632">
      <c r="A632" s="20"/>
      <c r="B632" s="3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35"/>
      <c r="N632" s="18"/>
      <c r="O632" s="18"/>
      <c r="P632" s="18"/>
      <c r="Q632" s="34"/>
      <c r="R632" s="18"/>
      <c r="S632" s="18"/>
      <c r="T632" s="19" t="s">
        <v>652</v>
      </c>
      <c r="U632" s="9" t="str">
        <f t="shared" si="1"/>
        <v>NSE:ETHOSLTD</v>
      </c>
      <c r="V632" s="18"/>
      <c r="W632" s="18"/>
      <c r="X632" s="18"/>
    </row>
    <row r="633">
      <c r="A633" s="20"/>
      <c r="B633" s="3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35"/>
      <c r="N633" s="18"/>
      <c r="O633" s="18"/>
      <c r="P633" s="18"/>
      <c r="Q633" s="34"/>
      <c r="R633" s="18"/>
      <c r="S633" s="18"/>
      <c r="T633" s="19" t="s">
        <v>653</v>
      </c>
      <c r="U633" s="9" t="str">
        <f t="shared" si="1"/>
        <v>NSE:DCBBANK</v>
      </c>
      <c r="V633" s="18"/>
      <c r="W633" s="18"/>
      <c r="X633" s="18"/>
    </row>
    <row r="634">
      <c r="A634" s="20"/>
      <c r="B634" s="3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35"/>
      <c r="N634" s="18"/>
      <c r="O634" s="18"/>
      <c r="P634" s="18"/>
      <c r="Q634" s="34"/>
      <c r="R634" s="18"/>
      <c r="S634" s="18"/>
      <c r="T634" s="19" t="s">
        <v>654</v>
      </c>
      <c r="U634" s="9" t="str">
        <f t="shared" si="1"/>
        <v>NSE:SCHAEFFLER</v>
      </c>
      <c r="V634" s="18"/>
      <c r="W634" s="18"/>
      <c r="X634" s="18"/>
    </row>
    <row r="635">
      <c r="A635" s="20"/>
      <c r="B635" s="3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35"/>
      <c r="N635" s="18"/>
      <c r="O635" s="18"/>
      <c r="P635" s="18"/>
      <c r="Q635" s="34"/>
      <c r="R635" s="18"/>
      <c r="S635" s="18"/>
      <c r="T635" s="19" t="s">
        <v>655</v>
      </c>
      <c r="U635" s="9" t="str">
        <f t="shared" si="1"/>
        <v>NSE:BOMDYEING</v>
      </c>
      <c r="V635" s="18"/>
      <c r="W635" s="18"/>
      <c r="X635" s="18"/>
    </row>
    <row r="636">
      <c r="A636" s="20"/>
      <c r="B636" s="3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35"/>
      <c r="N636" s="18"/>
      <c r="O636" s="18"/>
      <c r="P636" s="18"/>
      <c r="Q636" s="34"/>
      <c r="R636" s="18"/>
      <c r="S636" s="18"/>
      <c r="T636" s="19" t="s">
        <v>656</v>
      </c>
      <c r="U636" s="9" t="str">
        <f t="shared" si="1"/>
        <v>NSE:EMUDHRA</v>
      </c>
      <c r="V636" s="18"/>
      <c r="W636" s="18"/>
      <c r="X636" s="18"/>
    </row>
    <row r="637">
      <c r="A637" s="20"/>
      <c r="B637" s="3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35"/>
      <c r="N637" s="18"/>
      <c r="O637" s="18"/>
      <c r="P637" s="18"/>
      <c r="Q637" s="34"/>
      <c r="R637" s="18"/>
      <c r="S637" s="18"/>
      <c r="T637" s="19" t="s">
        <v>657</v>
      </c>
      <c r="U637" s="9" t="str">
        <f t="shared" si="1"/>
        <v>NSE:POWERMECH</v>
      </c>
      <c r="V637" s="18"/>
      <c r="W637" s="18"/>
      <c r="X637" s="18"/>
    </row>
    <row r="638">
      <c r="A638" s="20"/>
      <c r="B638" s="3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35"/>
      <c r="N638" s="18"/>
      <c r="O638" s="18"/>
      <c r="P638" s="18"/>
      <c r="Q638" s="34"/>
      <c r="R638" s="18"/>
      <c r="S638" s="18"/>
      <c r="T638" s="19" t="s">
        <v>658</v>
      </c>
      <c r="U638" s="9" t="str">
        <f t="shared" si="1"/>
        <v>NSE:GLOBUSSPR</v>
      </c>
      <c r="V638" s="18"/>
      <c r="W638" s="18"/>
      <c r="X638" s="18"/>
    </row>
    <row r="639">
      <c r="A639" s="20"/>
      <c r="B639" s="3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35"/>
      <c r="N639" s="18"/>
      <c r="O639" s="18"/>
      <c r="P639" s="18"/>
      <c r="Q639" s="34"/>
      <c r="R639" s="18"/>
      <c r="S639" s="18"/>
      <c r="T639" s="19" t="s">
        <v>659</v>
      </c>
      <c r="U639" s="9" t="str">
        <f t="shared" si="1"/>
        <v>NSE:ANUP</v>
      </c>
      <c r="V639" s="18"/>
      <c r="W639" s="18"/>
      <c r="X639" s="18"/>
    </row>
    <row r="640">
      <c r="A640" s="20"/>
      <c r="B640" s="3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35"/>
      <c r="N640" s="18"/>
      <c r="O640" s="18"/>
      <c r="P640" s="18"/>
      <c r="Q640" s="34"/>
      <c r="R640" s="18"/>
      <c r="S640" s="18"/>
      <c r="T640" s="19" t="s">
        <v>660</v>
      </c>
      <c r="U640" s="9" t="str">
        <f t="shared" si="1"/>
        <v>NSE:J&amp;KBANK</v>
      </c>
      <c r="V640" s="18"/>
      <c r="W640" s="18"/>
      <c r="X640" s="18"/>
    </row>
    <row r="641">
      <c r="A641" s="20"/>
      <c r="B641" s="3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35"/>
      <c r="N641" s="18"/>
      <c r="O641" s="18"/>
      <c r="P641" s="18"/>
      <c r="Q641" s="34"/>
      <c r="R641" s="18"/>
      <c r="S641" s="18"/>
      <c r="T641" s="19" t="s">
        <v>661</v>
      </c>
      <c r="U641" s="9" t="str">
        <f t="shared" si="1"/>
        <v>NSE:GNFC</v>
      </c>
      <c r="V641" s="18"/>
      <c r="W641" s="18"/>
      <c r="X641" s="18"/>
    </row>
    <row r="642">
      <c r="A642" s="20"/>
      <c r="B642" s="3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35"/>
      <c r="N642" s="18"/>
      <c r="O642" s="18"/>
      <c r="P642" s="18"/>
      <c r="Q642" s="34"/>
      <c r="R642" s="18"/>
      <c r="S642" s="18"/>
      <c r="T642" s="19" t="s">
        <v>662</v>
      </c>
      <c r="U642" s="9" t="str">
        <f t="shared" si="1"/>
        <v>NSE:MAHLOG</v>
      </c>
      <c r="V642" s="18"/>
      <c r="W642" s="18"/>
      <c r="X642" s="18"/>
    </row>
    <row r="643">
      <c r="A643" s="20"/>
      <c r="B643" s="3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35"/>
      <c r="N643" s="18"/>
      <c r="O643" s="18"/>
      <c r="P643" s="18"/>
      <c r="Q643" s="34"/>
      <c r="R643" s="18"/>
      <c r="S643" s="18"/>
      <c r="T643" s="19" t="s">
        <v>663</v>
      </c>
      <c r="U643" s="9" t="str">
        <f t="shared" si="1"/>
        <v>NSE:ISGEC</v>
      </c>
      <c r="V643" s="18"/>
      <c r="W643" s="18"/>
      <c r="X643" s="18"/>
    </row>
    <row r="644">
      <c r="A644" s="20"/>
      <c r="B644" s="3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35"/>
      <c r="N644" s="18"/>
      <c r="O644" s="18"/>
      <c r="P644" s="18"/>
      <c r="Q644" s="34"/>
      <c r="R644" s="18"/>
      <c r="S644" s="18"/>
      <c r="T644" s="19" t="s">
        <v>664</v>
      </c>
      <c r="U644" s="9" t="str">
        <f t="shared" si="1"/>
        <v>NSE:BASF</v>
      </c>
      <c r="V644" s="18"/>
      <c r="W644" s="18"/>
      <c r="X644" s="18"/>
    </row>
    <row r="645">
      <c r="A645" s="20"/>
      <c r="B645" s="3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35"/>
      <c r="N645" s="18"/>
      <c r="O645" s="18"/>
      <c r="P645" s="18"/>
      <c r="Q645" s="34"/>
      <c r="R645" s="18"/>
      <c r="S645" s="18"/>
      <c r="T645" s="19" t="s">
        <v>665</v>
      </c>
      <c r="U645" s="9" t="str">
        <f t="shared" si="1"/>
        <v>NSE:KPRMILL</v>
      </c>
      <c r="V645" s="18"/>
      <c r="W645" s="18"/>
      <c r="X645" s="18"/>
    </row>
    <row r="646">
      <c r="A646" s="20"/>
      <c r="B646" s="3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35"/>
      <c r="N646" s="18"/>
      <c r="O646" s="18"/>
      <c r="P646" s="18"/>
      <c r="Q646" s="34"/>
      <c r="R646" s="18"/>
      <c r="S646" s="18"/>
      <c r="T646" s="19" t="s">
        <v>666</v>
      </c>
      <c r="U646" s="9" t="str">
        <f t="shared" si="1"/>
        <v>NSE:AADHARHFC</v>
      </c>
      <c r="V646" s="18"/>
      <c r="W646" s="18"/>
      <c r="X646" s="18"/>
    </row>
    <row r="647">
      <c r="A647" s="20"/>
      <c r="B647" s="3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35"/>
      <c r="N647" s="18"/>
      <c r="O647" s="18"/>
      <c r="P647" s="18"/>
      <c r="Q647" s="34"/>
      <c r="R647" s="18"/>
      <c r="S647" s="18"/>
      <c r="T647" s="19" t="s">
        <v>667</v>
      </c>
      <c r="U647" s="9" t="str">
        <f t="shared" si="1"/>
        <v>NSE:FIRSTCRY</v>
      </c>
      <c r="V647" s="18"/>
      <c r="W647" s="18"/>
      <c r="X647" s="18"/>
    </row>
    <row r="648">
      <c r="A648" s="20"/>
      <c r="B648" s="3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35"/>
      <c r="N648" s="18"/>
      <c r="O648" s="18"/>
      <c r="P648" s="18"/>
      <c r="Q648" s="34"/>
      <c r="R648" s="18"/>
      <c r="S648" s="18"/>
      <c r="T648" s="19" t="s">
        <v>668</v>
      </c>
      <c r="U648" s="9" t="str">
        <f t="shared" si="1"/>
        <v>NSE:CENTUM</v>
      </c>
      <c r="V648" s="18"/>
      <c r="W648" s="18"/>
      <c r="X648" s="18"/>
    </row>
    <row r="649">
      <c r="A649" s="20"/>
      <c r="B649" s="3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35"/>
      <c r="N649" s="18"/>
      <c r="O649" s="18"/>
      <c r="P649" s="18"/>
      <c r="Q649" s="34"/>
      <c r="R649" s="18"/>
      <c r="S649" s="18"/>
      <c r="T649" s="19" t="s">
        <v>669</v>
      </c>
      <c r="U649" s="9" t="str">
        <f t="shared" si="1"/>
        <v>NSE:SHILPAMED</v>
      </c>
      <c r="V649" s="18"/>
      <c r="W649" s="18"/>
      <c r="X649" s="18"/>
    </row>
    <row r="650">
      <c r="A650" s="20"/>
      <c r="B650" s="3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35"/>
      <c r="N650" s="18"/>
      <c r="O650" s="18"/>
      <c r="P650" s="18"/>
      <c r="Q650" s="34"/>
      <c r="R650" s="18"/>
      <c r="S650" s="18"/>
      <c r="T650" s="19" t="s">
        <v>670</v>
      </c>
      <c r="U650" s="9" t="str">
        <f t="shared" si="1"/>
        <v>NSE:PGHH</v>
      </c>
      <c r="V650" s="18"/>
      <c r="W650" s="18"/>
      <c r="X650" s="18"/>
    </row>
    <row r="651">
      <c r="A651" s="20"/>
      <c r="B651" s="3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35"/>
      <c r="N651" s="18"/>
      <c r="O651" s="18"/>
      <c r="P651" s="18"/>
      <c r="Q651" s="34"/>
      <c r="R651" s="18"/>
      <c r="S651" s="18"/>
      <c r="T651" s="19" t="s">
        <v>671</v>
      </c>
      <c r="U651" s="9" t="str">
        <f t="shared" si="1"/>
        <v>NSE:JAICORPLTD</v>
      </c>
      <c r="V651" s="18"/>
      <c r="W651" s="18"/>
      <c r="X651" s="18"/>
    </row>
    <row r="652">
      <c r="A652" s="20"/>
      <c r="B652" s="3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35"/>
      <c r="N652" s="18"/>
      <c r="O652" s="18"/>
      <c r="P652" s="18"/>
      <c r="Q652" s="34"/>
      <c r="R652" s="18"/>
      <c r="S652" s="18"/>
      <c r="T652" s="19" t="s">
        <v>672</v>
      </c>
      <c r="U652" s="9" t="str">
        <f t="shared" si="1"/>
        <v>NSE:BBTC</v>
      </c>
      <c r="V652" s="18"/>
      <c r="W652" s="18"/>
      <c r="X652" s="18"/>
    </row>
    <row r="653">
      <c r="A653" s="20"/>
      <c r="B653" s="3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35"/>
      <c r="N653" s="18"/>
      <c r="O653" s="18"/>
      <c r="P653" s="18"/>
      <c r="Q653" s="34"/>
      <c r="R653" s="18"/>
      <c r="S653" s="18"/>
      <c r="T653" s="19" t="s">
        <v>673</v>
      </c>
      <c r="U653" s="9" t="str">
        <f t="shared" si="1"/>
        <v>NSE:EIDPARRY</v>
      </c>
      <c r="V653" s="18"/>
      <c r="W653" s="18"/>
      <c r="X653" s="18"/>
    </row>
    <row r="654">
      <c r="A654" s="20"/>
      <c r="B654" s="3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35"/>
      <c r="N654" s="18"/>
      <c r="O654" s="18"/>
      <c r="P654" s="18"/>
      <c r="Q654" s="34"/>
      <c r="R654" s="18"/>
      <c r="S654" s="18"/>
      <c r="T654" s="19" t="s">
        <v>674</v>
      </c>
      <c r="U654" s="9" t="str">
        <f t="shared" si="1"/>
        <v>NSE:GOLD1</v>
      </c>
      <c r="V654" s="18"/>
      <c r="W654" s="18"/>
      <c r="X654" s="18"/>
    </row>
    <row r="655">
      <c r="A655" s="20"/>
      <c r="B655" s="3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35"/>
      <c r="N655" s="18"/>
      <c r="O655" s="18"/>
      <c r="P655" s="18"/>
      <c r="Q655" s="34"/>
      <c r="R655" s="18"/>
      <c r="S655" s="18"/>
      <c r="T655" s="19" t="s">
        <v>675</v>
      </c>
      <c r="U655" s="9" t="str">
        <f t="shared" si="1"/>
        <v>NSE:CERA</v>
      </c>
      <c r="V655" s="18"/>
      <c r="W655" s="18"/>
      <c r="X655" s="18"/>
    </row>
    <row r="656">
      <c r="A656" s="20"/>
      <c r="B656" s="3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35"/>
      <c r="N656" s="18"/>
      <c r="O656" s="18"/>
      <c r="P656" s="18"/>
      <c r="Q656" s="34"/>
      <c r="R656" s="18"/>
      <c r="S656" s="18"/>
      <c r="T656" s="19" t="s">
        <v>676</v>
      </c>
      <c r="U656" s="9" t="str">
        <f t="shared" si="1"/>
        <v>NSE:FINPIPE</v>
      </c>
      <c r="V656" s="18"/>
      <c r="W656" s="18"/>
      <c r="X656" s="18"/>
    </row>
    <row r="657">
      <c r="A657" s="20"/>
      <c r="B657" s="3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35"/>
      <c r="N657" s="18"/>
      <c r="O657" s="18"/>
      <c r="P657" s="18"/>
      <c r="Q657" s="34"/>
      <c r="R657" s="18"/>
      <c r="S657" s="18"/>
      <c r="T657" s="19" t="s">
        <v>677</v>
      </c>
      <c r="U657" s="9" t="str">
        <f t="shared" si="1"/>
        <v>NSE:DHANI</v>
      </c>
      <c r="V657" s="18"/>
      <c r="W657" s="18"/>
      <c r="X657" s="18"/>
    </row>
    <row r="658">
      <c r="A658" s="20"/>
      <c r="B658" s="3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35"/>
      <c r="N658" s="18"/>
      <c r="O658" s="18"/>
      <c r="P658" s="18"/>
      <c r="Q658" s="34"/>
      <c r="R658" s="18"/>
      <c r="S658" s="18"/>
      <c r="T658" s="19" t="s">
        <v>678</v>
      </c>
      <c r="U658" s="9" t="str">
        <f t="shared" si="1"/>
        <v>NSE:RRKABEL</v>
      </c>
      <c r="V658" s="18"/>
      <c r="W658" s="18"/>
      <c r="X658" s="18"/>
    </row>
    <row r="659">
      <c r="A659" s="20"/>
      <c r="B659" s="3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35"/>
      <c r="N659" s="18"/>
      <c r="O659" s="18"/>
      <c r="P659" s="18"/>
      <c r="Q659" s="34"/>
      <c r="R659" s="18"/>
      <c r="S659" s="18"/>
      <c r="T659" s="19" t="s">
        <v>679</v>
      </c>
      <c r="U659" s="9" t="str">
        <f t="shared" si="1"/>
        <v>NSE:APLLTD</v>
      </c>
      <c r="V659" s="18"/>
      <c r="W659" s="18"/>
      <c r="X659" s="18"/>
    </row>
    <row r="660">
      <c r="A660" s="20"/>
      <c r="B660" s="3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35"/>
      <c r="N660" s="18"/>
      <c r="O660" s="18"/>
      <c r="P660" s="18"/>
      <c r="Q660" s="34"/>
      <c r="R660" s="18"/>
      <c r="S660" s="18"/>
      <c r="T660" s="19" t="s">
        <v>680</v>
      </c>
      <c r="U660" s="9" t="str">
        <f t="shared" si="1"/>
        <v>NSE:SULA</v>
      </c>
      <c r="V660" s="18"/>
      <c r="W660" s="18"/>
      <c r="X660" s="18"/>
    </row>
    <row r="661">
      <c r="A661" s="20"/>
      <c r="B661" s="3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35"/>
      <c r="N661" s="18"/>
      <c r="O661" s="18"/>
      <c r="P661" s="18"/>
      <c r="Q661" s="34"/>
      <c r="R661" s="18"/>
      <c r="S661" s="18"/>
      <c r="T661" s="19" t="s">
        <v>681</v>
      </c>
      <c r="U661" s="9" t="str">
        <f t="shared" si="1"/>
        <v>NSE:KIRLPNU</v>
      </c>
      <c r="V661" s="18"/>
      <c r="W661" s="18"/>
      <c r="X661" s="18"/>
    </row>
    <row r="662">
      <c r="A662" s="20"/>
      <c r="B662" s="3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35"/>
      <c r="N662" s="18"/>
      <c r="O662" s="18"/>
      <c r="P662" s="18"/>
      <c r="Q662" s="34"/>
      <c r="R662" s="18"/>
      <c r="S662" s="18"/>
      <c r="T662" s="19" t="s">
        <v>682</v>
      </c>
      <c r="U662" s="9" t="str">
        <f t="shared" si="1"/>
        <v>NSE:EPACK</v>
      </c>
      <c r="V662" s="18"/>
      <c r="W662" s="18"/>
      <c r="X662" s="18"/>
    </row>
    <row r="663">
      <c r="A663" s="20"/>
      <c r="B663" s="3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35"/>
      <c r="N663" s="18"/>
      <c r="O663" s="18"/>
      <c r="P663" s="18"/>
      <c r="Q663" s="34"/>
      <c r="R663" s="18"/>
      <c r="S663" s="18"/>
      <c r="T663" s="19" t="s">
        <v>683</v>
      </c>
      <c r="U663" s="9" t="str">
        <f t="shared" si="1"/>
        <v>NSE:MOSCHIP</v>
      </c>
      <c r="V663" s="18"/>
      <c r="W663" s="18"/>
      <c r="X663" s="18"/>
    </row>
    <row r="664">
      <c r="A664" s="20"/>
      <c r="B664" s="3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35"/>
      <c r="N664" s="18"/>
      <c r="O664" s="18"/>
      <c r="P664" s="18"/>
      <c r="Q664" s="34"/>
      <c r="R664" s="18"/>
      <c r="S664" s="18"/>
      <c r="T664" s="19" t="s">
        <v>684</v>
      </c>
      <c r="U664" s="9" t="str">
        <f t="shared" si="1"/>
        <v>NSE:INDIASHLTR</v>
      </c>
      <c r="V664" s="18"/>
      <c r="W664" s="18"/>
      <c r="X664" s="18"/>
    </row>
    <row r="665">
      <c r="A665" s="20"/>
      <c r="B665" s="3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35"/>
      <c r="N665" s="18"/>
      <c r="O665" s="18"/>
      <c r="P665" s="18"/>
      <c r="Q665" s="34"/>
      <c r="R665" s="18"/>
      <c r="S665" s="18"/>
      <c r="T665" s="19" t="s">
        <v>685</v>
      </c>
      <c r="U665" s="9" t="str">
        <f t="shared" si="1"/>
        <v>NSE:OPTIEMUS</v>
      </c>
      <c r="V665" s="18"/>
      <c r="W665" s="18"/>
      <c r="X665" s="18"/>
    </row>
    <row r="666">
      <c r="A666" s="20"/>
      <c r="B666" s="3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35"/>
      <c r="N666" s="18"/>
      <c r="O666" s="18"/>
      <c r="P666" s="18"/>
      <c r="Q666" s="34"/>
      <c r="R666" s="18"/>
      <c r="S666" s="18"/>
      <c r="T666" s="19" t="s">
        <v>686</v>
      </c>
      <c r="U666" s="9" t="str">
        <f t="shared" si="1"/>
        <v>NSE:HIL</v>
      </c>
      <c r="V666" s="18"/>
      <c r="W666" s="18"/>
      <c r="X666" s="18"/>
    </row>
    <row r="667">
      <c r="A667" s="20"/>
      <c r="B667" s="3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35"/>
      <c r="N667" s="18"/>
      <c r="O667" s="18"/>
      <c r="P667" s="18"/>
      <c r="Q667" s="34"/>
      <c r="R667" s="18"/>
      <c r="S667" s="18"/>
      <c r="T667" s="19" t="s">
        <v>687</v>
      </c>
      <c r="U667" s="9" t="str">
        <f t="shared" si="1"/>
        <v>NSE:BAJAJCON</v>
      </c>
      <c r="V667" s="18"/>
      <c r="W667" s="18"/>
      <c r="X667" s="18"/>
    </row>
    <row r="668">
      <c r="A668" s="20"/>
      <c r="B668" s="3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35"/>
      <c r="N668" s="18"/>
      <c r="O668" s="18"/>
      <c r="P668" s="18"/>
      <c r="Q668" s="34"/>
      <c r="R668" s="18"/>
      <c r="S668" s="18"/>
      <c r="T668" s="19" t="s">
        <v>688</v>
      </c>
      <c r="U668" s="9" t="str">
        <f t="shared" si="1"/>
        <v>NSE:IXIGO</v>
      </c>
      <c r="V668" s="18"/>
      <c r="W668" s="18"/>
      <c r="X668" s="18"/>
    </row>
    <row r="669">
      <c r="A669" s="20"/>
      <c r="B669" s="3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35"/>
      <c r="N669" s="18"/>
      <c r="O669" s="18"/>
      <c r="P669" s="18"/>
      <c r="Q669" s="34"/>
      <c r="R669" s="18"/>
      <c r="S669" s="18"/>
      <c r="T669" s="19" t="s">
        <v>689</v>
      </c>
      <c r="U669" s="9" t="str">
        <f t="shared" si="1"/>
        <v>NSE:VENUSPIPES</v>
      </c>
      <c r="V669" s="18"/>
      <c r="W669" s="18"/>
      <c r="X669" s="18"/>
    </row>
    <row r="670">
      <c r="A670" s="20"/>
      <c r="B670" s="3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35"/>
      <c r="N670" s="18"/>
      <c r="O670" s="18"/>
      <c r="P670" s="18"/>
      <c r="Q670" s="34"/>
      <c r="R670" s="18"/>
      <c r="S670" s="18"/>
      <c r="T670" s="19" t="s">
        <v>690</v>
      </c>
      <c r="U670" s="9" t="str">
        <f t="shared" si="1"/>
        <v>NSE:JASH</v>
      </c>
      <c r="V670" s="18"/>
      <c r="W670" s="18"/>
      <c r="X670" s="18"/>
    </row>
    <row r="671">
      <c r="A671" s="20"/>
      <c r="B671" s="3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35"/>
      <c r="N671" s="18"/>
      <c r="O671" s="18"/>
      <c r="P671" s="18"/>
      <c r="Q671" s="34"/>
      <c r="R671" s="18"/>
      <c r="S671" s="18"/>
      <c r="T671" s="19" t="s">
        <v>691</v>
      </c>
      <c r="U671" s="9" t="str">
        <f t="shared" si="1"/>
        <v>NSE:UTIAMC</v>
      </c>
      <c r="V671" s="18"/>
      <c r="W671" s="18"/>
      <c r="X671" s="18"/>
    </row>
    <row r="672">
      <c r="A672" s="20"/>
      <c r="B672" s="3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35"/>
      <c r="N672" s="18"/>
      <c r="O672" s="18"/>
      <c r="P672" s="18"/>
      <c r="Q672" s="34"/>
      <c r="R672" s="18"/>
      <c r="S672" s="18"/>
      <c r="T672" s="19" t="s">
        <v>692</v>
      </c>
      <c r="U672" s="9" t="str">
        <f t="shared" si="1"/>
        <v>NSE:NAVKARCORP</v>
      </c>
      <c r="V672" s="18"/>
      <c r="W672" s="18"/>
      <c r="X672" s="18"/>
    </row>
    <row r="673">
      <c r="A673" s="20"/>
      <c r="B673" s="3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35"/>
      <c r="N673" s="18"/>
      <c r="O673" s="18"/>
      <c r="P673" s="18"/>
      <c r="Q673" s="34"/>
      <c r="R673" s="18"/>
      <c r="S673" s="18"/>
      <c r="T673" s="19" t="s">
        <v>693</v>
      </c>
      <c r="U673" s="9" t="str">
        <f t="shared" si="1"/>
        <v>NSE:SOUTHBANK</v>
      </c>
      <c r="V673" s="18"/>
      <c r="W673" s="18"/>
      <c r="X673" s="18"/>
    </row>
    <row r="674">
      <c r="A674" s="20"/>
      <c r="B674" s="3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35"/>
      <c r="N674" s="18"/>
      <c r="O674" s="18"/>
      <c r="P674" s="18"/>
      <c r="Q674" s="34"/>
      <c r="R674" s="18"/>
      <c r="S674" s="18"/>
      <c r="T674" s="19" t="s">
        <v>694</v>
      </c>
      <c r="U674" s="9" t="str">
        <f t="shared" si="1"/>
        <v>NSE:SUPRIYA</v>
      </c>
      <c r="V674" s="18"/>
      <c r="W674" s="18"/>
      <c r="X674" s="18"/>
    </row>
    <row r="675">
      <c r="A675" s="20"/>
      <c r="B675" s="3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35"/>
      <c r="N675" s="18"/>
      <c r="O675" s="18"/>
      <c r="P675" s="18"/>
      <c r="Q675" s="34"/>
      <c r="R675" s="18"/>
      <c r="S675" s="18"/>
      <c r="T675" s="19" t="s">
        <v>695</v>
      </c>
      <c r="U675" s="9" t="str">
        <f t="shared" si="1"/>
        <v>NSE:RSYSTEMS</v>
      </c>
      <c r="V675" s="18"/>
      <c r="W675" s="18"/>
      <c r="X675" s="18"/>
    </row>
    <row r="676">
      <c r="A676" s="20"/>
      <c r="B676" s="3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35"/>
      <c r="N676" s="18"/>
      <c r="O676" s="18"/>
      <c r="P676" s="18"/>
      <c r="Q676" s="34"/>
      <c r="R676" s="18"/>
      <c r="S676" s="18"/>
      <c r="T676" s="19" t="s">
        <v>696</v>
      </c>
      <c r="U676" s="9" t="str">
        <f t="shared" si="1"/>
        <v>NSE:PANACEABIO</v>
      </c>
      <c r="V676" s="18"/>
      <c r="W676" s="18"/>
      <c r="X676" s="18"/>
    </row>
    <row r="677">
      <c r="A677" s="20"/>
      <c r="B677" s="3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35"/>
      <c r="N677" s="18"/>
      <c r="O677" s="18"/>
      <c r="P677" s="18"/>
      <c r="Q677" s="34"/>
      <c r="R677" s="18"/>
      <c r="S677" s="18"/>
      <c r="T677" s="19" t="s">
        <v>697</v>
      </c>
      <c r="U677" s="9" t="str">
        <f t="shared" si="1"/>
        <v>NSE:STALLION</v>
      </c>
      <c r="V677" s="18"/>
      <c r="W677" s="18"/>
      <c r="X677" s="18"/>
    </row>
    <row r="678">
      <c r="A678" s="20"/>
      <c r="B678" s="3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35"/>
      <c r="N678" s="18"/>
      <c r="O678" s="18"/>
      <c r="P678" s="18"/>
      <c r="Q678" s="34"/>
      <c r="R678" s="18"/>
      <c r="S678" s="18"/>
      <c r="T678" s="19" t="s">
        <v>698</v>
      </c>
      <c r="U678" s="9" t="str">
        <f t="shared" si="1"/>
        <v>NSE:HONASA</v>
      </c>
      <c r="V678" s="18"/>
      <c r="W678" s="18"/>
      <c r="X678" s="18"/>
    </row>
    <row r="679">
      <c r="A679" s="20"/>
      <c r="B679" s="3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35"/>
      <c r="N679" s="18"/>
      <c r="O679" s="18"/>
      <c r="P679" s="18"/>
      <c r="Q679" s="34"/>
      <c r="R679" s="18"/>
      <c r="S679" s="18"/>
      <c r="T679" s="19" t="s">
        <v>699</v>
      </c>
      <c r="U679" s="9" t="str">
        <f t="shared" si="1"/>
        <v>NSE:CSBBANK</v>
      </c>
      <c r="V679" s="18"/>
      <c r="W679" s="18"/>
      <c r="X679" s="18"/>
    </row>
    <row r="680">
      <c r="A680" s="20"/>
      <c r="B680" s="3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35"/>
      <c r="N680" s="18"/>
      <c r="O680" s="18"/>
      <c r="P680" s="18"/>
      <c r="Q680" s="34"/>
      <c r="R680" s="18"/>
      <c r="S680" s="18"/>
      <c r="T680" s="19" t="s">
        <v>700</v>
      </c>
      <c r="U680" s="9" t="str">
        <f t="shared" si="1"/>
        <v>NSE:INDIAGLYCO</v>
      </c>
      <c r="V680" s="18"/>
      <c r="W680" s="18"/>
      <c r="X680" s="18"/>
    </row>
    <row r="681">
      <c r="A681" s="20"/>
      <c r="B681" s="3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35"/>
      <c r="N681" s="18"/>
      <c r="O681" s="18"/>
      <c r="P681" s="18"/>
      <c r="Q681" s="34"/>
      <c r="R681" s="18"/>
      <c r="S681" s="18"/>
      <c r="T681" s="19" t="s">
        <v>701</v>
      </c>
      <c r="U681" s="9" t="str">
        <f t="shared" si="1"/>
        <v>NSE:CANFINHOME</v>
      </c>
      <c r="V681" s="18"/>
      <c r="W681" s="18"/>
      <c r="X681" s="18"/>
    </row>
    <row r="682">
      <c r="A682" s="20"/>
      <c r="B682" s="3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35"/>
      <c r="N682" s="18"/>
      <c r="O682" s="18"/>
      <c r="P682" s="18"/>
      <c r="Q682" s="34"/>
      <c r="R682" s="18"/>
      <c r="S682" s="18"/>
      <c r="T682" s="19" t="s">
        <v>702</v>
      </c>
      <c r="U682" s="9" t="str">
        <f t="shared" si="1"/>
        <v>NSE:LXCHEM</v>
      </c>
      <c r="V682" s="18"/>
      <c r="W682" s="18"/>
      <c r="X682" s="18"/>
    </row>
    <row r="683">
      <c r="A683" s="20"/>
      <c r="B683" s="3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35"/>
      <c r="N683" s="18"/>
      <c r="O683" s="18"/>
      <c r="P683" s="18"/>
      <c r="Q683" s="34"/>
      <c r="R683" s="18"/>
      <c r="S683" s="18"/>
      <c r="T683" s="19" t="s">
        <v>703</v>
      </c>
      <c r="U683" s="9" t="str">
        <f t="shared" si="1"/>
        <v>NSE:SHAREINDIA</v>
      </c>
      <c r="V683" s="18"/>
      <c r="W683" s="18"/>
      <c r="X683" s="18"/>
    </row>
    <row r="684">
      <c r="A684" s="20"/>
      <c r="B684" s="3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35"/>
      <c r="N684" s="18"/>
      <c r="O684" s="18"/>
      <c r="P684" s="18"/>
      <c r="Q684" s="34"/>
      <c r="R684" s="18"/>
      <c r="S684" s="18"/>
      <c r="T684" s="19" t="s">
        <v>704</v>
      </c>
      <c r="U684" s="9" t="str">
        <f t="shared" si="1"/>
        <v>NSE:POLYMED</v>
      </c>
      <c r="V684" s="18"/>
      <c r="W684" s="18"/>
      <c r="X684" s="18"/>
    </row>
    <row r="685">
      <c r="A685" s="20"/>
      <c r="B685" s="3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35"/>
      <c r="N685" s="18"/>
      <c r="O685" s="18"/>
      <c r="P685" s="18"/>
      <c r="Q685" s="34"/>
      <c r="R685" s="18"/>
      <c r="S685" s="18"/>
      <c r="T685" s="19" t="s">
        <v>705</v>
      </c>
      <c r="U685" s="9" t="str">
        <f t="shared" si="1"/>
        <v>NSE:INDOSTAR</v>
      </c>
      <c r="V685" s="18"/>
      <c r="W685" s="18"/>
      <c r="X685" s="18"/>
    </row>
    <row r="686">
      <c r="A686" s="20"/>
      <c r="B686" s="3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35"/>
      <c r="N686" s="18"/>
      <c r="O686" s="18"/>
      <c r="P686" s="18"/>
      <c r="Q686" s="34"/>
      <c r="R686" s="18"/>
      <c r="S686" s="18"/>
      <c r="T686" s="19" t="s">
        <v>706</v>
      </c>
      <c r="U686" s="9" t="str">
        <f t="shared" si="1"/>
        <v>NSE:PRAKASH</v>
      </c>
      <c r="V686" s="18"/>
      <c r="W686" s="18"/>
      <c r="X686" s="18"/>
    </row>
    <row r="687">
      <c r="A687" s="20"/>
      <c r="B687" s="3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35"/>
      <c r="N687" s="18"/>
      <c r="O687" s="18"/>
      <c r="P687" s="18"/>
      <c r="Q687" s="34"/>
      <c r="R687" s="18"/>
      <c r="S687" s="18"/>
      <c r="T687" s="19" t="s">
        <v>707</v>
      </c>
      <c r="U687" s="9" t="str">
        <f t="shared" si="1"/>
        <v>NSE:VAKRANGEE</v>
      </c>
      <c r="V687" s="18"/>
      <c r="W687" s="18"/>
      <c r="X687" s="18"/>
    </row>
    <row r="688">
      <c r="A688" s="20"/>
      <c r="B688" s="3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35"/>
      <c r="N688" s="18"/>
      <c r="O688" s="18"/>
      <c r="P688" s="18"/>
      <c r="Q688" s="34"/>
      <c r="R688" s="18"/>
      <c r="S688" s="18"/>
      <c r="T688" s="19" t="s">
        <v>708</v>
      </c>
      <c r="U688" s="9" t="str">
        <f t="shared" si="1"/>
        <v>NSE:THOMASCOOK</v>
      </c>
      <c r="V688" s="18"/>
      <c r="W688" s="18"/>
      <c r="X688" s="18"/>
    </row>
    <row r="689">
      <c r="A689" s="20"/>
      <c r="B689" s="3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35"/>
      <c r="N689" s="18"/>
      <c r="O689" s="18"/>
      <c r="P689" s="18"/>
      <c r="Q689" s="34"/>
      <c r="R689" s="18"/>
      <c r="S689" s="18"/>
      <c r="T689" s="19" t="s">
        <v>709</v>
      </c>
      <c r="U689" s="9" t="str">
        <f t="shared" si="1"/>
        <v>NSE:VAIBHAVGBL</v>
      </c>
      <c r="V689" s="18"/>
      <c r="W689" s="18"/>
      <c r="X689" s="18"/>
    </row>
    <row r="690">
      <c r="A690" s="20"/>
      <c r="B690" s="3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35"/>
      <c r="N690" s="18"/>
      <c r="O690" s="18"/>
      <c r="P690" s="18"/>
      <c r="Q690" s="34"/>
      <c r="R690" s="18"/>
      <c r="S690" s="18"/>
      <c r="T690" s="19" t="s">
        <v>710</v>
      </c>
      <c r="U690" s="9" t="str">
        <f t="shared" si="1"/>
        <v>NSE:AIAENG</v>
      </c>
      <c r="V690" s="18"/>
      <c r="W690" s="18"/>
      <c r="X690" s="18"/>
    </row>
    <row r="691">
      <c r="A691" s="20"/>
      <c r="B691" s="3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35"/>
      <c r="N691" s="18"/>
      <c r="O691" s="18"/>
      <c r="P691" s="18"/>
      <c r="Q691" s="34"/>
      <c r="R691" s="18"/>
      <c r="S691" s="18"/>
      <c r="T691" s="19" t="s">
        <v>711</v>
      </c>
      <c r="U691" s="9" t="str">
        <f t="shared" si="1"/>
        <v>NSE:PNGJL</v>
      </c>
      <c r="V691" s="18"/>
      <c r="W691" s="18"/>
      <c r="X691" s="18"/>
    </row>
    <row r="692">
      <c r="A692" s="20"/>
      <c r="B692" s="3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35"/>
      <c r="N692" s="18"/>
      <c r="O692" s="18"/>
      <c r="P692" s="18"/>
      <c r="Q692" s="34"/>
      <c r="R692" s="18"/>
      <c r="S692" s="18"/>
      <c r="T692" s="19" t="s">
        <v>712</v>
      </c>
      <c r="U692" s="9" t="str">
        <f t="shared" si="1"/>
        <v>NSE:E2E</v>
      </c>
      <c r="V692" s="18"/>
      <c r="W692" s="18"/>
      <c r="X692" s="18"/>
    </row>
    <row r="693">
      <c r="A693" s="20"/>
      <c r="B693" s="3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35"/>
      <c r="N693" s="18"/>
      <c r="O693" s="18"/>
      <c r="P693" s="18"/>
      <c r="Q693" s="34"/>
      <c r="R693" s="18"/>
      <c r="S693" s="18"/>
      <c r="T693" s="19" t="s">
        <v>713</v>
      </c>
      <c r="U693" s="9" t="str">
        <f t="shared" si="1"/>
        <v>NSE:VARROC</v>
      </c>
      <c r="V693" s="18"/>
      <c r="W693" s="18"/>
      <c r="X693" s="18"/>
    </row>
    <row r="694">
      <c r="A694" s="20"/>
      <c r="B694" s="3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35"/>
      <c r="N694" s="18"/>
      <c r="O694" s="18"/>
      <c r="P694" s="18"/>
      <c r="Q694" s="34"/>
      <c r="R694" s="18"/>
      <c r="S694" s="18"/>
      <c r="T694" s="19" t="s">
        <v>714</v>
      </c>
      <c r="U694" s="9" t="str">
        <f t="shared" si="1"/>
        <v>NSE:UCOBANK</v>
      </c>
      <c r="V694" s="18"/>
      <c r="W694" s="18"/>
      <c r="X694" s="18"/>
    </row>
    <row r="695">
      <c r="A695" s="20"/>
      <c r="B695" s="3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35"/>
      <c r="N695" s="18"/>
      <c r="O695" s="18"/>
      <c r="P695" s="18"/>
      <c r="Q695" s="34"/>
      <c r="R695" s="18"/>
      <c r="S695" s="18"/>
      <c r="T695" s="19" t="s">
        <v>715</v>
      </c>
      <c r="U695" s="9" t="str">
        <f t="shared" si="1"/>
        <v>NSE:WONDERLA</v>
      </c>
      <c r="V695" s="18"/>
      <c r="W695" s="18"/>
      <c r="X695" s="18"/>
    </row>
    <row r="696">
      <c r="A696" s="20"/>
      <c r="B696" s="3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35"/>
      <c r="N696" s="18"/>
      <c r="O696" s="18"/>
      <c r="P696" s="18"/>
      <c r="Q696" s="34"/>
      <c r="R696" s="18"/>
      <c r="S696" s="18"/>
      <c r="T696" s="19" t="s">
        <v>716</v>
      </c>
      <c r="U696" s="9" t="str">
        <f t="shared" si="1"/>
        <v>NSE:INDRAMEDCO</v>
      </c>
      <c r="V696" s="18"/>
      <c r="W696" s="18"/>
      <c r="X696" s="18"/>
    </row>
    <row r="697">
      <c r="A697" s="20"/>
      <c r="B697" s="3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35"/>
      <c r="N697" s="18"/>
      <c r="O697" s="18"/>
      <c r="P697" s="18"/>
      <c r="Q697" s="34"/>
      <c r="R697" s="18"/>
      <c r="S697" s="18"/>
      <c r="T697" s="19" t="s">
        <v>717</v>
      </c>
      <c r="U697" s="9" t="str">
        <f t="shared" si="1"/>
        <v>NSE:JTLIND</v>
      </c>
      <c r="V697" s="18"/>
      <c r="W697" s="18"/>
      <c r="X697" s="18"/>
    </row>
    <row r="698">
      <c r="A698" s="20"/>
      <c r="B698" s="3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35"/>
      <c r="N698" s="18"/>
      <c r="O698" s="18"/>
      <c r="P698" s="18"/>
      <c r="Q698" s="34"/>
      <c r="R698" s="18"/>
      <c r="S698" s="18"/>
      <c r="T698" s="19" t="s">
        <v>718</v>
      </c>
      <c r="U698" s="9" t="str">
        <f t="shared" si="1"/>
        <v>NSE:AVALON</v>
      </c>
      <c r="V698" s="18"/>
      <c r="W698" s="18"/>
      <c r="X698" s="18"/>
    </row>
    <row r="699">
      <c r="A699" s="20"/>
      <c r="B699" s="3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35"/>
      <c r="N699" s="18"/>
      <c r="O699" s="18"/>
      <c r="P699" s="18"/>
      <c r="Q699" s="34"/>
      <c r="R699" s="18"/>
      <c r="S699" s="18"/>
      <c r="T699" s="19" t="s">
        <v>719</v>
      </c>
      <c r="U699" s="9" t="str">
        <f t="shared" si="1"/>
        <v>NSE:SOBHA</v>
      </c>
      <c r="V699" s="18"/>
      <c r="W699" s="18"/>
      <c r="X699" s="18"/>
    </row>
    <row r="700">
      <c r="A700" s="20"/>
      <c r="B700" s="3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35"/>
      <c r="N700" s="18"/>
      <c r="O700" s="18"/>
      <c r="P700" s="18"/>
      <c r="Q700" s="34"/>
      <c r="R700" s="18"/>
      <c r="S700" s="18"/>
      <c r="T700" s="19" t="s">
        <v>720</v>
      </c>
      <c r="U700" s="9" t="str">
        <f t="shared" si="1"/>
        <v>NSE:INDIGOPNTS</v>
      </c>
      <c r="V700" s="18"/>
      <c r="W700" s="18"/>
      <c r="X700" s="18"/>
    </row>
    <row r="701">
      <c r="A701" s="20"/>
      <c r="B701" s="3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35"/>
      <c r="N701" s="18"/>
      <c r="O701" s="18"/>
      <c r="P701" s="18"/>
      <c r="Q701" s="34"/>
      <c r="R701" s="18"/>
      <c r="S701" s="18"/>
      <c r="T701" s="19" t="s">
        <v>721</v>
      </c>
      <c r="U701" s="9" t="str">
        <f t="shared" si="1"/>
        <v>NSE:SURAJEST</v>
      </c>
      <c r="V701" s="18"/>
      <c r="W701" s="18"/>
      <c r="X701" s="18"/>
    </row>
    <row r="702">
      <c r="A702" s="20"/>
      <c r="B702" s="3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35"/>
      <c r="N702" s="18"/>
      <c r="O702" s="18"/>
      <c r="P702" s="18"/>
      <c r="Q702" s="34"/>
      <c r="R702" s="18"/>
      <c r="S702" s="18"/>
      <c r="T702" s="19" t="s">
        <v>722</v>
      </c>
      <c r="U702" s="9" t="str">
        <f t="shared" si="1"/>
        <v>NSE:CMSINFO</v>
      </c>
      <c r="V702" s="18"/>
      <c r="W702" s="18"/>
      <c r="X702" s="18"/>
    </row>
    <row r="703">
      <c r="A703" s="20"/>
      <c r="B703" s="3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35"/>
      <c r="N703" s="18"/>
      <c r="O703" s="18"/>
      <c r="P703" s="18"/>
      <c r="Q703" s="34"/>
      <c r="R703" s="18"/>
      <c r="S703" s="18"/>
      <c r="T703" s="19" t="s">
        <v>723</v>
      </c>
      <c r="U703" s="9" t="str">
        <f t="shared" si="1"/>
        <v>NSE:RGL</v>
      </c>
      <c r="V703" s="18"/>
      <c r="W703" s="18"/>
      <c r="X703" s="18"/>
    </row>
    <row r="704">
      <c r="A704" s="20"/>
      <c r="B704" s="3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35"/>
      <c r="N704" s="18"/>
      <c r="O704" s="18"/>
      <c r="P704" s="18"/>
      <c r="Q704" s="34"/>
      <c r="R704" s="18"/>
      <c r="S704" s="18"/>
      <c r="T704" s="19" t="s">
        <v>724</v>
      </c>
      <c r="U704" s="9" t="str">
        <f t="shared" si="1"/>
        <v>NSE:JUNIPER</v>
      </c>
      <c r="V704" s="18"/>
      <c r="W704" s="18"/>
      <c r="X704" s="18"/>
    </row>
    <row r="705">
      <c r="A705" s="20"/>
      <c r="B705" s="3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35"/>
      <c r="N705" s="18"/>
      <c r="O705" s="18"/>
      <c r="P705" s="18"/>
      <c r="Q705" s="34"/>
      <c r="R705" s="18"/>
      <c r="S705" s="18"/>
      <c r="T705" s="19" t="s">
        <v>725</v>
      </c>
      <c r="U705" s="9" t="str">
        <f t="shared" si="1"/>
        <v>NSE:PRICOLLTD</v>
      </c>
      <c r="V705" s="18"/>
      <c r="W705" s="18"/>
      <c r="X705" s="18"/>
    </row>
    <row r="706">
      <c r="A706" s="20"/>
      <c r="B706" s="3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35"/>
      <c r="N706" s="18"/>
      <c r="O706" s="18"/>
      <c r="P706" s="18"/>
      <c r="Q706" s="34"/>
      <c r="R706" s="18"/>
      <c r="S706" s="18"/>
      <c r="T706" s="19" t="s">
        <v>726</v>
      </c>
      <c r="U706" s="9" t="str">
        <f t="shared" si="1"/>
        <v>NSE:PSUBNKBEES</v>
      </c>
      <c r="V706" s="18"/>
      <c r="W706" s="18"/>
      <c r="X706" s="18"/>
    </row>
    <row r="707">
      <c r="A707" s="20"/>
      <c r="B707" s="3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35"/>
      <c r="N707" s="18"/>
      <c r="O707" s="18"/>
      <c r="P707" s="18"/>
      <c r="Q707" s="34"/>
      <c r="R707" s="18"/>
      <c r="S707" s="18"/>
      <c r="T707" s="19" t="s">
        <v>727</v>
      </c>
      <c r="U707" s="9" t="str">
        <f t="shared" si="1"/>
        <v>NSE:SCHNEIDER</v>
      </c>
      <c r="V707" s="18"/>
      <c r="W707" s="18"/>
      <c r="X707" s="18"/>
    </row>
    <row r="708">
      <c r="A708" s="20"/>
      <c r="B708" s="3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35"/>
      <c r="N708" s="18"/>
      <c r="O708" s="18"/>
      <c r="P708" s="18"/>
      <c r="Q708" s="34"/>
      <c r="R708" s="18"/>
      <c r="S708" s="18"/>
      <c r="T708" s="19" t="s">
        <v>728</v>
      </c>
      <c r="U708" s="9" t="str">
        <f t="shared" si="1"/>
        <v>NSE:RTNINDIA</v>
      </c>
      <c r="V708" s="18"/>
      <c r="W708" s="18"/>
      <c r="X708" s="18"/>
    </row>
    <row r="709">
      <c r="A709" s="20"/>
      <c r="B709" s="3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35"/>
      <c r="N709" s="18"/>
      <c r="O709" s="18"/>
      <c r="P709" s="18"/>
      <c r="Q709" s="34"/>
      <c r="R709" s="18"/>
      <c r="S709" s="18"/>
      <c r="T709" s="19" t="s">
        <v>729</v>
      </c>
      <c r="U709" s="9" t="str">
        <f t="shared" si="1"/>
        <v>NSE:NAVA</v>
      </c>
      <c r="V709" s="18"/>
      <c r="W709" s="18"/>
      <c r="X709" s="18"/>
    </row>
    <row r="710">
      <c r="A710" s="20"/>
      <c r="B710" s="3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35"/>
      <c r="N710" s="18"/>
      <c r="O710" s="18"/>
      <c r="P710" s="18"/>
      <c r="Q710" s="34"/>
      <c r="R710" s="18"/>
      <c r="S710" s="18"/>
      <c r="T710" s="19" t="s">
        <v>730</v>
      </c>
      <c r="U710" s="9" t="str">
        <f t="shared" si="1"/>
        <v>NSE:HEMIPROP</v>
      </c>
      <c r="V710" s="18"/>
      <c r="W710" s="18"/>
      <c r="X710" s="18"/>
    </row>
    <row r="711">
      <c r="A711" s="20"/>
      <c r="B711" s="3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35"/>
      <c r="N711" s="18"/>
      <c r="O711" s="18"/>
      <c r="P711" s="18"/>
      <c r="Q711" s="34"/>
      <c r="R711" s="18"/>
      <c r="S711" s="18"/>
      <c r="T711" s="19" t="s">
        <v>731</v>
      </c>
      <c r="U711" s="9" t="str">
        <f t="shared" si="1"/>
        <v>NSE:SILVERIETF</v>
      </c>
      <c r="V711" s="18"/>
      <c r="W711" s="18"/>
      <c r="X711" s="18"/>
    </row>
    <row r="712">
      <c r="A712" s="20"/>
      <c r="B712" s="3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35"/>
      <c r="N712" s="18"/>
      <c r="O712" s="18"/>
      <c r="P712" s="18"/>
      <c r="Q712" s="34"/>
      <c r="R712" s="18"/>
      <c r="S712" s="18"/>
      <c r="T712" s="19" t="s">
        <v>732</v>
      </c>
      <c r="U712" s="9" t="str">
        <f t="shared" si="1"/>
        <v>NSE:KPEL</v>
      </c>
      <c r="V712" s="18"/>
      <c r="W712" s="18"/>
      <c r="X712" s="18"/>
    </row>
    <row r="713">
      <c r="A713" s="20"/>
      <c r="B713" s="3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35"/>
      <c r="N713" s="18"/>
      <c r="O713" s="18"/>
      <c r="P713" s="18"/>
      <c r="Q713" s="34"/>
      <c r="R713" s="18"/>
      <c r="S713" s="18"/>
      <c r="T713" s="19" t="s">
        <v>733</v>
      </c>
      <c r="U713" s="9" t="str">
        <f t="shared" si="1"/>
        <v>NSE:BBOX</v>
      </c>
      <c r="V713" s="18"/>
      <c r="W713" s="18"/>
      <c r="X713" s="18"/>
    </row>
    <row r="714">
      <c r="A714" s="20"/>
      <c r="B714" s="3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35"/>
      <c r="N714" s="18"/>
      <c r="O714" s="18"/>
      <c r="P714" s="18"/>
      <c r="Q714" s="34"/>
      <c r="R714" s="18"/>
      <c r="S714" s="18"/>
      <c r="T714" s="19" t="s">
        <v>734</v>
      </c>
      <c r="U714" s="9" t="str">
        <f t="shared" si="1"/>
        <v>NSE:BARBEQUE</v>
      </c>
      <c r="V714" s="18"/>
      <c r="W714" s="18"/>
      <c r="X714" s="18"/>
    </row>
    <row r="715">
      <c r="A715" s="20"/>
      <c r="B715" s="3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35"/>
      <c r="N715" s="18"/>
      <c r="O715" s="18"/>
      <c r="P715" s="18"/>
      <c r="Q715" s="34"/>
      <c r="R715" s="18"/>
      <c r="S715" s="18"/>
      <c r="T715" s="19" t="s">
        <v>735</v>
      </c>
      <c r="U715" s="9" t="str">
        <f t="shared" si="1"/>
        <v>NSE:63MOONS</v>
      </c>
      <c r="V715" s="18"/>
      <c r="W715" s="18"/>
      <c r="X715" s="18"/>
    </row>
    <row r="716">
      <c r="A716" s="20"/>
      <c r="B716" s="3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35"/>
      <c r="N716" s="18"/>
      <c r="O716" s="18"/>
      <c r="P716" s="18"/>
      <c r="Q716" s="34"/>
      <c r="R716" s="18"/>
      <c r="S716" s="18"/>
      <c r="T716" s="19" t="s">
        <v>736</v>
      </c>
      <c r="U716" s="9" t="str">
        <f t="shared" si="1"/>
        <v>NSE:FMCGIETF</v>
      </c>
      <c r="V716" s="18"/>
      <c r="W716" s="18"/>
      <c r="X716" s="18"/>
    </row>
    <row r="717">
      <c r="A717" s="20"/>
      <c r="B717" s="3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35"/>
      <c r="N717" s="18"/>
      <c r="O717" s="18"/>
      <c r="P717" s="18"/>
      <c r="Q717" s="34"/>
      <c r="R717" s="18"/>
      <c r="S717" s="18"/>
      <c r="T717" s="19" t="s">
        <v>737</v>
      </c>
      <c r="U717" s="9" t="str">
        <f t="shared" si="1"/>
        <v>NSE:SPANDANA</v>
      </c>
      <c r="V717" s="18"/>
      <c r="W717" s="18"/>
      <c r="X717" s="18"/>
    </row>
    <row r="718">
      <c r="A718" s="20"/>
      <c r="B718" s="3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35"/>
      <c r="N718" s="18"/>
      <c r="O718" s="18"/>
      <c r="P718" s="18"/>
      <c r="Q718" s="34"/>
      <c r="R718" s="18"/>
      <c r="S718" s="18"/>
      <c r="T718" s="19" t="s">
        <v>738</v>
      </c>
      <c r="U718" s="9" t="str">
        <f t="shared" si="1"/>
        <v>NSE:BAYERCROP</v>
      </c>
      <c r="V718" s="18"/>
      <c r="W718" s="18"/>
      <c r="X718" s="18"/>
    </row>
    <row r="719">
      <c r="A719" s="20"/>
      <c r="B719" s="3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35"/>
      <c r="N719" s="18"/>
      <c r="O719" s="18"/>
      <c r="P719" s="18"/>
      <c r="Q719" s="34"/>
      <c r="R719" s="18"/>
      <c r="S719" s="18"/>
      <c r="T719" s="19" t="s">
        <v>739</v>
      </c>
      <c r="U719" s="9" t="str">
        <f t="shared" si="1"/>
        <v>NSE:SHRIPISTON</v>
      </c>
      <c r="V719" s="18"/>
      <c r="W719" s="18"/>
      <c r="X719" s="18"/>
    </row>
    <row r="720">
      <c r="A720" s="20"/>
      <c r="B720" s="3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35"/>
      <c r="N720" s="18"/>
      <c r="O720" s="18"/>
      <c r="P720" s="18"/>
      <c r="Q720" s="34"/>
      <c r="R720" s="18"/>
      <c r="S720" s="18"/>
      <c r="T720" s="19" t="s">
        <v>740</v>
      </c>
      <c r="U720" s="9" t="str">
        <f t="shared" si="1"/>
        <v>NSE:ALLCARGO</v>
      </c>
      <c r="V720" s="18"/>
      <c r="W720" s="18"/>
      <c r="X720" s="18"/>
    </row>
    <row r="721">
      <c r="A721" s="20"/>
      <c r="B721" s="3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35"/>
      <c r="N721" s="18"/>
      <c r="O721" s="18"/>
      <c r="P721" s="18"/>
      <c r="Q721" s="34"/>
      <c r="R721" s="18"/>
      <c r="S721" s="18"/>
      <c r="T721" s="19" t="s">
        <v>741</v>
      </c>
      <c r="U721" s="9" t="str">
        <f t="shared" si="1"/>
        <v>NSE:BAJAJHCARE</v>
      </c>
      <c r="V721" s="18"/>
      <c r="W721" s="18"/>
      <c r="X721" s="18"/>
    </row>
    <row r="722">
      <c r="A722" s="20"/>
      <c r="B722" s="3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35"/>
      <c r="N722" s="18"/>
      <c r="O722" s="18"/>
      <c r="P722" s="18"/>
      <c r="Q722" s="34"/>
      <c r="R722" s="18"/>
      <c r="S722" s="18"/>
      <c r="T722" s="19" t="s">
        <v>742</v>
      </c>
      <c r="U722" s="9" t="str">
        <f t="shared" si="1"/>
        <v>NSE:INNOVACAP</v>
      </c>
      <c r="V722" s="18"/>
      <c r="W722" s="18"/>
      <c r="X722" s="18"/>
    </row>
    <row r="723">
      <c r="A723" s="20"/>
      <c r="B723" s="3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35"/>
      <c r="N723" s="18"/>
      <c r="O723" s="18"/>
      <c r="P723" s="18"/>
      <c r="Q723" s="34"/>
      <c r="R723" s="18"/>
      <c r="S723" s="18"/>
      <c r="T723" s="19" t="s">
        <v>743</v>
      </c>
      <c r="U723" s="9" t="str">
        <f t="shared" si="1"/>
        <v>NSE:APTECHT</v>
      </c>
      <c r="V723" s="18"/>
      <c r="W723" s="18"/>
      <c r="X723" s="18"/>
    </row>
    <row r="724">
      <c r="A724" s="20"/>
      <c r="B724" s="3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35"/>
      <c r="N724" s="18"/>
      <c r="O724" s="18"/>
      <c r="P724" s="18"/>
      <c r="Q724" s="34"/>
      <c r="R724" s="18"/>
      <c r="S724" s="18"/>
      <c r="T724" s="19" t="s">
        <v>744</v>
      </c>
      <c r="U724" s="9" t="str">
        <f t="shared" si="1"/>
        <v>NSE:NIITLTD</v>
      </c>
      <c r="V724" s="18"/>
      <c r="W724" s="18"/>
      <c r="X724" s="18"/>
    </row>
    <row r="725">
      <c r="A725" s="20"/>
      <c r="B725" s="3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35"/>
      <c r="N725" s="18"/>
      <c r="O725" s="18"/>
      <c r="P725" s="18"/>
      <c r="Q725" s="34"/>
      <c r="R725" s="18"/>
      <c r="S725" s="18"/>
      <c r="T725" s="19" t="s">
        <v>745</v>
      </c>
      <c r="U725" s="9" t="str">
        <f t="shared" si="1"/>
        <v>NSE:JINDWORLD</v>
      </c>
      <c r="V725" s="18"/>
      <c r="W725" s="18"/>
      <c r="X725" s="18"/>
    </row>
    <row r="726">
      <c r="A726" s="20"/>
      <c r="B726" s="3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35"/>
      <c r="N726" s="18"/>
      <c r="O726" s="18"/>
      <c r="P726" s="18"/>
      <c r="Q726" s="34"/>
      <c r="R726" s="18"/>
      <c r="S726" s="18"/>
      <c r="T726" s="19" t="s">
        <v>746</v>
      </c>
      <c r="U726" s="9" t="str">
        <f t="shared" si="1"/>
        <v>NSE:HDFCSML250</v>
      </c>
      <c r="V726" s="18"/>
      <c r="W726" s="18"/>
      <c r="X726" s="18"/>
    </row>
    <row r="727">
      <c r="A727" s="20"/>
      <c r="B727" s="3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35"/>
      <c r="N727" s="18"/>
      <c r="O727" s="18"/>
      <c r="P727" s="18"/>
      <c r="Q727" s="34"/>
      <c r="R727" s="18"/>
      <c r="S727" s="18"/>
      <c r="T727" s="19" t="s">
        <v>747</v>
      </c>
      <c r="U727" s="9" t="str">
        <f t="shared" si="1"/>
        <v>NSE:NFL</v>
      </c>
      <c r="V727" s="18"/>
      <c r="W727" s="18"/>
      <c r="X727" s="18"/>
    </row>
    <row r="728">
      <c r="A728" s="20"/>
      <c r="B728" s="3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35"/>
      <c r="N728" s="18"/>
      <c r="O728" s="18"/>
      <c r="P728" s="18"/>
      <c r="Q728" s="34"/>
      <c r="R728" s="18"/>
      <c r="S728" s="18"/>
      <c r="T728" s="19" t="s">
        <v>748</v>
      </c>
      <c r="U728" s="9" t="str">
        <f t="shared" si="1"/>
        <v>NSE:GTPL</v>
      </c>
      <c r="V728" s="18"/>
      <c r="W728" s="18"/>
      <c r="X728" s="18"/>
    </row>
    <row r="729">
      <c r="A729" s="20"/>
      <c r="B729" s="3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35"/>
      <c r="N729" s="18"/>
      <c r="O729" s="18"/>
      <c r="P729" s="18"/>
      <c r="Q729" s="34"/>
      <c r="R729" s="18"/>
      <c r="S729" s="18"/>
      <c r="T729" s="19" t="s">
        <v>749</v>
      </c>
      <c r="U729" s="9" t="str">
        <f t="shared" si="1"/>
        <v>NSE:KANSAINER</v>
      </c>
      <c r="V729" s="18"/>
      <c r="W729" s="18"/>
      <c r="X729" s="18"/>
    </row>
    <row r="730">
      <c r="A730" s="20"/>
      <c r="B730" s="3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35"/>
      <c r="N730" s="18"/>
      <c r="O730" s="18"/>
      <c r="P730" s="18"/>
      <c r="Q730" s="34"/>
      <c r="R730" s="18"/>
      <c r="S730" s="18"/>
      <c r="T730" s="19" t="s">
        <v>750</v>
      </c>
      <c r="U730" s="9" t="str">
        <f t="shared" si="1"/>
        <v>NSE:ENDURANCE</v>
      </c>
      <c r="V730" s="18"/>
      <c r="W730" s="18"/>
      <c r="X730" s="18"/>
    </row>
    <row r="731">
      <c r="A731" s="20"/>
      <c r="B731" s="3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35"/>
      <c r="N731" s="18"/>
      <c r="O731" s="18"/>
      <c r="P731" s="18"/>
      <c r="Q731" s="34"/>
      <c r="R731" s="18"/>
      <c r="S731" s="18"/>
      <c r="T731" s="19" t="s">
        <v>751</v>
      </c>
      <c r="U731" s="9" t="str">
        <f t="shared" si="1"/>
        <v>NSE:AEROFLEX</v>
      </c>
      <c r="V731" s="18"/>
      <c r="W731" s="18"/>
      <c r="X731" s="18"/>
    </row>
    <row r="732">
      <c r="A732" s="20"/>
      <c r="B732" s="3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35"/>
      <c r="N732" s="18"/>
      <c r="O732" s="18"/>
      <c r="P732" s="18"/>
      <c r="Q732" s="34"/>
      <c r="R732" s="18"/>
      <c r="S732" s="18"/>
      <c r="T732" s="19" t="s">
        <v>752</v>
      </c>
      <c r="U732" s="9" t="str">
        <f t="shared" si="1"/>
        <v>NSE:SYMPHONY</v>
      </c>
      <c r="V732" s="18"/>
      <c r="W732" s="18"/>
      <c r="X732" s="18"/>
    </row>
    <row r="733">
      <c r="A733" s="20"/>
      <c r="B733" s="3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35"/>
      <c r="N733" s="18"/>
      <c r="O733" s="18"/>
      <c r="P733" s="18"/>
      <c r="Q733" s="34"/>
      <c r="R733" s="18"/>
      <c r="S733" s="18"/>
      <c r="T733" s="19" t="s">
        <v>753</v>
      </c>
      <c r="U733" s="9" t="str">
        <f t="shared" si="1"/>
        <v>NSE:DELTACORP</v>
      </c>
      <c r="V733" s="18"/>
      <c r="W733" s="18"/>
      <c r="X733" s="18"/>
    </row>
    <row r="734">
      <c r="A734" s="20"/>
      <c r="B734" s="3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35"/>
      <c r="N734" s="18"/>
      <c r="O734" s="18"/>
      <c r="P734" s="18"/>
      <c r="Q734" s="34"/>
      <c r="R734" s="18"/>
      <c r="S734" s="18"/>
      <c r="T734" s="19" t="s">
        <v>754</v>
      </c>
      <c r="U734" s="9" t="str">
        <f t="shared" si="1"/>
        <v>NSE:RTNPOWER</v>
      </c>
      <c r="V734" s="18"/>
      <c r="W734" s="18"/>
      <c r="X734" s="18"/>
    </row>
    <row r="735">
      <c r="A735" s="20"/>
      <c r="B735" s="3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35"/>
      <c r="N735" s="18"/>
      <c r="O735" s="18"/>
      <c r="P735" s="18"/>
      <c r="Q735" s="34"/>
      <c r="R735" s="18"/>
      <c r="S735" s="18"/>
      <c r="T735" s="19" t="s">
        <v>755</v>
      </c>
      <c r="U735" s="9" t="str">
        <f t="shared" si="1"/>
        <v>NSE:DYNAMATECH</v>
      </c>
      <c r="V735" s="18"/>
      <c r="W735" s="18"/>
      <c r="X735" s="18"/>
    </row>
    <row r="736">
      <c r="A736" s="20"/>
      <c r="B736" s="3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35"/>
      <c r="N736" s="18"/>
      <c r="O736" s="18"/>
      <c r="P736" s="18"/>
      <c r="Q736" s="34"/>
      <c r="R736" s="18"/>
      <c r="S736" s="18"/>
      <c r="T736" s="19" t="s">
        <v>756</v>
      </c>
      <c r="U736" s="9" t="str">
        <f t="shared" si="1"/>
        <v>NSE:AARTIDRUGS</v>
      </c>
      <c r="V736" s="18"/>
      <c r="W736" s="18"/>
      <c r="X736" s="18"/>
    </row>
    <row r="737">
      <c r="A737" s="20"/>
      <c r="B737" s="3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35"/>
      <c r="N737" s="18"/>
      <c r="O737" s="18"/>
      <c r="P737" s="18"/>
      <c r="Q737" s="34"/>
      <c r="R737" s="18"/>
      <c r="S737" s="18"/>
      <c r="T737" s="19" t="s">
        <v>757</v>
      </c>
      <c r="U737" s="9" t="str">
        <f t="shared" si="1"/>
        <v>NSE:SETFNIF50</v>
      </c>
      <c r="V737" s="18"/>
      <c r="W737" s="18"/>
      <c r="X737" s="18"/>
    </row>
    <row r="738">
      <c r="A738" s="20"/>
      <c r="B738" s="3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35"/>
      <c r="N738" s="18"/>
      <c r="O738" s="18"/>
      <c r="P738" s="18"/>
      <c r="Q738" s="34"/>
      <c r="R738" s="18"/>
      <c r="S738" s="18"/>
      <c r="T738" s="19" t="s">
        <v>758</v>
      </c>
      <c r="U738" s="9" t="str">
        <f t="shared" si="1"/>
        <v>NSE:MOL</v>
      </c>
      <c r="V738" s="18"/>
      <c r="W738" s="18"/>
      <c r="X738" s="18"/>
    </row>
    <row r="739">
      <c r="A739" s="20"/>
      <c r="B739" s="3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35"/>
      <c r="N739" s="18"/>
      <c r="O739" s="18"/>
      <c r="P739" s="18"/>
      <c r="Q739" s="34"/>
      <c r="R739" s="18"/>
      <c r="S739" s="18"/>
      <c r="T739" s="19" t="s">
        <v>759</v>
      </c>
      <c r="U739" s="9" t="str">
        <f t="shared" si="1"/>
        <v>NSE:MAFANG</v>
      </c>
      <c r="V739" s="18"/>
      <c r="W739" s="18"/>
      <c r="X739" s="18"/>
    </row>
    <row r="740">
      <c r="A740" s="20"/>
      <c r="B740" s="3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35"/>
      <c r="N740" s="18"/>
      <c r="O740" s="18"/>
      <c r="P740" s="18"/>
      <c r="Q740" s="34"/>
      <c r="R740" s="18"/>
      <c r="S740" s="18"/>
      <c r="T740" s="19" t="s">
        <v>760</v>
      </c>
      <c r="U740" s="9" t="str">
        <f t="shared" si="1"/>
        <v>NSE:SANSERA</v>
      </c>
      <c r="V740" s="18"/>
      <c r="W740" s="18"/>
      <c r="X740" s="18"/>
    </row>
    <row r="741">
      <c r="A741" s="20"/>
      <c r="B741" s="3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35"/>
      <c r="N741" s="18"/>
      <c r="O741" s="18"/>
      <c r="P741" s="18"/>
      <c r="Q741" s="34"/>
      <c r="R741" s="18"/>
      <c r="S741" s="18"/>
      <c r="T741" s="19" t="s">
        <v>761</v>
      </c>
      <c r="U741" s="9" t="str">
        <f t="shared" si="1"/>
        <v>NSE:HONAUT</v>
      </c>
      <c r="V741" s="18"/>
      <c r="W741" s="18"/>
      <c r="X741" s="18"/>
    </row>
    <row r="742">
      <c r="A742" s="20"/>
      <c r="B742" s="3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35"/>
      <c r="N742" s="18"/>
      <c r="O742" s="18"/>
      <c r="P742" s="18"/>
      <c r="Q742" s="34"/>
      <c r="R742" s="18"/>
      <c r="S742" s="18"/>
      <c r="T742" s="19" t="s">
        <v>762</v>
      </c>
      <c r="U742" s="9" t="str">
        <f t="shared" si="1"/>
        <v>NSE:CARBORUNIV</v>
      </c>
      <c r="V742" s="18"/>
      <c r="W742" s="18"/>
      <c r="X742" s="18"/>
    </row>
    <row r="743">
      <c r="A743" s="20"/>
      <c r="B743" s="3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35"/>
      <c r="N743" s="18"/>
      <c r="O743" s="18"/>
      <c r="P743" s="18"/>
      <c r="Q743" s="34"/>
      <c r="R743" s="18"/>
      <c r="S743" s="18"/>
      <c r="T743" s="19" t="s">
        <v>763</v>
      </c>
      <c r="U743" s="9" t="str">
        <f t="shared" si="1"/>
        <v>NSE:MID150BEES</v>
      </c>
      <c r="V743" s="18"/>
      <c r="W743" s="18"/>
      <c r="X743" s="18"/>
    </row>
    <row r="744">
      <c r="A744" s="20"/>
      <c r="B744" s="3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35"/>
      <c r="N744" s="18"/>
      <c r="O744" s="18"/>
      <c r="P744" s="18"/>
      <c r="Q744" s="34"/>
      <c r="R744" s="18"/>
      <c r="S744" s="18"/>
      <c r="T744" s="19" t="s">
        <v>764</v>
      </c>
      <c r="U744" s="9" t="str">
        <f t="shared" si="1"/>
        <v>NSE:BANCOINDIA</v>
      </c>
      <c r="V744" s="18"/>
      <c r="W744" s="18"/>
      <c r="X744" s="18"/>
    </row>
    <row r="745">
      <c r="A745" s="20"/>
      <c r="B745" s="3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35"/>
      <c r="N745" s="18"/>
      <c r="O745" s="18"/>
      <c r="P745" s="18"/>
      <c r="Q745" s="34"/>
      <c r="R745" s="18"/>
      <c r="S745" s="18"/>
      <c r="T745" s="19" t="s">
        <v>765</v>
      </c>
      <c r="U745" s="9" t="str">
        <f t="shared" si="1"/>
        <v>NSE:JKTYRE</v>
      </c>
      <c r="V745" s="18"/>
      <c r="W745" s="18"/>
      <c r="X745" s="18"/>
    </row>
    <row r="746">
      <c r="A746" s="20"/>
      <c r="B746" s="3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35"/>
      <c r="N746" s="18"/>
      <c r="O746" s="18"/>
      <c r="P746" s="18"/>
      <c r="Q746" s="34"/>
      <c r="R746" s="18"/>
      <c r="S746" s="18"/>
      <c r="T746" s="19" t="s">
        <v>766</v>
      </c>
      <c r="U746" s="9" t="str">
        <f t="shared" si="1"/>
        <v>NSE:CHEMPLASTS</v>
      </c>
      <c r="V746" s="18"/>
      <c r="W746" s="18"/>
      <c r="X746" s="18"/>
    </row>
    <row r="747">
      <c r="A747" s="20"/>
      <c r="B747" s="3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35"/>
      <c r="N747" s="18"/>
      <c r="O747" s="18"/>
      <c r="P747" s="18"/>
      <c r="Q747" s="34"/>
      <c r="R747" s="18"/>
      <c r="S747" s="18"/>
      <c r="T747" s="19" t="s">
        <v>767</v>
      </c>
      <c r="U747" s="9" t="str">
        <f t="shared" si="1"/>
        <v>NSE:ABDL</v>
      </c>
      <c r="V747" s="18"/>
      <c r="W747" s="18"/>
      <c r="X747" s="18"/>
    </row>
    <row r="748">
      <c r="A748" s="20"/>
      <c r="B748" s="3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35"/>
      <c r="N748" s="18"/>
      <c r="O748" s="18"/>
      <c r="P748" s="18"/>
      <c r="Q748" s="34"/>
      <c r="R748" s="18"/>
      <c r="S748" s="18"/>
      <c r="T748" s="19" t="s">
        <v>768</v>
      </c>
      <c r="U748" s="9" t="str">
        <f t="shared" si="1"/>
        <v>NSE:IDEAFORGE</v>
      </c>
      <c r="V748" s="18"/>
      <c r="W748" s="18"/>
      <c r="X748" s="18"/>
    </row>
    <row r="749">
      <c r="A749" s="20"/>
      <c r="B749" s="3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35"/>
      <c r="N749" s="18"/>
      <c r="O749" s="18"/>
      <c r="P749" s="18"/>
      <c r="Q749" s="34"/>
      <c r="R749" s="18"/>
      <c r="S749" s="18"/>
      <c r="T749" s="19" t="s">
        <v>769</v>
      </c>
      <c r="U749" s="9" t="str">
        <f t="shared" si="1"/>
        <v>NSE:JAIBALAJI</v>
      </c>
      <c r="V749" s="18"/>
      <c r="W749" s="18"/>
      <c r="X749" s="18"/>
    </row>
    <row r="750">
      <c r="A750" s="20"/>
      <c r="B750" s="3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35"/>
      <c r="N750" s="18"/>
      <c r="O750" s="18"/>
      <c r="P750" s="18"/>
      <c r="Q750" s="34"/>
      <c r="R750" s="18"/>
      <c r="S750" s="18"/>
      <c r="T750" s="19" t="s">
        <v>770</v>
      </c>
      <c r="U750" s="9" t="str">
        <f t="shared" si="1"/>
        <v>NSE:3MINDIA</v>
      </c>
      <c r="V750" s="18"/>
      <c r="W750" s="18"/>
      <c r="X750" s="18"/>
    </row>
    <row r="751">
      <c r="A751" s="20"/>
      <c r="B751" s="3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35"/>
      <c r="N751" s="18"/>
      <c r="O751" s="18"/>
      <c r="P751" s="18"/>
      <c r="Q751" s="34"/>
      <c r="R751" s="18"/>
      <c r="S751" s="18"/>
      <c r="T751" s="19" t="s">
        <v>771</v>
      </c>
      <c r="U751" s="9" t="str">
        <f t="shared" si="1"/>
        <v>NSE:INGERRAND</v>
      </c>
      <c r="V751" s="18"/>
      <c r="W751" s="18"/>
      <c r="X751" s="18"/>
    </row>
    <row r="752">
      <c r="A752" s="20"/>
      <c r="B752" s="3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35"/>
      <c r="N752" s="18"/>
      <c r="O752" s="18"/>
      <c r="P752" s="18"/>
      <c r="Q752" s="34"/>
      <c r="R752" s="18"/>
      <c r="S752" s="18"/>
      <c r="T752" s="19" t="s">
        <v>772</v>
      </c>
      <c r="U752" s="9" t="str">
        <f t="shared" si="1"/>
        <v>NSE:SEQUENT</v>
      </c>
      <c r="V752" s="18"/>
      <c r="W752" s="18"/>
      <c r="X752" s="18"/>
    </row>
    <row r="753">
      <c r="A753" s="20"/>
      <c r="B753" s="3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35"/>
      <c r="N753" s="18"/>
      <c r="O753" s="18"/>
      <c r="P753" s="18"/>
      <c r="Q753" s="34"/>
      <c r="R753" s="18"/>
      <c r="S753" s="18"/>
      <c r="T753" s="19" t="s">
        <v>773</v>
      </c>
      <c r="U753" s="9" t="str">
        <f t="shared" si="1"/>
        <v>NSE:ARKADE</v>
      </c>
      <c r="V753" s="18"/>
      <c r="W753" s="18"/>
      <c r="X753" s="18"/>
    </row>
    <row r="754">
      <c r="A754" s="20"/>
      <c r="B754" s="3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35"/>
      <c r="N754" s="18"/>
      <c r="O754" s="18"/>
      <c r="P754" s="18"/>
      <c r="Q754" s="34"/>
      <c r="R754" s="18"/>
      <c r="S754" s="18"/>
      <c r="T754" s="19" t="s">
        <v>774</v>
      </c>
      <c r="U754" s="9" t="str">
        <f t="shared" si="1"/>
        <v>NSE:EMCURE</v>
      </c>
      <c r="V754" s="18"/>
      <c r="W754" s="18"/>
      <c r="X754" s="18"/>
    </row>
    <row r="755">
      <c r="A755" s="20"/>
      <c r="B755" s="3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35"/>
      <c r="N755" s="18"/>
      <c r="O755" s="18"/>
      <c r="P755" s="18"/>
      <c r="Q755" s="34"/>
      <c r="R755" s="18"/>
      <c r="S755" s="18"/>
      <c r="T755" s="19" t="s">
        <v>775</v>
      </c>
      <c r="U755" s="9" t="str">
        <f t="shared" si="1"/>
        <v>NSE:RBA</v>
      </c>
      <c r="V755" s="18"/>
      <c r="W755" s="18"/>
      <c r="X755" s="18"/>
    </row>
    <row r="756">
      <c r="A756" s="20"/>
      <c r="B756" s="3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35"/>
      <c r="N756" s="18"/>
      <c r="O756" s="18"/>
      <c r="P756" s="18"/>
      <c r="Q756" s="34"/>
      <c r="R756" s="18"/>
      <c r="S756" s="18"/>
      <c r="T756" s="19" t="s">
        <v>776</v>
      </c>
      <c r="U756" s="9" t="str">
        <f t="shared" si="1"/>
        <v>NSE:GAEL</v>
      </c>
      <c r="V756" s="18"/>
      <c r="W756" s="18"/>
      <c r="X756" s="18"/>
    </row>
    <row r="757">
      <c r="A757" s="20"/>
      <c r="B757" s="3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35"/>
      <c r="N757" s="18"/>
      <c r="O757" s="18"/>
      <c r="P757" s="18"/>
      <c r="Q757" s="34"/>
      <c r="R757" s="18"/>
      <c r="S757" s="18"/>
      <c r="T757" s="19" t="s">
        <v>777</v>
      </c>
      <c r="U757" s="9" t="str">
        <f t="shared" si="1"/>
        <v>NSE:ALOKINDS</v>
      </c>
      <c r="V757" s="18"/>
      <c r="W757" s="18"/>
      <c r="X757" s="18"/>
    </row>
    <row r="758">
      <c r="A758" s="20"/>
      <c r="B758" s="3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35"/>
      <c r="N758" s="18"/>
      <c r="O758" s="18"/>
      <c r="P758" s="18"/>
      <c r="Q758" s="34"/>
      <c r="R758" s="18"/>
      <c r="S758" s="18"/>
      <c r="T758" s="19" t="s">
        <v>778</v>
      </c>
      <c r="U758" s="9" t="str">
        <f t="shared" si="1"/>
        <v>NSE:IIFLCAPS</v>
      </c>
      <c r="V758" s="18"/>
      <c r="W758" s="18"/>
      <c r="X758" s="18"/>
    </row>
    <row r="759">
      <c r="A759" s="20"/>
      <c r="B759" s="3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35"/>
      <c r="N759" s="18"/>
      <c r="O759" s="18"/>
      <c r="P759" s="18"/>
      <c r="Q759" s="34"/>
      <c r="R759" s="18"/>
      <c r="S759" s="18"/>
      <c r="T759" s="19" t="s">
        <v>779</v>
      </c>
      <c r="U759" s="9" t="str">
        <f t="shared" si="1"/>
        <v>NSE:JAMNAAUTO</v>
      </c>
      <c r="V759" s="18"/>
      <c r="W759" s="18"/>
      <c r="X759" s="18"/>
    </row>
    <row r="760">
      <c r="A760" s="20"/>
      <c r="B760" s="3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35"/>
      <c r="N760" s="18"/>
      <c r="O760" s="18"/>
      <c r="P760" s="18"/>
      <c r="Q760" s="34"/>
      <c r="R760" s="18"/>
      <c r="S760" s="18"/>
      <c r="T760" s="19" t="s">
        <v>780</v>
      </c>
      <c r="U760" s="9" t="str">
        <f t="shared" si="1"/>
        <v>NSE:ADVENZYMES</v>
      </c>
      <c r="V760" s="18"/>
      <c r="W760" s="18"/>
      <c r="X760" s="18"/>
    </row>
    <row r="761">
      <c r="A761" s="20"/>
      <c r="B761" s="3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35"/>
      <c r="N761" s="18"/>
      <c r="O761" s="18"/>
      <c r="P761" s="18"/>
      <c r="Q761" s="34"/>
      <c r="R761" s="18"/>
      <c r="S761" s="18"/>
      <c r="T761" s="19" t="s">
        <v>781</v>
      </c>
      <c r="U761" s="9" t="str">
        <f t="shared" si="1"/>
        <v>NSE:AHLUCONT</v>
      </c>
      <c r="V761" s="18"/>
      <c r="W761" s="18"/>
      <c r="X761" s="18"/>
    </row>
    <row r="762">
      <c r="A762" s="20"/>
      <c r="B762" s="3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35"/>
      <c r="N762" s="18"/>
      <c r="O762" s="18"/>
      <c r="P762" s="18"/>
      <c r="Q762" s="34"/>
      <c r="R762" s="18"/>
      <c r="S762" s="18"/>
      <c r="T762" s="19" t="s">
        <v>782</v>
      </c>
      <c r="U762" s="9" t="str">
        <f t="shared" si="1"/>
        <v>NSE:VSTIND</v>
      </c>
      <c r="V762" s="18"/>
      <c r="W762" s="18"/>
      <c r="X762" s="18"/>
    </row>
    <row r="763">
      <c r="A763" s="20"/>
      <c r="B763" s="3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35"/>
      <c r="N763" s="18"/>
      <c r="O763" s="18"/>
      <c r="P763" s="18"/>
      <c r="Q763" s="34"/>
      <c r="R763" s="18"/>
      <c r="S763" s="18"/>
      <c r="T763" s="19" t="s">
        <v>783</v>
      </c>
      <c r="U763" s="9" t="str">
        <f t="shared" si="1"/>
        <v>NSE:SJS</v>
      </c>
      <c r="V763" s="18"/>
      <c r="W763" s="18"/>
      <c r="X763" s="18"/>
    </row>
    <row r="764">
      <c r="A764" s="20"/>
      <c r="B764" s="3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35"/>
      <c r="N764" s="18"/>
      <c r="O764" s="18"/>
      <c r="P764" s="18"/>
      <c r="Q764" s="34"/>
      <c r="R764" s="18"/>
      <c r="S764" s="18"/>
      <c r="T764" s="19" t="s">
        <v>784</v>
      </c>
      <c r="U764" s="9" t="str">
        <f t="shared" si="1"/>
        <v>NSE:CCL</v>
      </c>
      <c r="V764" s="18"/>
      <c r="W764" s="18"/>
      <c r="X764" s="18"/>
    </row>
    <row r="765">
      <c r="A765" s="20"/>
      <c r="B765" s="3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35"/>
      <c r="N765" s="18"/>
      <c r="O765" s="18"/>
      <c r="P765" s="18"/>
      <c r="Q765" s="34"/>
      <c r="R765" s="18"/>
      <c r="S765" s="18"/>
      <c r="T765" s="19" t="s">
        <v>785</v>
      </c>
      <c r="U765" s="9" t="str">
        <f t="shared" si="1"/>
        <v>NSE:RIIL</v>
      </c>
      <c r="V765" s="18"/>
      <c r="W765" s="18"/>
      <c r="X765" s="18"/>
    </row>
    <row r="766">
      <c r="A766" s="20"/>
      <c r="B766" s="3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35"/>
      <c r="N766" s="18"/>
      <c r="O766" s="18"/>
      <c r="P766" s="18"/>
      <c r="Q766" s="34"/>
      <c r="R766" s="18"/>
      <c r="S766" s="18"/>
      <c r="T766" s="19" t="s">
        <v>786</v>
      </c>
      <c r="U766" s="9" t="str">
        <f t="shared" si="1"/>
        <v>NSE:ASHAPURMIN</v>
      </c>
      <c r="V766" s="18"/>
      <c r="W766" s="18"/>
      <c r="X766" s="18"/>
    </row>
    <row r="767">
      <c r="A767" s="20"/>
      <c r="B767" s="3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35"/>
      <c r="N767" s="18"/>
      <c r="O767" s="18"/>
      <c r="P767" s="18"/>
      <c r="Q767" s="34"/>
      <c r="R767" s="18"/>
      <c r="S767" s="18"/>
      <c r="T767" s="19" t="s">
        <v>787</v>
      </c>
      <c r="U767" s="9" t="str">
        <f t="shared" si="1"/>
        <v>NSE:WSTCSTPAPR</v>
      </c>
      <c r="V767" s="18"/>
      <c r="W767" s="18"/>
      <c r="X767" s="18"/>
    </row>
    <row r="768">
      <c r="A768" s="20"/>
      <c r="B768" s="3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35"/>
      <c r="N768" s="18"/>
      <c r="O768" s="18"/>
      <c r="P768" s="18"/>
      <c r="Q768" s="34"/>
      <c r="R768" s="18"/>
      <c r="S768" s="18"/>
      <c r="T768" s="19" t="s">
        <v>788</v>
      </c>
      <c r="U768" s="9" t="str">
        <f t="shared" si="1"/>
        <v>NSE:NSIL</v>
      </c>
      <c r="V768" s="18"/>
      <c r="W768" s="18"/>
      <c r="X768" s="18"/>
    </row>
    <row r="769">
      <c r="A769" s="20"/>
      <c r="B769" s="3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35"/>
      <c r="N769" s="18"/>
      <c r="O769" s="18"/>
      <c r="P769" s="18"/>
      <c r="Q769" s="34"/>
      <c r="R769" s="18"/>
      <c r="S769" s="18"/>
      <c r="T769" s="19" t="s">
        <v>789</v>
      </c>
      <c r="U769" s="9" t="str">
        <f t="shared" si="1"/>
        <v>NSE:SHK</v>
      </c>
      <c r="V769" s="18"/>
      <c r="W769" s="18"/>
      <c r="X769" s="18"/>
    </row>
    <row r="770">
      <c r="A770" s="20"/>
      <c r="B770" s="3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35"/>
      <c r="N770" s="18"/>
      <c r="O770" s="18"/>
      <c r="P770" s="18"/>
      <c r="Q770" s="34"/>
      <c r="R770" s="18"/>
      <c r="S770" s="18"/>
      <c r="T770" s="19" t="s">
        <v>790</v>
      </c>
      <c r="U770" s="9" t="str">
        <f t="shared" si="1"/>
        <v>NSE:SURAKSHA</v>
      </c>
      <c r="V770" s="18"/>
      <c r="W770" s="18"/>
      <c r="X770" s="18"/>
    </row>
    <row r="771">
      <c r="A771" s="20"/>
      <c r="B771" s="3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35"/>
      <c r="N771" s="18"/>
      <c r="O771" s="18"/>
      <c r="P771" s="18"/>
      <c r="Q771" s="34"/>
      <c r="R771" s="18"/>
      <c r="S771" s="18"/>
      <c r="T771" s="19" t="s">
        <v>791</v>
      </c>
      <c r="U771" s="9" t="str">
        <f t="shared" si="1"/>
        <v>NSE:CANTABIL</v>
      </c>
      <c r="V771" s="18"/>
      <c r="W771" s="18"/>
      <c r="X771" s="18"/>
    </row>
    <row r="772">
      <c r="A772" s="20"/>
      <c r="B772" s="3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35"/>
      <c r="N772" s="18"/>
      <c r="O772" s="18"/>
      <c r="P772" s="18"/>
      <c r="Q772" s="34"/>
      <c r="R772" s="18"/>
      <c r="S772" s="18"/>
      <c r="T772" s="19" t="s">
        <v>792</v>
      </c>
      <c r="U772" s="9" t="str">
        <f t="shared" si="1"/>
        <v>NSE:ARIHANTCAP</v>
      </c>
      <c r="V772" s="18"/>
      <c r="W772" s="18"/>
      <c r="X772" s="18"/>
    </row>
    <row r="773">
      <c r="A773" s="20"/>
      <c r="B773" s="3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35"/>
      <c r="N773" s="18"/>
      <c r="O773" s="18"/>
      <c r="P773" s="18"/>
      <c r="Q773" s="34"/>
      <c r="R773" s="18"/>
      <c r="S773" s="18"/>
      <c r="T773" s="19" t="s">
        <v>793</v>
      </c>
      <c r="U773" s="9" t="str">
        <f t="shared" si="1"/>
        <v>NSE:SHARDAMOTR</v>
      </c>
      <c r="V773" s="18"/>
      <c r="W773" s="18"/>
      <c r="X773" s="18"/>
    </row>
    <row r="774">
      <c r="A774" s="20"/>
      <c r="B774" s="3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35"/>
      <c r="N774" s="18"/>
      <c r="O774" s="18"/>
      <c r="P774" s="18"/>
      <c r="Q774" s="34"/>
      <c r="R774" s="18"/>
      <c r="S774" s="18"/>
      <c r="T774" s="19" t="s">
        <v>794</v>
      </c>
      <c r="U774" s="9" t="str">
        <f t="shared" si="1"/>
        <v>NSE:CONCORDBIO</v>
      </c>
      <c r="V774" s="18"/>
      <c r="W774" s="18"/>
      <c r="X774" s="18"/>
    </row>
    <row r="775">
      <c r="A775" s="20"/>
      <c r="B775" s="3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35"/>
      <c r="N775" s="18"/>
      <c r="O775" s="18"/>
      <c r="P775" s="18"/>
      <c r="Q775" s="34"/>
      <c r="R775" s="18"/>
      <c r="S775" s="18"/>
      <c r="T775" s="19" t="s">
        <v>795</v>
      </c>
      <c r="U775" s="9" t="str">
        <f t="shared" si="1"/>
        <v>NSE:REPCOHOME</v>
      </c>
      <c r="V775" s="18"/>
      <c r="W775" s="18"/>
      <c r="X775" s="18"/>
    </row>
    <row r="776">
      <c r="A776" s="20"/>
      <c r="B776" s="3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35"/>
      <c r="N776" s="18"/>
      <c r="O776" s="18"/>
      <c r="P776" s="18"/>
      <c r="Q776" s="34"/>
      <c r="R776" s="18"/>
      <c r="S776" s="18"/>
      <c r="T776" s="19" t="s">
        <v>796</v>
      </c>
      <c r="U776" s="9" t="str">
        <f t="shared" si="1"/>
        <v>NSE:PLATIND</v>
      </c>
      <c r="V776" s="18"/>
      <c r="W776" s="18"/>
      <c r="X776" s="18"/>
    </row>
    <row r="777">
      <c r="A777" s="20"/>
      <c r="B777" s="3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35"/>
      <c r="N777" s="18"/>
      <c r="O777" s="18"/>
      <c r="P777" s="18"/>
      <c r="Q777" s="34"/>
      <c r="R777" s="18"/>
      <c r="S777" s="18"/>
      <c r="T777" s="19" t="s">
        <v>797</v>
      </c>
      <c r="U777" s="9" t="str">
        <f t="shared" si="1"/>
        <v>NSE:SALZERELEC</v>
      </c>
      <c r="V777" s="18"/>
      <c r="W777" s="18"/>
      <c r="X777" s="18"/>
    </row>
    <row r="778">
      <c r="A778" s="20"/>
      <c r="B778" s="3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35"/>
      <c r="N778" s="18"/>
      <c r="O778" s="18"/>
      <c r="P778" s="18"/>
      <c r="Q778" s="34"/>
      <c r="R778" s="18"/>
      <c r="S778" s="18"/>
      <c r="T778" s="19" t="s">
        <v>798</v>
      </c>
      <c r="U778" s="9" t="str">
        <f t="shared" si="1"/>
        <v>NSE:AVANTEL</v>
      </c>
      <c r="V778" s="18"/>
      <c r="W778" s="18"/>
      <c r="X778" s="18"/>
    </row>
    <row r="779">
      <c r="A779" s="20"/>
      <c r="B779" s="3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35"/>
      <c r="N779" s="18"/>
      <c r="O779" s="18"/>
      <c r="P779" s="18"/>
      <c r="Q779" s="34"/>
      <c r="R779" s="18"/>
      <c r="S779" s="18"/>
      <c r="T779" s="19" t="s">
        <v>799</v>
      </c>
      <c r="U779" s="9" t="str">
        <f t="shared" si="1"/>
        <v>NSE:FINOPB</v>
      </c>
      <c r="V779" s="18"/>
      <c r="W779" s="18"/>
      <c r="X779" s="18"/>
    </row>
    <row r="780">
      <c r="A780" s="20"/>
      <c r="B780" s="3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35"/>
      <c r="N780" s="18"/>
      <c r="O780" s="18"/>
      <c r="P780" s="18"/>
      <c r="Q780" s="34"/>
      <c r="R780" s="18"/>
      <c r="S780" s="18"/>
      <c r="T780" s="19" t="s">
        <v>800</v>
      </c>
      <c r="U780" s="9" t="str">
        <f t="shared" si="1"/>
        <v>NSE:HGINFRA</v>
      </c>
      <c r="V780" s="18"/>
      <c r="W780" s="18"/>
      <c r="X780" s="18"/>
    </row>
    <row r="781">
      <c r="A781" s="20"/>
      <c r="B781" s="3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35"/>
      <c r="N781" s="18"/>
      <c r="O781" s="18"/>
      <c r="P781" s="18"/>
      <c r="Q781" s="34"/>
      <c r="R781" s="18"/>
      <c r="S781" s="18"/>
      <c r="T781" s="19" t="s">
        <v>801</v>
      </c>
      <c r="U781" s="9" t="str">
        <f t="shared" si="1"/>
        <v>NSE:SHALBY</v>
      </c>
      <c r="V781" s="18"/>
      <c r="W781" s="18"/>
      <c r="X781" s="18"/>
    </row>
    <row r="782">
      <c r="A782" s="20"/>
      <c r="B782" s="3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35"/>
      <c r="N782" s="18"/>
      <c r="O782" s="18"/>
      <c r="P782" s="18"/>
      <c r="Q782" s="34"/>
      <c r="R782" s="18"/>
      <c r="S782" s="18"/>
      <c r="T782" s="19" t="s">
        <v>802</v>
      </c>
      <c r="U782" s="9" t="str">
        <f t="shared" si="1"/>
        <v>NSE:CLEAN</v>
      </c>
      <c r="V782" s="18"/>
      <c r="W782" s="18"/>
      <c r="X782" s="18"/>
    </row>
    <row r="783">
      <c r="A783" s="20"/>
      <c r="B783" s="3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35"/>
      <c r="N783" s="18"/>
      <c r="O783" s="18"/>
      <c r="P783" s="18"/>
      <c r="Q783" s="34"/>
      <c r="R783" s="18"/>
      <c r="S783" s="18"/>
      <c r="T783" s="19" t="s">
        <v>803</v>
      </c>
      <c r="U783" s="9" t="str">
        <f t="shared" si="1"/>
        <v>NSE:PTCIL</v>
      </c>
      <c r="V783" s="18"/>
      <c r="W783" s="18"/>
      <c r="X783" s="18"/>
    </row>
    <row r="784">
      <c r="A784" s="20"/>
      <c r="B784" s="3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35"/>
      <c r="N784" s="18"/>
      <c r="O784" s="18"/>
      <c r="P784" s="18"/>
      <c r="Q784" s="34"/>
      <c r="R784" s="18"/>
      <c r="S784" s="18"/>
      <c r="T784" s="19" t="s">
        <v>804</v>
      </c>
      <c r="U784" s="9" t="str">
        <f t="shared" si="1"/>
        <v>NSE:WALCHANNAG</v>
      </c>
      <c r="V784" s="18"/>
      <c r="W784" s="18"/>
      <c r="X784" s="18"/>
    </row>
    <row r="785">
      <c r="A785" s="20"/>
      <c r="B785" s="3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35"/>
      <c r="N785" s="18"/>
      <c r="O785" s="18"/>
      <c r="P785" s="18"/>
      <c r="Q785" s="34"/>
      <c r="R785" s="18"/>
      <c r="S785" s="18"/>
      <c r="T785" s="19" t="s">
        <v>805</v>
      </c>
      <c r="U785" s="9" t="str">
        <f t="shared" si="1"/>
        <v>NSE:MAMATA</v>
      </c>
      <c r="V785" s="18"/>
      <c r="W785" s="18"/>
      <c r="X785" s="18"/>
    </row>
    <row r="786">
      <c r="A786" s="20"/>
      <c r="B786" s="3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35"/>
      <c r="N786" s="18"/>
      <c r="O786" s="18"/>
      <c r="P786" s="18"/>
      <c r="Q786" s="34"/>
      <c r="R786" s="18"/>
      <c r="S786" s="18"/>
      <c r="T786" s="19" t="s">
        <v>806</v>
      </c>
      <c r="U786" s="9" t="str">
        <f t="shared" si="1"/>
        <v>NSE:PAISALO</v>
      </c>
      <c r="V786" s="18"/>
      <c r="W786" s="18"/>
      <c r="X786" s="18"/>
    </row>
    <row r="787">
      <c r="A787" s="20"/>
      <c r="B787" s="3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35"/>
      <c r="N787" s="18"/>
      <c r="O787" s="18"/>
      <c r="P787" s="18"/>
      <c r="Q787" s="34"/>
      <c r="R787" s="18"/>
      <c r="S787" s="18"/>
      <c r="T787" s="19" t="s">
        <v>807</v>
      </c>
      <c r="U787" s="9" t="str">
        <f t="shared" si="1"/>
        <v>NSE:SUNTECK</v>
      </c>
      <c r="V787" s="18"/>
      <c r="W787" s="18"/>
      <c r="X787" s="18"/>
    </row>
    <row r="788">
      <c r="A788" s="20"/>
      <c r="B788" s="3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35"/>
      <c r="N788" s="18"/>
      <c r="O788" s="18"/>
      <c r="P788" s="18"/>
      <c r="Q788" s="34"/>
      <c r="R788" s="18"/>
      <c r="S788" s="18"/>
      <c r="T788" s="19" t="s">
        <v>808</v>
      </c>
      <c r="U788" s="9" t="str">
        <f t="shared" si="1"/>
        <v>NSE:TBOTEK</v>
      </c>
      <c r="V788" s="18"/>
      <c r="W788" s="18"/>
      <c r="X788" s="18"/>
    </row>
    <row r="789">
      <c r="A789" s="20"/>
      <c r="B789" s="3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35"/>
      <c r="N789" s="18"/>
      <c r="O789" s="18"/>
      <c r="P789" s="18"/>
      <c r="Q789" s="34"/>
      <c r="R789" s="18"/>
      <c r="S789" s="18"/>
      <c r="T789" s="19" t="s">
        <v>809</v>
      </c>
      <c r="U789" s="9" t="str">
        <f t="shared" si="1"/>
        <v>NSE:IPL</v>
      </c>
      <c r="V789" s="18"/>
      <c r="W789" s="18"/>
      <c r="X789" s="18"/>
    </row>
    <row r="790">
      <c r="A790" s="20"/>
      <c r="B790" s="3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35"/>
      <c r="N790" s="18"/>
      <c r="O790" s="18"/>
      <c r="P790" s="18"/>
      <c r="Q790" s="34"/>
      <c r="R790" s="18"/>
      <c r="S790" s="18"/>
      <c r="T790" s="19" t="s">
        <v>810</v>
      </c>
      <c r="U790" s="9" t="str">
        <f t="shared" si="1"/>
        <v>NSE:AKUMS</v>
      </c>
      <c r="V790" s="18"/>
      <c r="W790" s="18"/>
      <c r="X790" s="18"/>
    </row>
    <row r="791">
      <c r="A791" s="20"/>
      <c r="B791" s="3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35"/>
      <c r="N791" s="18"/>
      <c r="O791" s="18"/>
      <c r="P791" s="18"/>
      <c r="Q791" s="34"/>
      <c r="R791" s="18"/>
      <c r="S791" s="18"/>
      <c r="T791" s="19" t="s">
        <v>811</v>
      </c>
      <c r="U791" s="9" t="str">
        <f t="shared" si="1"/>
        <v>NSE:DHANUKA</v>
      </c>
      <c r="V791" s="18"/>
      <c r="W791" s="18"/>
      <c r="X791" s="18"/>
    </row>
    <row r="792">
      <c r="A792" s="20"/>
      <c r="B792" s="3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35"/>
      <c r="N792" s="18"/>
      <c r="O792" s="18"/>
      <c r="P792" s="18"/>
      <c r="Q792" s="34"/>
      <c r="R792" s="18"/>
      <c r="S792" s="18"/>
      <c r="T792" s="19" t="s">
        <v>812</v>
      </c>
      <c r="U792" s="9" t="str">
        <f t="shared" si="1"/>
        <v>NSE:GATEWAY</v>
      </c>
      <c r="V792" s="18"/>
      <c r="W792" s="18"/>
      <c r="X792" s="18"/>
    </row>
    <row r="793">
      <c r="A793" s="20"/>
      <c r="B793" s="3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35"/>
      <c r="N793" s="18"/>
      <c r="O793" s="18"/>
      <c r="P793" s="18"/>
      <c r="Q793" s="34"/>
      <c r="R793" s="18"/>
      <c r="S793" s="18"/>
      <c r="T793" s="19" t="s">
        <v>813</v>
      </c>
      <c r="U793" s="9" t="str">
        <f t="shared" si="1"/>
        <v>NSE:TIPSMUSIC</v>
      </c>
      <c r="V793" s="18"/>
      <c r="W793" s="18"/>
      <c r="X793" s="18"/>
    </row>
    <row r="794">
      <c r="A794" s="20"/>
      <c r="B794" s="3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35"/>
      <c r="N794" s="18"/>
      <c r="O794" s="18"/>
      <c r="P794" s="18"/>
      <c r="Q794" s="34"/>
      <c r="R794" s="18"/>
      <c r="S794" s="18"/>
      <c r="T794" s="19" t="s">
        <v>814</v>
      </c>
      <c r="U794" s="9" t="str">
        <f t="shared" si="1"/>
        <v>NSE:SIGACHI</v>
      </c>
      <c r="V794" s="18"/>
      <c r="W794" s="18"/>
      <c r="X794" s="18"/>
    </row>
    <row r="795">
      <c r="A795" s="20"/>
      <c r="B795" s="3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35"/>
      <c r="N795" s="18"/>
      <c r="O795" s="18"/>
      <c r="P795" s="18"/>
      <c r="Q795" s="34"/>
      <c r="R795" s="18"/>
      <c r="S795" s="18"/>
      <c r="T795" s="19" t="s">
        <v>815</v>
      </c>
      <c r="U795" s="9" t="str">
        <f t="shared" si="1"/>
        <v>NSE:STYLEBAAZA</v>
      </c>
      <c r="V795" s="18"/>
      <c r="W795" s="18"/>
      <c r="X795" s="18"/>
    </row>
    <row r="796">
      <c r="A796" s="20"/>
      <c r="B796" s="3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35"/>
      <c r="N796" s="18"/>
      <c r="O796" s="18"/>
      <c r="P796" s="18"/>
      <c r="Q796" s="34"/>
      <c r="R796" s="18"/>
      <c r="S796" s="18"/>
      <c r="T796" s="19" t="s">
        <v>816</v>
      </c>
      <c r="U796" s="9" t="str">
        <f t="shared" si="1"/>
        <v>NSE:SBFC</v>
      </c>
      <c r="V796" s="18"/>
      <c r="W796" s="18"/>
      <c r="X796" s="18"/>
    </row>
    <row r="797">
      <c r="A797" s="20"/>
      <c r="B797" s="3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35"/>
      <c r="N797" s="18"/>
      <c r="O797" s="18"/>
      <c r="P797" s="18"/>
      <c r="Q797" s="34"/>
      <c r="R797" s="18"/>
      <c r="S797" s="18"/>
      <c r="T797" s="19" t="s">
        <v>817</v>
      </c>
      <c r="U797" s="9" t="str">
        <f t="shared" si="1"/>
        <v>NSE:EXICOM</v>
      </c>
      <c r="V797" s="18"/>
      <c r="W797" s="18"/>
      <c r="X797" s="18"/>
    </row>
    <row r="798">
      <c r="A798" s="20"/>
      <c r="B798" s="3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35"/>
      <c r="N798" s="18"/>
      <c r="O798" s="18"/>
      <c r="P798" s="18"/>
      <c r="Q798" s="34"/>
      <c r="R798" s="18"/>
      <c r="S798" s="18"/>
      <c r="T798" s="19" t="s">
        <v>818</v>
      </c>
      <c r="U798" s="9" t="str">
        <f t="shared" si="1"/>
        <v>NSE:CYIENTDLM</v>
      </c>
      <c r="V798" s="18"/>
      <c r="W798" s="18"/>
      <c r="X798" s="18"/>
    </row>
    <row r="799">
      <c r="A799" s="20"/>
      <c r="B799" s="3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35"/>
      <c r="N799" s="18"/>
      <c r="O799" s="18"/>
      <c r="P799" s="18"/>
      <c r="Q799" s="34"/>
      <c r="R799" s="18"/>
      <c r="S799" s="18"/>
      <c r="T799" s="19" t="s">
        <v>819</v>
      </c>
      <c r="U799" s="9" t="str">
        <f t="shared" si="1"/>
        <v>NSE:IKIO</v>
      </c>
      <c r="V799" s="18"/>
      <c r="W799" s="18"/>
      <c r="X799" s="18"/>
    </row>
    <row r="800">
      <c r="A800" s="20"/>
      <c r="B800" s="3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35"/>
      <c r="N800" s="18"/>
      <c r="O800" s="18"/>
      <c r="P800" s="18"/>
      <c r="Q800" s="34"/>
      <c r="R800" s="18"/>
      <c r="S800" s="18"/>
      <c r="T800" s="19" t="s">
        <v>820</v>
      </c>
      <c r="U800" s="9" t="str">
        <f t="shared" si="1"/>
        <v>NSE:VADILALIND</v>
      </c>
      <c r="V800" s="18"/>
      <c r="W800" s="18"/>
      <c r="X800" s="18"/>
    </row>
    <row r="801">
      <c r="A801" s="20"/>
      <c r="B801" s="3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35"/>
      <c r="N801" s="18"/>
      <c r="O801" s="18"/>
      <c r="P801" s="18"/>
      <c r="Q801" s="34"/>
      <c r="R801" s="18"/>
      <c r="S801" s="18"/>
      <c r="T801" s="19" t="s">
        <v>821</v>
      </c>
      <c r="U801" s="9" t="str">
        <f t="shared" si="1"/>
        <v>NSE:ARVIND</v>
      </c>
      <c r="V801" s="18"/>
      <c r="W801" s="18"/>
      <c r="X801" s="18"/>
    </row>
    <row r="802">
      <c r="A802" s="20"/>
      <c r="B802" s="3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35"/>
      <c r="N802" s="18"/>
      <c r="O802" s="18"/>
      <c r="P802" s="18"/>
      <c r="Q802" s="34"/>
      <c r="R802" s="18"/>
      <c r="S802" s="18"/>
      <c r="T802" s="19" t="s">
        <v>822</v>
      </c>
      <c r="U802" s="9" t="str">
        <f t="shared" si="1"/>
        <v>NSE:SANDUMA</v>
      </c>
      <c r="V802" s="18"/>
      <c r="W802" s="18"/>
      <c r="X802" s="18"/>
    </row>
    <row r="803">
      <c r="A803" s="20"/>
      <c r="B803" s="3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35"/>
      <c r="N803" s="18"/>
      <c r="O803" s="18"/>
      <c r="P803" s="18"/>
      <c r="Q803" s="34"/>
      <c r="R803" s="18"/>
      <c r="S803" s="18"/>
      <c r="T803" s="19" t="s">
        <v>823</v>
      </c>
      <c r="U803" s="9" t="str">
        <f t="shared" si="1"/>
        <v>NSE:AIIL</v>
      </c>
      <c r="V803" s="18"/>
      <c r="W803" s="18"/>
      <c r="X803" s="18"/>
    </row>
    <row r="804">
      <c r="A804" s="20"/>
      <c r="B804" s="3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35"/>
      <c r="N804" s="18"/>
      <c r="O804" s="18"/>
      <c r="P804" s="18"/>
      <c r="Q804" s="34"/>
      <c r="R804" s="18"/>
      <c r="S804" s="18"/>
      <c r="T804" s="19" t="s">
        <v>824</v>
      </c>
      <c r="U804" s="9" t="str">
        <f t="shared" si="1"/>
        <v>NSE:SMALLCAP</v>
      </c>
      <c r="V804" s="18"/>
      <c r="W804" s="18"/>
      <c r="X804" s="18"/>
    </row>
    <row r="805">
      <c r="A805" s="20"/>
      <c r="B805" s="3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35"/>
      <c r="N805" s="18"/>
      <c r="O805" s="18"/>
      <c r="P805" s="18"/>
      <c r="Q805" s="34"/>
      <c r="R805" s="18"/>
      <c r="S805" s="18"/>
      <c r="T805" s="19" t="s">
        <v>825</v>
      </c>
      <c r="U805" s="9" t="str">
        <f t="shared" si="1"/>
        <v>NSE:GOODLUCK</v>
      </c>
      <c r="V805" s="18"/>
      <c r="W805" s="18"/>
      <c r="X805" s="18"/>
    </row>
    <row r="806">
      <c r="A806" s="20"/>
      <c r="B806" s="3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35"/>
      <c r="N806" s="18"/>
      <c r="O806" s="18"/>
      <c r="P806" s="18"/>
      <c r="Q806" s="34"/>
      <c r="R806" s="18"/>
      <c r="S806" s="18"/>
      <c r="T806" s="19" t="s">
        <v>826</v>
      </c>
      <c r="U806" s="9" t="str">
        <f t="shared" si="1"/>
        <v>NSE:VTL</v>
      </c>
      <c r="V806" s="18"/>
      <c r="W806" s="18"/>
      <c r="X806" s="18"/>
    </row>
    <row r="807">
      <c r="A807" s="20"/>
      <c r="B807" s="3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35"/>
      <c r="N807" s="18"/>
      <c r="O807" s="18"/>
      <c r="P807" s="18"/>
      <c r="Q807" s="34"/>
      <c r="R807" s="18"/>
      <c r="S807" s="18"/>
      <c r="T807" s="19" t="s">
        <v>827</v>
      </c>
      <c r="U807" s="9" t="str">
        <f t="shared" si="1"/>
        <v>NSE:PARKHOTELS</v>
      </c>
      <c r="V807" s="18"/>
      <c r="W807" s="18"/>
      <c r="X807" s="18"/>
    </row>
    <row r="808">
      <c r="A808" s="20"/>
      <c r="B808" s="3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35"/>
      <c r="N808" s="18"/>
      <c r="O808" s="18"/>
      <c r="P808" s="18"/>
      <c r="Q808" s="34"/>
      <c r="R808" s="18"/>
      <c r="S808" s="18"/>
      <c r="T808" s="19" t="s">
        <v>828</v>
      </c>
      <c r="U808" s="9" t="str">
        <f t="shared" si="1"/>
        <v>NSE:ONWARDTEC</v>
      </c>
      <c r="V808" s="18"/>
      <c r="W808" s="18"/>
      <c r="X808" s="18"/>
    </row>
    <row r="809">
      <c r="A809" s="20"/>
      <c r="B809" s="3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35"/>
      <c r="N809" s="18"/>
      <c r="O809" s="18"/>
      <c r="P809" s="18"/>
      <c r="Q809" s="34"/>
      <c r="R809" s="18"/>
      <c r="S809" s="18"/>
      <c r="T809" s="19" t="s">
        <v>829</v>
      </c>
      <c r="U809" s="9" t="str">
        <f t="shared" si="1"/>
        <v>NSE:BLUEDART</v>
      </c>
      <c r="V809" s="18"/>
      <c r="W809" s="18"/>
      <c r="X809" s="18"/>
    </row>
    <row r="810">
      <c r="A810" s="20"/>
      <c r="B810" s="3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35"/>
      <c r="N810" s="18"/>
      <c r="O810" s="18"/>
      <c r="P810" s="18"/>
      <c r="Q810" s="34"/>
      <c r="R810" s="18"/>
      <c r="S810" s="18"/>
      <c r="T810" s="19" t="s">
        <v>830</v>
      </c>
      <c r="U810" s="9" t="str">
        <f t="shared" si="1"/>
        <v>NSE:DEEPINDS</v>
      </c>
      <c r="V810" s="18"/>
      <c r="W810" s="18"/>
      <c r="X810" s="18"/>
    </row>
    <row r="811">
      <c r="A811" s="20"/>
      <c r="B811" s="3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35"/>
      <c r="N811" s="18"/>
      <c r="O811" s="18"/>
      <c r="P811" s="18"/>
      <c r="Q811" s="34"/>
      <c r="R811" s="18"/>
      <c r="S811" s="18"/>
      <c r="T811" s="19" t="s">
        <v>831</v>
      </c>
      <c r="U811" s="9" t="str">
        <f t="shared" si="1"/>
        <v>NSE:IWEL</v>
      </c>
      <c r="V811" s="18"/>
      <c r="W811" s="18"/>
      <c r="X811" s="18"/>
    </row>
    <row r="812">
      <c r="A812" s="20"/>
      <c r="B812" s="3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35"/>
      <c r="N812" s="18"/>
      <c r="O812" s="18"/>
      <c r="P812" s="18"/>
      <c r="Q812" s="34"/>
      <c r="R812" s="18"/>
      <c r="S812" s="18"/>
      <c r="T812" s="19" t="s">
        <v>832</v>
      </c>
      <c r="U812" s="9" t="str">
        <f t="shared" si="1"/>
        <v>NSE:KAMDHENU</v>
      </c>
      <c r="V812" s="18"/>
      <c r="W812" s="18"/>
      <c r="X812" s="18"/>
    </row>
    <row r="813">
      <c r="A813" s="20"/>
      <c r="B813" s="3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35"/>
      <c r="N813" s="18"/>
      <c r="O813" s="18"/>
      <c r="P813" s="18"/>
      <c r="Q813" s="34"/>
      <c r="R813" s="18"/>
      <c r="S813" s="18"/>
      <c r="T813" s="19" t="s">
        <v>833</v>
      </c>
      <c r="U813" s="9" t="str">
        <f t="shared" si="1"/>
        <v>NSE:EUREKAFORB</v>
      </c>
      <c r="V813" s="18"/>
      <c r="W813" s="18"/>
      <c r="X813" s="18"/>
    </row>
    <row r="814">
      <c r="A814" s="20"/>
      <c r="B814" s="3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35"/>
      <c r="N814" s="18"/>
      <c r="O814" s="18"/>
      <c r="P814" s="18"/>
      <c r="Q814" s="34"/>
      <c r="R814" s="18"/>
      <c r="S814" s="18"/>
      <c r="T814" s="19" t="s">
        <v>834</v>
      </c>
      <c r="U814" s="9" t="str">
        <f t="shared" si="1"/>
        <v>NSE:MAHSCOOTER</v>
      </c>
      <c r="V814" s="18"/>
      <c r="W814" s="18"/>
      <c r="X814" s="18"/>
    </row>
    <row r="815">
      <c r="A815" s="20"/>
      <c r="B815" s="3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35"/>
      <c r="N815" s="18"/>
      <c r="O815" s="18"/>
      <c r="P815" s="18"/>
      <c r="Q815" s="34"/>
      <c r="R815" s="18"/>
      <c r="S815" s="18"/>
      <c r="T815" s="19" t="s">
        <v>835</v>
      </c>
      <c r="U815" s="9" t="str">
        <f t="shared" si="1"/>
        <v>NSE:PARACABLES</v>
      </c>
      <c r="V815" s="18"/>
      <c r="W815" s="18"/>
      <c r="X815" s="18"/>
    </row>
    <row r="816">
      <c r="A816" s="20"/>
      <c r="B816" s="3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35"/>
      <c r="N816" s="18"/>
      <c r="O816" s="18"/>
      <c r="P816" s="18"/>
      <c r="Q816" s="34"/>
      <c r="R816" s="18"/>
      <c r="S816" s="18"/>
      <c r="T816" s="19" t="s">
        <v>836</v>
      </c>
      <c r="U816" s="9" t="str">
        <f t="shared" si="1"/>
        <v>NSE:ICIL</v>
      </c>
      <c r="V816" s="18"/>
      <c r="W816" s="18"/>
      <c r="X816" s="18"/>
    </row>
    <row r="817">
      <c r="A817" s="20"/>
      <c r="B817" s="3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35"/>
      <c r="N817" s="18"/>
      <c r="O817" s="18"/>
      <c r="P817" s="18"/>
      <c r="Q817" s="34"/>
      <c r="R817" s="18"/>
      <c r="S817" s="18"/>
      <c r="T817" s="19" t="s">
        <v>837</v>
      </c>
      <c r="U817" s="9" t="str">
        <f t="shared" si="1"/>
        <v>NSE:KITEX</v>
      </c>
      <c r="V817" s="18"/>
      <c r="W817" s="18"/>
      <c r="X817" s="18"/>
    </row>
    <row r="818">
      <c r="A818" s="20"/>
      <c r="B818" s="3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35"/>
      <c r="N818" s="18"/>
      <c r="O818" s="18"/>
      <c r="P818" s="18"/>
      <c r="Q818" s="34"/>
      <c r="R818" s="18"/>
      <c r="S818" s="18"/>
      <c r="T818" s="19" t="s">
        <v>838</v>
      </c>
      <c r="U818" s="9" t="str">
        <f t="shared" si="1"/>
        <v>NSE:RELAXO</v>
      </c>
      <c r="V818" s="18"/>
      <c r="W818" s="18"/>
      <c r="X818" s="18"/>
    </row>
    <row r="819">
      <c r="A819" s="20"/>
      <c r="B819" s="3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35"/>
      <c r="N819" s="18"/>
      <c r="O819" s="18"/>
      <c r="P819" s="18"/>
      <c r="Q819" s="34"/>
      <c r="R819" s="18"/>
      <c r="S819" s="18"/>
      <c r="T819" s="19" t="s">
        <v>839</v>
      </c>
      <c r="U819" s="9" t="str">
        <f t="shared" si="1"/>
        <v>NSE:NIACL</v>
      </c>
      <c r="V819" s="18"/>
      <c r="W819" s="18"/>
      <c r="X819" s="18"/>
    </row>
    <row r="820">
      <c r="A820" s="20"/>
      <c r="B820" s="3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35"/>
      <c r="N820" s="18"/>
      <c r="O820" s="18"/>
      <c r="P820" s="18"/>
      <c r="Q820" s="34"/>
      <c r="R820" s="18"/>
      <c r="S820" s="18"/>
      <c r="T820" s="19" t="s">
        <v>840</v>
      </c>
      <c r="U820" s="9" t="str">
        <f t="shared" si="1"/>
        <v>NSE:CAMPUS</v>
      </c>
      <c r="V820" s="18"/>
      <c r="W820" s="18"/>
      <c r="X820" s="18"/>
    </row>
    <row r="821">
      <c r="A821" s="20"/>
      <c r="B821" s="3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35"/>
      <c r="N821" s="18"/>
      <c r="O821" s="18"/>
      <c r="P821" s="18"/>
      <c r="Q821" s="34"/>
      <c r="R821" s="18"/>
      <c r="S821" s="18"/>
      <c r="T821" s="19" t="s">
        <v>841</v>
      </c>
      <c r="U821" s="9" t="str">
        <f t="shared" si="1"/>
        <v>NSE:DODLA</v>
      </c>
      <c r="V821" s="18"/>
      <c r="W821" s="18"/>
      <c r="X821" s="18"/>
    </row>
    <row r="822">
      <c r="A822" s="20"/>
      <c r="B822" s="3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35"/>
      <c r="N822" s="18"/>
      <c r="O822" s="18"/>
      <c r="P822" s="18"/>
      <c r="Q822" s="34"/>
      <c r="R822" s="18"/>
      <c r="S822" s="18"/>
      <c r="T822" s="19" t="s">
        <v>842</v>
      </c>
      <c r="U822" s="9" t="str">
        <f t="shared" si="1"/>
        <v>NSE:RALLIS</v>
      </c>
      <c r="V822" s="18"/>
      <c r="W822" s="18"/>
      <c r="X822" s="18"/>
    </row>
    <row r="823">
      <c r="A823" s="20"/>
      <c r="B823" s="3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35"/>
      <c r="N823" s="18"/>
      <c r="O823" s="18"/>
      <c r="P823" s="18"/>
      <c r="Q823" s="34"/>
      <c r="R823" s="18"/>
      <c r="S823" s="18"/>
      <c r="T823" s="19" t="s">
        <v>843</v>
      </c>
      <c r="U823" s="9" t="str">
        <f t="shared" si="1"/>
        <v>NSE:ZOTA</v>
      </c>
      <c r="V823" s="18"/>
      <c r="W823" s="18"/>
      <c r="X823" s="18"/>
    </row>
    <row r="824">
      <c r="A824" s="20"/>
      <c r="B824" s="3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35"/>
      <c r="N824" s="18"/>
      <c r="O824" s="18"/>
      <c r="P824" s="18"/>
      <c r="Q824" s="34"/>
      <c r="R824" s="18"/>
      <c r="S824" s="18"/>
      <c r="T824" s="19" t="s">
        <v>844</v>
      </c>
      <c r="U824" s="9" t="str">
        <f t="shared" si="1"/>
        <v>NSE:MAHKTECH</v>
      </c>
      <c r="V824" s="18"/>
      <c r="W824" s="18"/>
      <c r="X824" s="18"/>
    </row>
    <row r="825">
      <c r="A825" s="20"/>
      <c r="B825" s="3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35"/>
      <c r="N825" s="18"/>
      <c r="O825" s="18"/>
      <c r="P825" s="18"/>
      <c r="Q825" s="34"/>
      <c r="R825" s="18"/>
      <c r="S825" s="18"/>
      <c r="T825" s="19" t="s">
        <v>845</v>
      </c>
      <c r="U825" s="9" t="str">
        <f t="shared" si="1"/>
        <v>NSE:GIPCL</v>
      </c>
      <c r="V825" s="18"/>
      <c r="W825" s="18"/>
      <c r="X825" s="18"/>
    </row>
    <row r="826">
      <c r="A826" s="20"/>
      <c r="B826" s="3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35"/>
      <c r="N826" s="18"/>
      <c r="O826" s="18"/>
      <c r="P826" s="18"/>
      <c r="Q826" s="34"/>
      <c r="R826" s="18"/>
      <c r="S826" s="18"/>
      <c r="T826" s="19" t="s">
        <v>846</v>
      </c>
      <c r="U826" s="9" t="str">
        <f t="shared" si="1"/>
        <v>NSE:ARVSMART</v>
      </c>
      <c r="V826" s="18"/>
      <c r="W826" s="18"/>
      <c r="X826" s="18"/>
    </row>
    <row r="827">
      <c r="A827" s="20"/>
      <c r="B827" s="3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35"/>
      <c r="N827" s="18"/>
      <c r="O827" s="18"/>
      <c r="P827" s="18"/>
      <c r="Q827" s="34"/>
      <c r="R827" s="18"/>
      <c r="S827" s="18"/>
      <c r="T827" s="19" t="s">
        <v>847</v>
      </c>
      <c r="U827" s="9" t="str">
        <f t="shared" si="1"/>
        <v>NSE:SBC</v>
      </c>
      <c r="V827" s="18"/>
      <c r="W827" s="18"/>
      <c r="X827" s="18"/>
    </row>
    <row r="828">
      <c r="A828" s="20"/>
      <c r="B828" s="3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35"/>
      <c r="N828" s="18"/>
      <c r="O828" s="18"/>
      <c r="P828" s="18"/>
      <c r="Q828" s="34"/>
      <c r="R828" s="18"/>
      <c r="S828" s="18"/>
      <c r="T828" s="19" t="s">
        <v>848</v>
      </c>
      <c r="U828" s="9" t="str">
        <f t="shared" si="1"/>
        <v>NSE:DREDGECORP</v>
      </c>
      <c r="V828" s="18"/>
      <c r="W828" s="18"/>
      <c r="X828" s="18"/>
    </row>
    <row r="829">
      <c r="A829" s="20"/>
      <c r="B829" s="3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35"/>
      <c r="N829" s="18"/>
      <c r="O829" s="18"/>
      <c r="P829" s="18"/>
      <c r="Q829" s="34"/>
      <c r="R829" s="18"/>
      <c r="S829" s="18"/>
      <c r="T829" s="19" t="s">
        <v>849</v>
      </c>
      <c r="U829" s="9" t="str">
        <f t="shared" si="1"/>
        <v>NSE:SHARDACROP</v>
      </c>
      <c r="V829" s="18"/>
      <c r="W829" s="18"/>
      <c r="X829" s="18"/>
    </row>
    <row r="830">
      <c r="A830" s="20"/>
      <c r="B830" s="3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35"/>
      <c r="N830" s="18"/>
      <c r="O830" s="18"/>
      <c r="P830" s="18"/>
      <c r="Q830" s="34"/>
      <c r="R830" s="18"/>
      <c r="S830" s="18"/>
      <c r="T830" s="19" t="s">
        <v>850</v>
      </c>
      <c r="U830" s="9" t="str">
        <f t="shared" si="1"/>
        <v>NSE:VPRPL</v>
      </c>
      <c r="V830" s="18"/>
      <c r="W830" s="18"/>
      <c r="X830" s="18"/>
    </row>
    <row r="831">
      <c r="A831" s="20"/>
      <c r="B831" s="3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35"/>
      <c r="N831" s="18"/>
      <c r="O831" s="18"/>
      <c r="P831" s="18"/>
      <c r="Q831" s="34"/>
      <c r="R831" s="18"/>
      <c r="S831" s="18"/>
      <c r="T831" s="19" t="s">
        <v>851</v>
      </c>
      <c r="U831" s="9" t="str">
        <f t="shared" si="1"/>
        <v>NSE:VESUVIUS</v>
      </c>
      <c r="V831" s="18"/>
      <c r="W831" s="18"/>
      <c r="X831" s="18"/>
    </row>
    <row r="832">
      <c r="A832" s="20"/>
      <c r="B832" s="3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35"/>
      <c r="N832" s="18"/>
      <c r="O832" s="18"/>
      <c r="P832" s="18"/>
      <c r="Q832" s="34"/>
      <c r="R832" s="18"/>
      <c r="S832" s="18"/>
      <c r="T832" s="19" t="s">
        <v>852</v>
      </c>
      <c r="U832" s="9" t="str">
        <f t="shared" si="1"/>
        <v>NSE:DBL</v>
      </c>
      <c r="V832" s="18"/>
      <c r="W832" s="18"/>
      <c r="X832" s="18"/>
    </row>
    <row r="833">
      <c r="A833" s="20"/>
      <c r="B833" s="3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35"/>
      <c r="N833" s="18"/>
      <c r="O833" s="18"/>
      <c r="P833" s="18"/>
      <c r="Q833" s="34"/>
      <c r="R833" s="18"/>
      <c r="S833" s="18"/>
      <c r="T833" s="19" t="s">
        <v>853</v>
      </c>
      <c r="U833" s="9" t="str">
        <f t="shared" si="1"/>
        <v>NSE:TARC</v>
      </c>
      <c r="V833" s="18"/>
      <c r="W833" s="18"/>
      <c r="X833" s="18"/>
    </row>
    <row r="834">
      <c r="A834" s="20"/>
      <c r="B834" s="3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35"/>
      <c r="N834" s="18"/>
      <c r="O834" s="18"/>
      <c r="P834" s="18"/>
      <c r="Q834" s="34"/>
      <c r="R834" s="18"/>
      <c r="S834" s="18"/>
      <c r="T834" s="19" t="s">
        <v>854</v>
      </c>
      <c r="U834" s="9" t="str">
        <f t="shared" si="1"/>
        <v>NSE:TIIL</v>
      </c>
      <c r="V834" s="18"/>
      <c r="W834" s="18"/>
      <c r="X834" s="18"/>
    </row>
    <row r="835">
      <c r="A835" s="20"/>
      <c r="B835" s="3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35"/>
      <c r="N835" s="18"/>
      <c r="O835" s="18"/>
      <c r="P835" s="18"/>
      <c r="Q835" s="34"/>
      <c r="R835" s="18"/>
      <c r="S835" s="18"/>
      <c r="T835" s="19" t="s">
        <v>855</v>
      </c>
      <c r="U835" s="9" t="str">
        <f t="shared" si="1"/>
        <v>NSE:PASUPTAC</v>
      </c>
      <c r="V835" s="18"/>
      <c r="W835" s="18"/>
      <c r="X835" s="18"/>
    </row>
    <row r="836">
      <c r="A836" s="20"/>
      <c r="B836" s="3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35"/>
      <c r="N836" s="18"/>
      <c r="O836" s="18"/>
      <c r="P836" s="18"/>
      <c r="Q836" s="34"/>
      <c r="R836" s="18"/>
      <c r="S836" s="18"/>
      <c r="T836" s="19" t="s">
        <v>856</v>
      </c>
      <c r="U836" s="9" t="str">
        <f t="shared" si="1"/>
        <v>NSE:MONARCH</v>
      </c>
      <c r="V836" s="18"/>
      <c r="W836" s="18"/>
      <c r="X836" s="18"/>
    </row>
    <row r="837">
      <c r="A837" s="20"/>
      <c r="B837" s="3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35"/>
      <c r="N837" s="18"/>
      <c r="O837" s="18"/>
      <c r="P837" s="18"/>
      <c r="Q837" s="34"/>
      <c r="R837" s="18"/>
      <c r="S837" s="18"/>
      <c r="T837" s="19" t="s">
        <v>857</v>
      </c>
      <c r="U837" s="9" t="str">
        <f t="shared" si="1"/>
        <v>NSE:GALAPREC</v>
      </c>
      <c r="V837" s="18"/>
      <c r="W837" s="18"/>
      <c r="X837" s="18"/>
    </row>
    <row r="838">
      <c r="A838" s="20"/>
      <c r="B838" s="3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35"/>
      <c r="N838" s="18"/>
      <c r="O838" s="18"/>
      <c r="P838" s="18"/>
      <c r="Q838" s="34"/>
      <c r="R838" s="18"/>
      <c r="S838" s="18"/>
      <c r="T838" s="19" t="s">
        <v>858</v>
      </c>
      <c r="U838" s="9" t="str">
        <f t="shared" si="1"/>
        <v>NSE:UNIMECH</v>
      </c>
      <c r="V838" s="18"/>
      <c r="W838" s="18"/>
      <c r="X838" s="18"/>
    </row>
    <row r="839">
      <c r="A839" s="20"/>
      <c r="B839" s="3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35"/>
      <c r="N839" s="18"/>
      <c r="O839" s="18"/>
      <c r="P839" s="18"/>
      <c r="Q839" s="34"/>
      <c r="R839" s="18"/>
      <c r="S839" s="18"/>
      <c r="T839" s="19" t="s">
        <v>859</v>
      </c>
      <c r="U839" s="9" t="str">
        <f t="shared" si="1"/>
        <v>NSE:SSWL</v>
      </c>
      <c r="V839" s="18"/>
      <c r="W839" s="18"/>
      <c r="X839" s="18"/>
    </row>
    <row r="840">
      <c r="A840" s="20"/>
      <c r="B840" s="3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35"/>
      <c r="N840" s="18"/>
      <c r="O840" s="18"/>
      <c r="P840" s="18"/>
      <c r="Q840" s="34"/>
      <c r="R840" s="18"/>
      <c r="S840" s="18"/>
      <c r="T840" s="19" t="s">
        <v>860</v>
      </c>
      <c r="U840" s="9" t="str">
        <f t="shared" si="1"/>
        <v>NSE:ALIVUS</v>
      </c>
      <c r="V840" s="18"/>
      <c r="W840" s="18"/>
      <c r="X840" s="18"/>
    </row>
    <row r="841">
      <c r="A841" s="20"/>
      <c r="B841" s="3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35"/>
      <c r="N841" s="18"/>
      <c r="O841" s="18"/>
      <c r="P841" s="18"/>
      <c r="Q841" s="34"/>
      <c r="R841" s="18"/>
      <c r="S841" s="18"/>
      <c r="T841" s="19" t="s">
        <v>861</v>
      </c>
      <c r="U841" s="9" t="str">
        <f t="shared" si="1"/>
        <v>NSE:PITTIENG</v>
      </c>
      <c r="V841" s="18"/>
      <c r="W841" s="18"/>
      <c r="X841" s="18"/>
    </row>
    <row r="842">
      <c r="A842" s="20"/>
      <c r="B842" s="3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35"/>
      <c r="N842" s="18"/>
      <c r="O842" s="18"/>
      <c r="P842" s="18"/>
      <c r="Q842" s="34"/>
      <c r="R842" s="18"/>
      <c r="S842" s="18"/>
      <c r="T842" s="19" t="s">
        <v>862</v>
      </c>
      <c r="U842" s="9" t="str">
        <f t="shared" si="1"/>
        <v>NSE:LTGILTBEES</v>
      </c>
      <c r="V842" s="18"/>
      <c r="W842" s="18"/>
      <c r="X842" s="18"/>
    </row>
    <row r="843">
      <c r="A843" s="20"/>
      <c r="B843" s="3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35"/>
      <c r="N843" s="18"/>
      <c r="O843" s="18"/>
      <c r="P843" s="18"/>
      <c r="Q843" s="34"/>
      <c r="R843" s="18"/>
      <c r="S843" s="18"/>
      <c r="T843" s="19" t="s">
        <v>863</v>
      </c>
      <c r="U843" s="9" t="str">
        <f t="shared" si="1"/>
        <v>NSE:HIKAL</v>
      </c>
      <c r="V843" s="18"/>
      <c r="W843" s="18"/>
      <c r="X843" s="18"/>
    </row>
    <row r="844">
      <c r="A844" s="20"/>
      <c r="B844" s="3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35"/>
      <c r="N844" s="18"/>
      <c r="O844" s="18"/>
      <c r="P844" s="18"/>
      <c r="Q844" s="34"/>
      <c r="R844" s="18"/>
      <c r="S844" s="18"/>
      <c r="T844" s="19" t="s">
        <v>864</v>
      </c>
      <c r="U844" s="9" t="str">
        <f t="shared" si="1"/>
        <v>NSE:FINEORG</v>
      </c>
      <c r="V844" s="18"/>
      <c r="W844" s="18"/>
      <c r="X844" s="18"/>
    </row>
    <row r="845">
      <c r="A845" s="20"/>
      <c r="B845" s="3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35"/>
      <c r="N845" s="18"/>
      <c r="O845" s="18"/>
      <c r="P845" s="18"/>
      <c r="Q845" s="34"/>
      <c r="R845" s="18"/>
      <c r="S845" s="18"/>
      <c r="T845" s="19" t="s">
        <v>865</v>
      </c>
      <c r="U845" s="9" t="str">
        <f t="shared" si="1"/>
        <v>NSE:SANOFI</v>
      </c>
      <c r="V845" s="18"/>
      <c r="W845" s="18"/>
      <c r="X845" s="18"/>
    </row>
    <row r="846">
      <c r="A846" s="20"/>
      <c r="B846" s="3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35"/>
      <c r="N846" s="18"/>
      <c r="O846" s="18"/>
      <c r="P846" s="18"/>
      <c r="Q846" s="34"/>
      <c r="R846" s="18"/>
      <c r="S846" s="18"/>
      <c r="T846" s="19" t="s">
        <v>866</v>
      </c>
      <c r="U846" s="9" t="str">
        <f t="shared" si="1"/>
        <v>NSE:SUBEXLTD</v>
      </c>
      <c r="V846" s="18"/>
      <c r="W846" s="18"/>
      <c r="X846" s="18"/>
    </row>
    <row r="847">
      <c r="A847" s="20"/>
      <c r="B847" s="3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35"/>
      <c r="N847" s="18"/>
      <c r="O847" s="18"/>
      <c r="P847" s="18"/>
      <c r="Q847" s="34"/>
      <c r="R847" s="18"/>
      <c r="S847" s="18"/>
      <c r="T847" s="19" t="s">
        <v>867</v>
      </c>
      <c r="U847" s="9" t="str">
        <f t="shared" si="1"/>
        <v>NSE:MEDPLUS</v>
      </c>
      <c r="V847" s="18"/>
      <c r="W847" s="18"/>
      <c r="X847" s="18"/>
    </row>
    <row r="848">
      <c r="A848" s="20"/>
      <c r="B848" s="3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35"/>
      <c r="N848" s="18"/>
      <c r="O848" s="18"/>
      <c r="P848" s="18"/>
      <c r="Q848" s="34"/>
      <c r="R848" s="18"/>
      <c r="S848" s="18"/>
      <c r="T848" s="19" t="s">
        <v>868</v>
      </c>
      <c r="U848" s="9" t="str">
        <f t="shared" si="1"/>
        <v>NSE:UNIECOM</v>
      </c>
      <c r="V848" s="18"/>
      <c r="W848" s="18"/>
      <c r="X848" s="18"/>
    </row>
    <row r="849">
      <c r="A849" s="20"/>
      <c r="B849" s="3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35"/>
      <c r="N849" s="18"/>
      <c r="O849" s="18"/>
      <c r="P849" s="18"/>
      <c r="Q849" s="34"/>
      <c r="R849" s="18"/>
      <c r="S849" s="18"/>
      <c r="T849" s="19" t="s">
        <v>869</v>
      </c>
      <c r="U849" s="9" t="str">
        <f t="shared" si="1"/>
        <v>NSE:ERIS</v>
      </c>
      <c r="V849" s="18"/>
      <c r="W849" s="18"/>
      <c r="X849" s="18"/>
    </row>
    <row r="850">
      <c r="A850" s="20"/>
      <c r="B850" s="3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35"/>
      <c r="N850" s="18"/>
      <c r="O850" s="18"/>
      <c r="P850" s="18"/>
      <c r="Q850" s="34"/>
      <c r="R850" s="18"/>
      <c r="S850" s="18"/>
      <c r="T850" s="19" t="s">
        <v>870</v>
      </c>
      <c r="U850" s="9" t="str">
        <f t="shared" si="1"/>
        <v>NSE:PHARMABEES</v>
      </c>
      <c r="V850" s="18"/>
      <c r="W850" s="18"/>
      <c r="X850" s="18"/>
    </row>
    <row r="851">
      <c r="A851" s="20"/>
      <c r="B851" s="3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35"/>
      <c r="N851" s="18"/>
      <c r="O851" s="18"/>
      <c r="P851" s="18"/>
      <c r="Q851" s="34"/>
      <c r="R851" s="18"/>
      <c r="S851" s="18"/>
      <c r="T851" s="19" t="s">
        <v>871</v>
      </c>
      <c r="U851" s="9" t="str">
        <f t="shared" si="1"/>
        <v>NSE:ORISSAMINE</v>
      </c>
      <c r="V851" s="18"/>
      <c r="W851" s="18"/>
      <c r="X851" s="18"/>
    </row>
    <row r="852">
      <c r="A852" s="20"/>
      <c r="B852" s="3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35"/>
      <c r="N852" s="18"/>
      <c r="O852" s="18"/>
      <c r="P852" s="18"/>
      <c r="Q852" s="34"/>
      <c r="R852" s="18"/>
      <c r="S852" s="18"/>
      <c r="T852" s="19" t="s">
        <v>872</v>
      </c>
      <c r="U852" s="9" t="str">
        <f t="shared" si="1"/>
        <v>NSE:MEDIASSIST</v>
      </c>
      <c r="V852" s="18"/>
      <c r="W852" s="18"/>
      <c r="X852" s="18"/>
    </row>
    <row r="853">
      <c r="A853" s="20"/>
      <c r="B853" s="3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35"/>
      <c r="N853" s="18"/>
      <c r="O853" s="18"/>
      <c r="P853" s="18"/>
      <c r="Q853" s="34"/>
      <c r="R853" s="18"/>
      <c r="S853" s="18"/>
      <c r="T853" s="19" t="s">
        <v>873</v>
      </c>
      <c r="U853" s="9" t="str">
        <f t="shared" si="1"/>
        <v>NSE:ASKAUTOLTD</v>
      </c>
      <c r="V853" s="18"/>
      <c r="W853" s="18"/>
      <c r="X853" s="18"/>
    </row>
    <row r="854">
      <c r="A854" s="20"/>
      <c r="B854" s="3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35"/>
      <c r="N854" s="18"/>
      <c r="O854" s="18"/>
      <c r="P854" s="18"/>
      <c r="Q854" s="34"/>
      <c r="R854" s="18"/>
      <c r="S854" s="18"/>
      <c r="T854" s="19" t="s">
        <v>874</v>
      </c>
      <c r="U854" s="9" t="str">
        <f t="shared" si="1"/>
        <v>NSE:HDFCSILVER</v>
      </c>
      <c r="V854" s="18"/>
      <c r="W854" s="18"/>
      <c r="X854" s="18"/>
    </row>
    <row r="855">
      <c r="A855" s="20"/>
      <c r="B855" s="3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35"/>
      <c r="N855" s="18"/>
      <c r="O855" s="18"/>
      <c r="P855" s="18"/>
      <c r="Q855" s="34"/>
      <c r="R855" s="18"/>
      <c r="S855" s="18"/>
      <c r="T855" s="19" t="s">
        <v>875</v>
      </c>
      <c r="U855" s="9" t="str">
        <f t="shared" si="1"/>
        <v>NSE:DIAMONDYD</v>
      </c>
      <c r="V855" s="18"/>
      <c r="W855" s="18"/>
      <c r="X855" s="18"/>
    </row>
    <row r="856">
      <c r="A856" s="20"/>
      <c r="B856" s="3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35"/>
      <c r="N856" s="18"/>
      <c r="O856" s="18"/>
      <c r="P856" s="18"/>
      <c r="Q856" s="34"/>
      <c r="R856" s="18"/>
      <c r="S856" s="18"/>
      <c r="T856" s="19" t="s">
        <v>876</v>
      </c>
      <c r="U856" s="9" t="str">
        <f t="shared" si="1"/>
        <v>NSE:LLOYDSENT</v>
      </c>
      <c r="V856" s="18"/>
      <c r="W856" s="18"/>
      <c r="X856" s="18"/>
    </row>
    <row r="857">
      <c r="A857" s="20"/>
      <c r="B857" s="3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35"/>
      <c r="N857" s="18"/>
      <c r="O857" s="18"/>
      <c r="P857" s="18"/>
      <c r="Q857" s="34"/>
      <c r="R857" s="18"/>
      <c r="S857" s="18"/>
      <c r="T857" s="19" t="s">
        <v>877</v>
      </c>
      <c r="U857" s="9" t="str">
        <f t="shared" si="1"/>
        <v>NSE:EIMCOELECO</v>
      </c>
      <c r="V857" s="18"/>
      <c r="W857" s="18"/>
      <c r="X857" s="18"/>
    </row>
    <row r="858">
      <c r="A858" s="20"/>
      <c r="B858" s="3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35"/>
      <c r="N858" s="18"/>
      <c r="O858" s="18"/>
      <c r="P858" s="18"/>
      <c r="Q858" s="34"/>
      <c r="R858" s="18"/>
      <c r="S858" s="18"/>
      <c r="T858" s="19" t="s">
        <v>878</v>
      </c>
      <c r="U858" s="9" t="str">
        <f t="shared" si="1"/>
        <v>NSE:VASCONEQ</v>
      </c>
      <c r="V858" s="18"/>
      <c r="W858" s="18"/>
      <c r="X858" s="18"/>
    </row>
    <row r="859">
      <c r="A859" s="20"/>
      <c r="B859" s="3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35"/>
      <c r="N859" s="18"/>
      <c r="O859" s="18"/>
      <c r="P859" s="18"/>
      <c r="Q859" s="34"/>
      <c r="R859" s="18"/>
      <c r="S859" s="18"/>
      <c r="T859" s="19" t="s">
        <v>879</v>
      </c>
      <c r="U859" s="9" t="str">
        <f t="shared" si="1"/>
        <v>NSE:AGIIL</v>
      </c>
      <c r="V859" s="18"/>
      <c r="W859" s="18"/>
      <c r="X859" s="18"/>
    </row>
    <row r="860">
      <c r="A860" s="20"/>
      <c r="B860" s="3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35"/>
      <c r="N860" s="18"/>
      <c r="O860" s="18"/>
      <c r="P860" s="18"/>
      <c r="Q860" s="34"/>
      <c r="R860" s="18"/>
      <c r="S860" s="18"/>
      <c r="T860" s="19" t="s">
        <v>880</v>
      </c>
      <c r="U860" s="9" t="str">
        <f t="shared" si="1"/>
        <v>NSE:SANATHAN</v>
      </c>
      <c r="V860" s="18"/>
      <c r="W860" s="18"/>
      <c r="X860" s="18"/>
    </row>
    <row r="861">
      <c r="A861" s="20"/>
      <c r="B861" s="3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35"/>
      <c r="N861" s="18"/>
      <c r="O861" s="18"/>
      <c r="P861" s="18"/>
      <c r="Q861" s="34"/>
      <c r="R861" s="18"/>
      <c r="S861" s="18"/>
      <c r="T861" s="19" t="s">
        <v>881</v>
      </c>
      <c r="U861" s="9" t="str">
        <f t="shared" si="1"/>
        <v>NSE:BFUTILITIE</v>
      </c>
      <c r="V861" s="18"/>
      <c r="W861" s="18"/>
      <c r="X861" s="18"/>
    </row>
    <row r="862">
      <c r="A862" s="20"/>
      <c r="B862" s="3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35"/>
      <c r="N862" s="18"/>
      <c r="O862" s="18"/>
      <c r="P862" s="18"/>
      <c r="Q862" s="34"/>
      <c r="R862" s="18"/>
      <c r="S862" s="18"/>
      <c r="T862" s="19" t="s">
        <v>882</v>
      </c>
      <c r="U862" s="9" t="str">
        <f t="shared" si="1"/>
        <v>NSE:LAOPALA</v>
      </c>
      <c r="V862" s="18"/>
      <c r="W862" s="18"/>
      <c r="X862" s="18"/>
    </row>
    <row r="863">
      <c r="A863" s="20"/>
      <c r="B863" s="3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35"/>
      <c r="N863" s="18"/>
      <c r="O863" s="18"/>
      <c r="P863" s="18"/>
      <c r="Q863" s="34"/>
      <c r="R863" s="18"/>
      <c r="S863" s="18"/>
      <c r="T863" s="19" t="s">
        <v>883</v>
      </c>
      <c r="U863" s="9" t="str">
        <f t="shared" si="1"/>
        <v>NSE:ONEPOINT</v>
      </c>
      <c r="V863" s="18"/>
      <c r="W863" s="18"/>
      <c r="X863" s="18"/>
    </row>
    <row r="864">
      <c r="A864" s="20"/>
      <c r="B864" s="3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35"/>
      <c r="N864" s="18"/>
      <c r="O864" s="18"/>
      <c r="P864" s="18"/>
      <c r="Q864" s="34"/>
      <c r="R864" s="18"/>
      <c r="S864" s="18"/>
      <c r="T864" s="19" t="s">
        <v>884</v>
      </c>
      <c r="U864" s="9" t="str">
        <f t="shared" si="1"/>
        <v>NSE:CRAFTSMAN</v>
      </c>
      <c r="V864" s="18"/>
      <c r="W864" s="18"/>
      <c r="X864" s="18"/>
    </row>
    <row r="865">
      <c r="A865" s="20"/>
      <c r="B865" s="3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35"/>
      <c r="N865" s="18"/>
      <c r="O865" s="18"/>
      <c r="P865" s="18"/>
      <c r="Q865" s="34"/>
      <c r="R865" s="18"/>
      <c r="S865" s="18"/>
      <c r="T865" s="19" t="s">
        <v>885</v>
      </c>
      <c r="U865" s="9" t="str">
        <f t="shared" si="1"/>
        <v>NSE:DREAMFOLKS</v>
      </c>
      <c r="V865" s="18"/>
      <c r="W865" s="18"/>
      <c r="X865" s="18"/>
    </row>
    <row r="866">
      <c r="A866" s="20"/>
      <c r="B866" s="3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35"/>
      <c r="N866" s="18"/>
      <c r="O866" s="18"/>
      <c r="P866" s="18"/>
      <c r="Q866" s="34"/>
      <c r="R866" s="18"/>
      <c r="S866" s="18"/>
      <c r="T866" s="19" t="s">
        <v>886</v>
      </c>
      <c r="U866" s="9" t="str">
        <f t="shared" si="1"/>
        <v>NSE:IMAGICAA</v>
      </c>
      <c r="V866" s="18"/>
      <c r="W866" s="18"/>
      <c r="X866" s="18"/>
    </row>
    <row r="867">
      <c r="A867" s="20"/>
      <c r="B867" s="3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35"/>
      <c r="N867" s="18"/>
      <c r="O867" s="18"/>
      <c r="P867" s="18"/>
      <c r="Q867" s="34"/>
      <c r="R867" s="18"/>
      <c r="S867" s="18"/>
      <c r="T867" s="19" t="s">
        <v>887</v>
      </c>
      <c r="U867" s="9" t="str">
        <f t="shared" si="1"/>
        <v>NSE:BALMLAWRIE</v>
      </c>
      <c r="V867" s="18"/>
      <c r="W867" s="18"/>
      <c r="X867" s="18"/>
    </row>
    <row r="868">
      <c r="A868" s="20"/>
      <c r="B868" s="3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35"/>
      <c r="N868" s="18"/>
      <c r="O868" s="18"/>
      <c r="P868" s="18"/>
      <c r="Q868" s="34"/>
      <c r="R868" s="18"/>
      <c r="S868" s="18"/>
      <c r="T868" s="19" t="s">
        <v>888</v>
      </c>
      <c r="U868" s="9" t="str">
        <f t="shared" si="1"/>
        <v>NSE:QUICKHEAL</v>
      </c>
      <c r="V868" s="18"/>
      <c r="W868" s="18"/>
      <c r="X868" s="18"/>
    </row>
    <row r="869">
      <c r="A869" s="20"/>
      <c r="B869" s="3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35"/>
      <c r="N869" s="18"/>
      <c r="O869" s="18"/>
      <c r="P869" s="18"/>
      <c r="Q869" s="34"/>
      <c r="R869" s="18"/>
      <c r="S869" s="18"/>
      <c r="T869" s="19" t="s">
        <v>889</v>
      </c>
      <c r="U869" s="9" t="str">
        <f t="shared" si="1"/>
        <v>NSE:MEDICO</v>
      </c>
      <c r="V869" s="18"/>
      <c r="W869" s="18"/>
      <c r="X869" s="18"/>
    </row>
    <row r="870">
      <c r="A870" s="20"/>
      <c r="B870" s="3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35"/>
      <c r="N870" s="18"/>
      <c r="O870" s="18"/>
      <c r="P870" s="18"/>
      <c r="Q870" s="34"/>
      <c r="R870" s="18"/>
      <c r="S870" s="18"/>
      <c r="T870" s="19" t="s">
        <v>890</v>
      </c>
      <c r="U870" s="9" t="str">
        <f t="shared" si="1"/>
        <v>NSE:TEAMLEASE</v>
      </c>
      <c r="V870" s="18"/>
      <c r="W870" s="18"/>
      <c r="X870" s="18"/>
    </row>
    <row r="871">
      <c r="A871" s="20"/>
      <c r="B871" s="3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35"/>
      <c r="N871" s="18"/>
      <c r="O871" s="18"/>
      <c r="P871" s="18"/>
      <c r="Q871" s="34"/>
      <c r="R871" s="18"/>
      <c r="S871" s="18"/>
      <c r="T871" s="19" t="s">
        <v>891</v>
      </c>
      <c r="U871" s="9" t="str">
        <f t="shared" si="1"/>
        <v>NSE:TATVA</v>
      </c>
      <c r="V871" s="18"/>
      <c r="W871" s="18"/>
      <c r="X871" s="18"/>
    </row>
    <row r="872">
      <c r="A872" s="20"/>
      <c r="B872" s="3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35"/>
      <c r="N872" s="18"/>
      <c r="O872" s="18"/>
      <c r="P872" s="18"/>
      <c r="Q872" s="34"/>
      <c r="R872" s="18"/>
      <c r="S872" s="18"/>
      <c r="T872" s="19" t="s">
        <v>892</v>
      </c>
      <c r="U872" s="9" t="str">
        <f t="shared" si="1"/>
        <v>NSE:HCG</v>
      </c>
      <c r="V872" s="18"/>
      <c r="W872" s="18"/>
      <c r="X872" s="18"/>
    </row>
    <row r="873">
      <c r="A873" s="20"/>
      <c r="B873" s="3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35"/>
      <c r="N873" s="18"/>
      <c r="O873" s="18"/>
      <c r="P873" s="18"/>
      <c r="Q873" s="34"/>
      <c r="R873" s="18"/>
      <c r="S873" s="18"/>
      <c r="T873" s="19" t="s">
        <v>893</v>
      </c>
      <c r="U873" s="9" t="str">
        <f t="shared" si="1"/>
        <v>NSE:NELCO</v>
      </c>
      <c r="V873" s="18"/>
      <c r="W873" s="18"/>
      <c r="X873" s="18"/>
    </row>
    <row r="874">
      <c r="A874" s="20"/>
      <c r="B874" s="3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35"/>
      <c r="N874" s="18"/>
      <c r="O874" s="18"/>
      <c r="P874" s="18"/>
      <c r="Q874" s="34"/>
      <c r="R874" s="18"/>
      <c r="S874" s="18"/>
      <c r="T874" s="19" t="s">
        <v>894</v>
      </c>
      <c r="U874" s="9" t="str">
        <f t="shared" si="1"/>
        <v>NSE:DENTA</v>
      </c>
      <c r="V874" s="18"/>
      <c r="W874" s="18"/>
      <c r="X874" s="18"/>
    </row>
    <row r="875">
      <c r="A875" s="20"/>
      <c r="B875" s="3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35"/>
      <c r="N875" s="18"/>
      <c r="O875" s="18"/>
      <c r="P875" s="18"/>
      <c r="Q875" s="34"/>
      <c r="R875" s="18"/>
      <c r="S875" s="18"/>
      <c r="T875" s="19" t="s">
        <v>895</v>
      </c>
      <c r="U875" s="9" t="str">
        <f t="shared" si="1"/>
        <v>NSE:CUPID</v>
      </c>
      <c r="V875" s="18"/>
      <c r="W875" s="18"/>
      <c r="X875" s="18"/>
    </row>
    <row r="876">
      <c r="A876" s="20"/>
      <c r="B876" s="3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35"/>
      <c r="N876" s="18"/>
      <c r="O876" s="18"/>
      <c r="P876" s="18"/>
      <c r="Q876" s="34"/>
      <c r="R876" s="18"/>
      <c r="S876" s="18"/>
      <c r="T876" s="19" t="s">
        <v>896</v>
      </c>
      <c r="U876" s="9" t="str">
        <f t="shared" si="1"/>
        <v>NSE:LUXIND</v>
      </c>
      <c r="V876" s="18"/>
      <c r="W876" s="18"/>
      <c r="X876" s="18"/>
    </row>
    <row r="877">
      <c r="A877" s="20"/>
      <c r="B877" s="3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35"/>
      <c r="N877" s="18"/>
      <c r="O877" s="18"/>
      <c r="P877" s="18"/>
      <c r="Q877" s="34"/>
      <c r="R877" s="18"/>
      <c r="S877" s="18"/>
      <c r="T877" s="19" t="s">
        <v>897</v>
      </c>
      <c r="U877" s="9" t="str">
        <f t="shared" si="1"/>
        <v>NSE:KELLTONTEC</v>
      </c>
      <c r="V877" s="18"/>
      <c r="W877" s="18"/>
      <c r="X877" s="18"/>
    </row>
    <row r="878">
      <c r="A878" s="20"/>
      <c r="B878" s="3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35"/>
      <c r="N878" s="18"/>
      <c r="O878" s="18"/>
      <c r="P878" s="18"/>
      <c r="Q878" s="34"/>
      <c r="R878" s="18"/>
      <c r="S878" s="18"/>
      <c r="T878" s="19" t="s">
        <v>898</v>
      </c>
      <c r="U878" s="9" t="str">
        <f t="shared" si="1"/>
        <v>NSE:SOTL</v>
      </c>
      <c r="V878" s="18"/>
      <c r="W878" s="18"/>
      <c r="X878" s="18"/>
    </row>
    <row r="879">
      <c r="A879" s="20"/>
      <c r="B879" s="3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35"/>
      <c r="N879" s="18"/>
      <c r="O879" s="18"/>
      <c r="P879" s="18"/>
      <c r="Q879" s="34"/>
      <c r="R879" s="18"/>
      <c r="S879" s="18"/>
      <c r="T879" s="19" t="s">
        <v>899</v>
      </c>
      <c r="U879" s="9" t="str">
        <f t="shared" si="1"/>
        <v>NSE:RAJESHEXPO</v>
      </c>
      <c r="V879" s="18"/>
      <c r="W879" s="18"/>
      <c r="X879" s="18"/>
    </row>
    <row r="880">
      <c r="A880" s="20"/>
      <c r="B880" s="3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35"/>
      <c r="N880" s="18"/>
      <c r="O880" s="18"/>
      <c r="P880" s="18"/>
      <c r="Q880" s="34"/>
      <c r="R880" s="18"/>
      <c r="S880" s="18"/>
      <c r="T880" s="19" t="s">
        <v>900</v>
      </c>
      <c r="U880" s="9" t="str">
        <f t="shared" si="1"/>
        <v>NSE:BLSE</v>
      </c>
      <c r="V880" s="18"/>
      <c r="W880" s="18"/>
      <c r="X880" s="18"/>
    </row>
    <row r="881">
      <c r="A881" s="20"/>
      <c r="B881" s="3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35"/>
      <c r="N881" s="18"/>
      <c r="O881" s="18"/>
      <c r="P881" s="18"/>
      <c r="Q881" s="34"/>
      <c r="R881" s="18"/>
      <c r="S881" s="18"/>
      <c r="T881" s="19" t="s">
        <v>901</v>
      </c>
      <c r="U881" s="9" t="str">
        <f t="shared" si="1"/>
        <v>NSE:SUVEN</v>
      </c>
      <c r="V881" s="18"/>
      <c r="W881" s="18"/>
      <c r="X881" s="18"/>
    </row>
    <row r="882">
      <c r="A882" s="20"/>
      <c r="B882" s="3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35"/>
      <c r="N882" s="18"/>
      <c r="O882" s="18"/>
      <c r="P882" s="18"/>
      <c r="Q882" s="34"/>
      <c r="R882" s="18"/>
      <c r="S882" s="18"/>
      <c r="T882" s="19" t="s">
        <v>902</v>
      </c>
      <c r="U882" s="9" t="str">
        <f t="shared" si="1"/>
        <v>NSE:ASTEC</v>
      </c>
      <c r="V882" s="18"/>
      <c r="W882" s="18"/>
      <c r="X882" s="18"/>
    </row>
    <row r="883">
      <c r="A883" s="20"/>
      <c r="B883" s="3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35"/>
      <c r="N883" s="18"/>
      <c r="O883" s="18"/>
      <c r="P883" s="18"/>
      <c r="Q883" s="34"/>
      <c r="R883" s="18"/>
      <c r="S883" s="18"/>
      <c r="T883" s="19" t="s">
        <v>903</v>
      </c>
      <c r="U883" s="9" t="str">
        <f t="shared" si="1"/>
        <v>NSE:JKLAKSHMI</v>
      </c>
      <c r="V883" s="18"/>
      <c r="W883" s="18"/>
      <c r="X883" s="18"/>
    </row>
    <row r="884">
      <c r="A884" s="20"/>
      <c r="B884" s="3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35"/>
      <c r="N884" s="18"/>
      <c r="O884" s="18"/>
      <c r="P884" s="18"/>
      <c r="Q884" s="34"/>
      <c r="R884" s="18"/>
      <c r="S884" s="18"/>
      <c r="T884" s="19" t="s">
        <v>904</v>
      </c>
      <c r="U884" s="9" t="str">
        <f t="shared" si="1"/>
        <v>NSE:ALKYLAMINE</v>
      </c>
      <c r="V884" s="18"/>
      <c r="W884" s="18"/>
      <c r="X884" s="18"/>
    </row>
    <row r="885">
      <c r="A885" s="20"/>
      <c r="B885" s="3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35"/>
      <c r="N885" s="18"/>
      <c r="O885" s="18"/>
      <c r="P885" s="18"/>
      <c r="Q885" s="34"/>
      <c r="R885" s="18"/>
      <c r="S885" s="18"/>
      <c r="T885" s="19" t="s">
        <v>905</v>
      </c>
      <c r="U885" s="9" t="str">
        <f t="shared" si="1"/>
        <v>NSE:PAKKA</v>
      </c>
      <c r="V885" s="18"/>
      <c r="W885" s="18"/>
      <c r="X885" s="18"/>
    </row>
    <row r="886">
      <c r="A886" s="20"/>
      <c r="B886" s="3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35"/>
      <c r="N886" s="18"/>
      <c r="O886" s="18"/>
      <c r="P886" s="18"/>
      <c r="Q886" s="34"/>
      <c r="R886" s="18"/>
      <c r="S886" s="18"/>
      <c r="T886" s="19" t="s">
        <v>906</v>
      </c>
      <c r="U886" s="9" t="str">
        <f t="shared" si="1"/>
        <v>NSE:ROLEXRINGS</v>
      </c>
      <c r="V886" s="18"/>
      <c r="W886" s="18"/>
      <c r="X886" s="18"/>
    </row>
    <row r="887">
      <c r="A887" s="20"/>
      <c r="B887" s="3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35"/>
      <c r="N887" s="18"/>
      <c r="O887" s="18"/>
      <c r="P887" s="18"/>
      <c r="Q887" s="34"/>
      <c r="R887" s="18"/>
      <c r="S887" s="18"/>
      <c r="T887" s="19" t="s">
        <v>907</v>
      </c>
      <c r="U887" s="9" t="str">
        <f t="shared" si="1"/>
        <v>NSE:IOLCP</v>
      </c>
      <c r="V887" s="18"/>
      <c r="W887" s="18"/>
      <c r="X887" s="18"/>
    </row>
    <row r="888">
      <c r="A888" s="20"/>
      <c r="B888" s="3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35"/>
      <c r="N888" s="18"/>
      <c r="O888" s="18"/>
      <c r="P888" s="18"/>
      <c r="Q888" s="34"/>
      <c r="R888" s="18"/>
      <c r="S888" s="18"/>
      <c r="T888" s="19" t="s">
        <v>908</v>
      </c>
      <c r="U888" s="9" t="str">
        <f t="shared" si="1"/>
        <v>NSE:TATAGOLD</v>
      </c>
      <c r="V888" s="18"/>
      <c r="W888" s="18"/>
      <c r="X888" s="18"/>
    </row>
    <row r="889">
      <c r="A889" s="20"/>
      <c r="B889" s="3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35"/>
      <c r="N889" s="18"/>
      <c r="O889" s="18"/>
      <c r="P889" s="18"/>
      <c r="Q889" s="34"/>
      <c r="R889" s="18"/>
      <c r="S889" s="18"/>
      <c r="T889" s="19" t="s">
        <v>909</v>
      </c>
      <c r="U889" s="9" t="str">
        <f t="shared" si="1"/>
        <v>NSE:VIMTALABS</v>
      </c>
      <c r="V889" s="18"/>
      <c r="W889" s="18"/>
      <c r="X889" s="18"/>
    </row>
    <row r="890">
      <c r="A890" s="20"/>
      <c r="B890" s="3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35"/>
      <c r="N890" s="18"/>
      <c r="O890" s="18"/>
      <c r="P890" s="18"/>
      <c r="Q890" s="34"/>
      <c r="R890" s="18"/>
      <c r="S890" s="18"/>
      <c r="T890" s="19" t="s">
        <v>910</v>
      </c>
      <c r="U890" s="9" t="str">
        <f t="shared" si="1"/>
        <v>NSE:CIEINDIA</v>
      </c>
      <c r="V890" s="18"/>
      <c r="W890" s="18"/>
      <c r="X890" s="18"/>
    </row>
    <row r="891">
      <c r="A891" s="20"/>
      <c r="B891" s="3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35"/>
      <c r="N891" s="18"/>
      <c r="O891" s="18"/>
      <c r="P891" s="18"/>
      <c r="Q891" s="34"/>
      <c r="R891" s="18"/>
      <c r="S891" s="18"/>
      <c r="T891" s="19" t="s">
        <v>911</v>
      </c>
      <c r="U891" s="9" t="str">
        <f t="shared" si="1"/>
        <v>NSE:STARCEMENT</v>
      </c>
      <c r="V891" s="18"/>
      <c r="W891" s="18"/>
      <c r="X891" s="18"/>
    </row>
    <row r="892">
      <c r="A892" s="20"/>
      <c r="B892" s="3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35"/>
      <c r="N892" s="18"/>
      <c r="O892" s="18"/>
      <c r="P892" s="18"/>
      <c r="Q892" s="34"/>
      <c r="R892" s="18"/>
      <c r="S892" s="18"/>
      <c r="T892" s="19" t="s">
        <v>912</v>
      </c>
      <c r="U892" s="9" t="str">
        <f t="shared" si="1"/>
        <v>NSE:ACLGATI</v>
      </c>
      <c r="V892" s="18"/>
      <c r="W892" s="18"/>
      <c r="X892" s="18"/>
    </row>
    <row r="893">
      <c r="A893" s="20"/>
      <c r="B893" s="3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35"/>
      <c r="N893" s="18"/>
      <c r="O893" s="18"/>
      <c r="P893" s="18"/>
      <c r="Q893" s="34"/>
      <c r="R893" s="18"/>
      <c r="S893" s="18"/>
      <c r="T893" s="19" t="s">
        <v>913</v>
      </c>
      <c r="U893" s="9" t="str">
        <f t="shared" si="1"/>
        <v>NSE:GANECOS</v>
      </c>
      <c r="V893" s="18"/>
      <c r="W893" s="18"/>
      <c r="X893" s="18"/>
    </row>
    <row r="894">
      <c r="A894" s="20"/>
      <c r="B894" s="3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35"/>
      <c r="N894" s="18"/>
      <c r="O894" s="18"/>
      <c r="P894" s="18"/>
      <c r="Q894" s="34"/>
      <c r="R894" s="18"/>
      <c r="S894" s="18"/>
      <c r="T894" s="19" t="s">
        <v>914</v>
      </c>
      <c r="U894" s="9" t="str">
        <f t="shared" si="1"/>
        <v>NSE:MMTC</v>
      </c>
      <c r="V894" s="18"/>
      <c r="W894" s="18"/>
      <c r="X894" s="18"/>
    </row>
    <row r="895">
      <c r="A895" s="20"/>
      <c r="B895" s="3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35"/>
      <c r="N895" s="18"/>
      <c r="O895" s="18"/>
      <c r="P895" s="18"/>
      <c r="Q895" s="34"/>
      <c r="R895" s="18"/>
      <c r="S895" s="18"/>
      <c r="T895" s="19" t="s">
        <v>915</v>
      </c>
      <c r="U895" s="9" t="str">
        <f t="shared" si="1"/>
        <v>NSE:HITECHCORP</v>
      </c>
      <c r="V895" s="18"/>
      <c r="W895" s="18"/>
      <c r="X895" s="18"/>
    </row>
    <row r="896">
      <c r="A896" s="20"/>
      <c r="B896" s="3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35"/>
      <c r="N896" s="18"/>
      <c r="O896" s="18"/>
      <c r="P896" s="18"/>
      <c r="Q896" s="34"/>
      <c r="R896" s="18"/>
      <c r="S896" s="18"/>
      <c r="T896" s="19" t="s">
        <v>916</v>
      </c>
      <c r="U896" s="9" t="str">
        <f t="shared" si="1"/>
        <v>NSE:KALAMANDIR</v>
      </c>
      <c r="V896" s="18"/>
      <c r="W896" s="18"/>
      <c r="X896" s="18"/>
    </row>
    <row r="897">
      <c r="A897" s="20"/>
      <c r="B897" s="3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35"/>
      <c r="N897" s="18"/>
      <c r="O897" s="18"/>
      <c r="P897" s="18"/>
      <c r="Q897" s="34"/>
      <c r="R897" s="18"/>
      <c r="S897" s="18"/>
      <c r="T897" s="19" t="s">
        <v>917</v>
      </c>
      <c r="U897" s="9" t="str">
        <f t="shared" si="1"/>
        <v>NSE:POLYPLEX</v>
      </c>
      <c r="V897" s="18"/>
      <c r="W897" s="18"/>
      <c r="X897" s="18"/>
    </row>
    <row r="898">
      <c r="A898" s="20"/>
      <c r="B898" s="3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35"/>
      <c r="N898" s="18"/>
      <c r="O898" s="18"/>
      <c r="P898" s="18"/>
      <c r="Q898" s="34"/>
      <c r="R898" s="18"/>
      <c r="S898" s="18"/>
      <c r="T898" s="19" t="s">
        <v>918</v>
      </c>
      <c r="U898" s="9" t="str">
        <f t="shared" si="1"/>
        <v>NSE:STYRENIX</v>
      </c>
      <c r="V898" s="18"/>
      <c r="W898" s="18"/>
      <c r="X898" s="18"/>
    </row>
    <row r="899">
      <c r="A899" s="20"/>
      <c r="B899" s="3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35"/>
      <c r="N899" s="18"/>
      <c r="O899" s="18"/>
      <c r="P899" s="18"/>
      <c r="Q899" s="34"/>
      <c r="R899" s="18"/>
      <c r="S899" s="18"/>
      <c r="T899" s="19" t="s">
        <v>919</v>
      </c>
      <c r="U899" s="9" t="str">
        <f t="shared" si="1"/>
        <v>NSE:METROBRAND</v>
      </c>
      <c r="V899" s="18"/>
      <c r="W899" s="18"/>
      <c r="X899" s="18"/>
    </row>
    <row r="900">
      <c r="A900" s="20"/>
      <c r="B900" s="3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35"/>
      <c r="N900" s="18"/>
      <c r="O900" s="18"/>
      <c r="P900" s="18"/>
      <c r="Q900" s="34"/>
      <c r="R900" s="18"/>
      <c r="S900" s="18"/>
      <c r="T900" s="19" t="s">
        <v>920</v>
      </c>
      <c r="U900" s="9" t="str">
        <f t="shared" si="1"/>
        <v>NSE:SBCL</v>
      </c>
      <c r="V900" s="18"/>
      <c r="W900" s="18"/>
      <c r="X900" s="18"/>
    </row>
    <row r="901">
      <c r="A901" s="20"/>
      <c r="B901" s="3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35"/>
      <c r="N901" s="18"/>
      <c r="O901" s="18"/>
      <c r="P901" s="18"/>
      <c r="Q901" s="34"/>
      <c r="R901" s="18"/>
      <c r="S901" s="18"/>
      <c r="T901" s="19" t="s">
        <v>921</v>
      </c>
      <c r="U901" s="9" t="str">
        <f t="shared" si="1"/>
        <v>NSE:PIXTRANS</v>
      </c>
      <c r="V901" s="18"/>
      <c r="W901" s="18"/>
      <c r="X901" s="18"/>
    </row>
    <row r="902">
      <c r="A902" s="20"/>
      <c r="B902" s="3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35"/>
      <c r="N902" s="18"/>
      <c r="O902" s="18"/>
      <c r="P902" s="18"/>
      <c r="Q902" s="34"/>
      <c r="R902" s="18"/>
      <c r="S902" s="18"/>
      <c r="T902" s="19" t="s">
        <v>922</v>
      </c>
      <c r="U902" s="9" t="str">
        <f t="shared" si="1"/>
        <v>NSE:SHIVALIK</v>
      </c>
      <c r="V902" s="18"/>
      <c r="W902" s="18"/>
      <c r="X902" s="18"/>
    </row>
    <row r="903">
      <c r="A903" s="20"/>
      <c r="B903" s="3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35"/>
      <c r="N903" s="18"/>
      <c r="O903" s="18"/>
      <c r="P903" s="18"/>
      <c r="Q903" s="34"/>
      <c r="R903" s="18"/>
      <c r="S903" s="18"/>
      <c r="T903" s="19" t="s">
        <v>923</v>
      </c>
      <c r="U903" s="9" t="str">
        <f t="shared" si="1"/>
        <v>NSE:SHANKARA</v>
      </c>
      <c r="V903" s="18"/>
      <c r="W903" s="18"/>
      <c r="X903" s="18"/>
    </row>
    <row r="904">
      <c r="A904" s="20"/>
      <c r="B904" s="3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35"/>
      <c r="N904" s="18"/>
      <c r="O904" s="18"/>
      <c r="P904" s="18"/>
      <c r="Q904" s="34"/>
      <c r="R904" s="18"/>
      <c r="S904" s="18"/>
      <c r="T904" s="19" t="s">
        <v>924</v>
      </c>
      <c r="U904" s="9" t="str">
        <f t="shared" si="1"/>
        <v>NSE:PRINCEPIPE</v>
      </c>
      <c r="V904" s="18"/>
      <c r="W904" s="18"/>
      <c r="X904" s="18"/>
    </row>
    <row r="905">
      <c r="A905" s="20"/>
      <c r="B905" s="3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35"/>
      <c r="N905" s="18"/>
      <c r="O905" s="18"/>
      <c r="P905" s="18"/>
      <c r="Q905" s="34"/>
      <c r="R905" s="18"/>
      <c r="S905" s="18"/>
      <c r="T905" s="19" t="s">
        <v>925</v>
      </c>
      <c r="U905" s="9" t="str">
        <f t="shared" si="1"/>
        <v>NSE:SURYAROSNI</v>
      </c>
      <c r="V905" s="18"/>
      <c r="W905" s="18"/>
      <c r="X905" s="18"/>
    </row>
    <row r="906">
      <c r="A906" s="20"/>
      <c r="B906" s="3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35"/>
      <c r="N906" s="18"/>
      <c r="O906" s="18"/>
      <c r="P906" s="18"/>
      <c r="Q906" s="34"/>
      <c r="R906" s="18"/>
      <c r="S906" s="18"/>
      <c r="T906" s="19" t="s">
        <v>926</v>
      </c>
      <c r="U906" s="9" t="str">
        <f t="shared" si="1"/>
        <v>NSE:BLKASHYAP</v>
      </c>
      <c r="V906" s="18"/>
      <c r="W906" s="18"/>
      <c r="X906" s="18"/>
    </row>
    <row r="907">
      <c r="A907" s="20"/>
      <c r="B907" s="3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35"/>
      <c r="N907" s="18"/>
      <c r="O907" s="18"/>
      <c r="P907" s="18"/>
      <c r="Q907" s="34"/>
      <c r="R907" s="18"/>
      <c r="S907" s="18"/>
      <c r="T907" s="19" t="s">
        <v>927</v>
      </c>
      <c r="U907" s="9" t="str">
        <f t="shared" si="1"/>
        <v>NSE:SALASAR</v>
      </c>
      <c r="V907" s="18"/>
      <c r="W907" s="18"/>
      <c r="X907" s="18"/>
    </row>
    <row r="908">
      <c r="A908" s="20"/>
      <c r="B908" s="3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35"/>
      <c r="N908" s="18"/>
      <c r="O908" s="18"/>
      <c r="P908" s="18"/>
      <c r="Q908" s="34"/>
      <c r="R908" s="18"/>
      <c r="S908" s="18"/>
      <c r="T908" s="19" t="s">
        <v>928</v>
      </c>
      <c r="U908" s="9" t="str">
        <f t="shared" si="1"/>
        <v>NSE:PFS</v>
      </c>
      <c r="V908" s="18"/>
      <c r="W908" s="18"/>
      <c r="X908" s="18"/>
    </row>
    <row r="909">
      <c r="A909" s="20"/>
      <c r="B909" s="3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35"/>
      <c r="N909" s="18"/>
      <c r="O909" s="18"/>
      <c r="P909" s="18"/>
      <c r="Q909" s="34"/>
      <c r="R909" s="18"/>
      <c r="S909" s="18"/>
      <c r="T909" s="19" t="s">
        <v>929</v>
      </c>
      <c r="U909" s="9" t="str">
        <f t="shared" si="1"/>
        <v>NSE:SERVOTECH</v>
      </c>
      <c r="V909" s="18"/>
      <c r="W909" s="18"/>
      <c r="X909" s="18"/>
    </row>
    <row r="910">
      <c r="A910" s="20"/>
      <c r="B910" s="3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35"/>
      <c r="N910" s="18"/>
      <c r="O910" s="18"/>
      <c r="P910" s="18"/>
      <c r="Q910" s="34"/>
      <c r="R910" s="18"/>
      <c r="S910" s="18"/>
      <c r="T910" s="19" t="s">
        <v>930</v>
      </c>
      <c r="U910" s="9" t="str">
        <f t="shared" si="1"/>
        <v>NSE:AETHER</v>
      </c>
      <c r="V910" s="18"/>
      <c r="W910" s="18"/>
      <c r="X910" s="18"/>
    </row>
    <row r="911">
      <c r="A911" s="20"/>
      <c r="B911" s="3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35"/>
      <c r="N911" s="18"/>
      <c r="O911" s="18"/>
      <c r="P911" s="18"/>
      <c r="Q911" s="34"/>
      <c r="R911" s="18"/>
      <c r="S911" s="18"/>
      <c r="T911" s="19" t="s">
        <v>931</v>
      </c>
      <c r="U911" s="9" t="str">
        <f t="shared" si="1"/>
        <v>NSE:AWHCL</v>
      </c>
      <c r="V911" s="18"/>
      <c r="W911" s="18"/>
      <c r="X911" s="18"/>
    </row>
    <row r="912">
      <c r="A912" s="20"/>
      <c r="B912" s="3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35"/>
      <c r="N912" s="18"/>
      <c r="O912" s="18"/>
      <c r="P912" s="18"/>
      <c r="Q912" s="34"/>
      <c r="R912" s="18"/>
      <c r="S912" s="18"/>
      <c r="T912" s="19" t="s">
        <v>932</v>
      </c>
      <c r="U912" s="9" t="str">
        <f t="shared" si="1"/>
        <v>NSE:FUSION</v>
      </c>
      <c r="V912" s="18"/>
      <c r="W912" s="18"/>
      <c r="X912" s="18"/>
    </row>
    <row r="913">
      <c r="A913" s="20"/>
      <c r="B913" s="3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35"/>
      <c r="N913" s="18"/>
      <c r="O913" s="18"/>
      <c r="P913" s="18"/>
      <c r="Q913" s="34"/>
      <c r="R913" s="18"/>
      <c r="S913" s="18"/>
      <c r="T913" s="19" t="s">
        <v>933</v>
      </c>
      <c r="U913" s="9" t="str">
        <f t="shared" si="1"/>
        <v>NSE:GHCL</v>
      </c>
      <c r="V913" s="18"/>
      <c r="W913" s="18"/>
      <c r="X913" s="18"/>
    </row>
    <row r="914">
      <c r="A914" s="20"/>
      <c r="B914" s="3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35"/>
      <c r="N914" s="18"/>
      <c r="O914" s="18"/>
      <c r="P914" s="18"/>
      <c r="Q914" s="34"/>
      <c r="R914" s="18"/>
      <c r="S914" s="18"/>
      <c r="T914" s="19" t="s">
        <v>934</v>
      </c>
      <c r="U914" s="9" t="str">
        <f t="shared" si="1"/>
        <v>NSE:SATIN</v>
      </c>
      <c r="V914" s="18"/>
      <c r="W914" s="18"/>
      <c r="X914" s="18"/>
    </row>
    <row r="915">
      <c r="A915" s="20"/>
      <c r="B915" s="3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35"/>
      <c r="N915" s="18"/>
      <c r="O915" s="18"/>
      <c r="P915" s="18"/>
      <c r="Q915" s="34"/>
      <c r="R915" s="18"/>
      <c r="S915" s="18"/>
      <c r="T915" s="19" t="s">
        <v>935</v>
      </c>
      <c r="U915" s="9" t="str">
        <f t="shared" si="1"/>
        <v>NSE:MIDSMALL</v>
      </c>
      <c r="V915" s="18"/>
      <c r="W915" s="18"/>
      <c r="X915" s="18"/>
    </row>
    <row r="916">
      <c r="A916" s="20"/>
      <c r="B916" s="3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35"/>
      <c r="N916" s="18"/>
      <c r="O916" s="18"/>
      <c r="P916" s="18"/>
      <c r="Q916" s="34"/>
      <c r="R916" s="18"/>
      <c r="S916" s="18"/>
      <c r="T916" s="19" t="s">
        <v>936</v>
      </c>
      <c r="U916" s="9" t="str">
        <f t="shared" si="1"/>
        <v>NSE:SANSTAR</v>
      </c>
      <c r="V916" s="18"/>
      <c r="W916" s="18"/>
      <c r="X916" s="18"/>
    </row>
    <row r="917">
      <c r="A917" s="20"/>
      <c r="B917" s="3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35"/>
      <c r="N917" s="18"/>
      <c r="O917" s="18"/>
      <c r="P917" s="18"/>
      <c r="Q917" s="34"/>
      <c r="R917" s="18"/>
      <c r="S917" s="18"/>
      <c r="T917" s="19" t="s">
        <v>937</v>
      </c>
      <c r="U917" s="9" t="str">
        <f t="shared" si="1"/>
        <v>NSE:POCL</v>
      </c>
      <c r="V917" s="18"/>
      <c r="W917" s="18"/>
      <c r="X917" s="18"/>
    </row>
    <row r="918">
      <c r="A918" s="20"/>
      <c r="B918" s="3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35"/>
      <c r="N918" s="18"/>
      <c r="O918" s="18"/>
      <c r="P918" s="18"/>
      <c r="Q918" s="34"/>
      <c r="R918" s="18"/>
      <c r="S918" s="18"/>
      <c r="T918" s="19" t="s">
        <v>938</v>
      </c>
      <c r="U918" s="9" t="str">
        <f t="shared" si="1"/>
        <v>NSE:KRBL</v>
      </c>
      <c r="V918" s="18"/>
      <c r="W918" s="18"/>
      <c r="X918" s="18"/>
    </row>
    <row r="919">
      <c r="A919" s="20"/>
      <c r="B919" s="3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35"/>
      <c r="N919" s="18"/>
      <c r="O919" s="18"/>
      <c r="P919" s="18"/>
      <c r="Q919" s="34"/>
      <c r="R919" s="18"/>
      <c r="S919" s="18"/>
      <c r="T919" s="19" t="s">
        <v>939</v>
      </c>
      <c r="U919" s="9" t="str">
        <f t="shared" si="1"/>
        <v>NSE:GULPOLY</v>
      </c>
      <c r="V919" s="18"/>
      <c r="W919" s="18"/>
      <c r="X919" s="18"/>
    </row>
    <row r="920">
      <c r="A920" s="20"/>
      <c r="B920" s="3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35"/>
      <c r="N920" s="18"/>
      <c r="O920" s="18"/>
      <c r="P920" s="18"/>
      <c r="Q920" s="34"/>
      <c r="R920" s="18"/>
      <c r="S920" s="18"/>
      <c r="T920" s="19" t="s">
        <v>940</v>
      </c>
      <c r="U920" s="9" t="str">
        <f t="shared" si="1"/>
        <v>NSE:ALPHA</v>
      </c>
      <c r="V920" s="18"/>
      <c r="W920" s="18"/>
      <c r="X920" s="18"/>
    </row>
    <row r="921">
      <c r="A921" s="20"/>
      <c r="B921" s="3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35"/>
      <c r="N921" s="18"/>
      <c r="O921" s="18"/>
      <c r="P921" s="18"/>
      <c r="Q921" s="34"/>
      <c r="R921" s="18"/>
      <c r="S921" s="18"/>
      <c r="T921" s="19" t="s">
        <v>941</v>
      </c>
      <c r="U921" s="9" t="str">
        <f t="shared" si="1"/>
        <v>NSE:SANOFICONR</v>
      </c>
      <c r="V921" s="18"/>
      <c r="W921" s="18"/>
      <c r="X921" s="18"/>
    </row>
    <row r="922">
      <c r="A922" s="20"/>
      <c r="B922" s="3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35"/>
      <c r="N922" s="18"/>
      <c r="O922" s="18"/>
      <c r="P922" s="18"/>
      <c r="Q922" s="34"/>
      <c r="R922" s="18"/>
      <c r="S922" s="18"/>
      <c r="T922" s="19" t="s">
        <v>942</v>
      </c>
      <c r="U922" s="9" t="str">
        <f t="shared" si="1"/>
        <v>NSE:ELIN</v>
      </c>
      <c r="V922" s="18"/>
      <c r="W922" s="18"/>
      <c r="X922" s="18"/>
    </row>
    <row r="923">
      <c r="A923" s="20"/>
      <c r="B923" s="3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35"/>
      <c r="N923" s="18"/>
      <c r="O923" s="18"/>
      <c r="P923" s="18"/>
      <c r="Q923" s="34"/>
      <c r="R923" s="18"/>
      <c r="S923" s="18"/>
      <c r="T923" s="19" t="s">
        <v>943</v>
      </c>
      <c r="U923" s="9" t="str">
        <f t="shared" si="1"/>
        <v>NSE:RSWM</v>
      </c>
      <c r="V923" s="18"/>
      <c r="W923" s="18"/>
      <c r="X923" s="18"/>
    </row>
    <row r="924">
      <c r="A924" s="20"/>
      <c r="B924" s="3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35"/>
      <c r="N924" s="18"/>
      <c r="O924" s="18"/>
      <c r="P924" s="18"/>
      <c r="Q924" s="34"/>
      <c r="R924" s="18"/>
      <c r="S924" s="18"/>
      <c r="T924" s="19" t="s">
        <v>944</v>
      </c>
      <c r="U924" s="9" t="str">
        <f t="shared" si="1"/>
        <v>NSE:MOLDTKPAC</v>
      </c>
      <c r="V924" s="18"/>
      <c r="W924" s="18"/>
      <c r="X924" s="18"/>
    </row>
    <row r="925">
      <c r="A925" s="20"/>
      <c r="B925" s="3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35"/>
      <c r="N925" s="18"/>
      <c r="O925" s="18"/>
      <c r="P925" s="18"/>
      <c r="Q925" s="34"/>
      <c r="R925" s="18"/>
      <c r="S925" s="18"/>
      <c r="T925" s="19" t="s">
        <v>945</v>
      </c>
      <c r="U925" s="9" t="str">
        <f t="shared" si="1"/>
        <v>NSE:SCILAL</v>
      </c>
      <c r="V925" s="18"/>
      <c r="W925" s="18"/>
      <c r="X925" s="18"/>
    </row>
    <row r="926">
      <c r="A926" s="20"/>
      <c r="B926" s="3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35"/>
      <c r="N926" s="18"/>
      <c r="O926" s="18"/>
      <c r="P926" s="18"/>
      <c r="Q926" s="34"/>
      <c r="R926" s="18"/>
      <c r="S926" s="18"/>
      <c r="T926" s="19" t="s">
        <v>946</v>
      </c>
      <c r="U926" s="9" t="str">
        <f t="shared" si="1"/>
        <v>NSE:PRECAM</v>
      </c>
      <c r="V926" s="18"/>
      <c r="W926" s="18"/>
      <c r="X926" s="18"/>
    </row>
    <row r="927">
      <c r="A927" s="20"/>
      <c r="B927" s="3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35"/>
      <c r="N927" s="18"/>
      <c r="O927" s="18"/>
      <c r="P927" s="18"/>
      <c r="Q927" s="34"/>
      <c r="R927" s="18"/>
      <c r="S927" s="18"/>
      <c r="T927" s="19" t="s">
        <v>947</v>
      </c>
      <c r="U927" s="9" t="str">
        <f t="shared" si="1"/>
        <v>NSE:PRSMJOHNSN</v>
      </c>
      <c r="V927" s="18"/>
      <c r="W927" s="18"/>
      <c r="X927" s="18"/>
    </row>
    <row r="928">
      <c r="A928" s="20"/>
      <c r="B928" s="3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35"/>
      <c r="N928" s="18"/>
      <c r="O928" s="18"/>
      <c r="P928" s="18"/>
      <c r="Q928" s="34"/>
      <c r="R928" s="18"/>
      <c r="S928" s="18"/>
      <c r="T928" s="19" t="s">
        <v>948</v>
      </c>
      <c r="U928" s="9" t="str">
        <f t="shared" si="1"/>
        <v>NSE:DCW</v>
      </c>
      <c r="V928" s="18"/>
      <c r="W928" s="18"/>
      <c r="X928" s="18"/>
    </row>
    <row r="929">
      <c r="A929" s="20"/>
      <c r="B929" s="3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35"/>
      <c r="N929" s="18"/>
      <c r="O929" s="18"/>
      <c r="P929" s="18"/>
      <c r="Q929" s="34"/>
      <c r="R929" s="18"/>
      <c r="S929" s="18"/>
      <c r="T929" s="19" t="s">
        <v>949</v>
      </c>
      <c r="U929" s="9" t="str">
        <f t="shared" si="1"/>
        <v>NSE:NORTHARC</v>
      </c>
      <c r="V929" s="18"/>
      <c r="W929" s="18"/>
      <c r="X929" s="18"/>
    </row>
    <row r="930">
      <c r="A930" s="20"/>
      <c r="B930" s="3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35"/>
      <c r="N930" s="18"/>
      <c r="O930" s="18"/>
      <c r="P930" s="18"/>
      <c r="Q930" s="34"/>
      <c r="R930" s="18"/>
      <c r="S930" s="18"/>
      <c r="T930" s="19" t="s">
        <v>950</v>
      </c>
      <c r="U930" s="9" t="str">
        <f t="shared" si="1"/>
        <v>NSE:OCCLLTD</v>
      </c>
      <c r="V930" s="18"/>
      <c r="W930" s="18"/>
      <c r="X930" s="18"/>
    </row>
    <row r="931">
      <c r="A931" s="20"/>
      <c r="B931" s="3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35"/>
      <c r="N931" s="18"/>
      <c r="O931" s="18"/>
      <c r="P931" s="18"/>
      <c r="Q931" s="34"/>
      <c r="R931" s="18"/>
      <c r="S931" s="18"/>
      <c r="T931" s="19" t="s">
        <v>951</v>
      </c>
      <c r="U931" s="9" t="str">
        <f t="shared" si="1"/>
        <v>NSE:PARAGMILK</v>
      </c>
      <c r="V931" s="18"/>
      <c r="W931" s="18"/>
      <c r="X931" s="18"/>
    </row>
    <row r="932">
      <c r="A932" s="20"/>
      <c r="B932" s="3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35"/>
      <c r="N932" s="18"/>
      <c r="O932" s="18"/>
      <c r="P932" s="18"/>
      <c r="Q932" s="34"/>
      <c r="R932" s="18"/>
      <c r="S932" s="18"/>
      <c r="T932" s="19" t="s">
        <v>952</v>
      </c>
      <c r="U932" s="9" t="str">
        <f t="shared" si="1"/>
        <v>NSE:ORIENTTECH</v>
      </c>
      <c r="V932" s="18"/>
      <c r="W932" s="18"/>
      <c r="X932" s="18"/>
    </row>
    <row r="933">
      <c r="A933" s="20"/>
      <c r="B933" s="3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35"/>
      <c r="N933" s="18"/>
      <c r="O933" s="18"/>
      <c r="P933" s="18"/>
      <c r="Q933" s="34"/>
      <c r="R933" s="18"/>
      <c r="S933" s="18"/>
      <c r="T933" s="19" t="s">
        <v>953</v>
      </c>
      <c r="U933" s="9" t="str">
        <f t="shared" si="1"/>
        <v>NSE:AURIONPRO</v>
      </c>
      <c r="V933" s="18"/>
      <c r="W933" s="18"/>
      <c r="X933" s="18"/>
    </row>
    <row r="934">
      <c r="A934" s="20"/>
      <c r="B934" s="3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35"/>
      <c r="N934" s="18"/>
      <c r="O934" s="18"/>
      <c r="P934" s="18"/>
      <c r="Q934" s="34"/>
      <c r="R934" s="18"/>
      <c r="S934" s="18"/>
      <c r="T934" s="19" t="s">
        <v>954</v>
      </c>
      <c r="U934" s="9" t="str">
        <f t="shared" si="1"/>
        <v>NSE:CAREERP</v>
      </c>
      <c r="V934" s="18"/>
      <c r="W934" s="18"/>
      <c r="X934" s="18"/>
    </row>
    <row r="935">
      <c r="A935" s="20"/>
      <c r="B935" s="3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35"/>
      <c r="N935" s="18"/>
      <c r="O935" s="18"/>
      <c r="P935" s="18"/>
      <c r="Q935" s="34"/>
      <c r="R935" s="18"/>
      <c r="S935" s="18"/>
      <c r="T935" s="19" t="s">
        <v>955</v>
      </c>
      <c r="U935" s="9" t="str">
        <f t="shared" si="1"/>
        <v>NSE:VENKEYS</v>
      </c>
      <c r="V935" s="18"/>
      <c r="W935" s="18"/>
      <c r="X935" s="18"/>
    </row>
    <row r="936">
      <c r="A936" s="20"/>
      <c r="B936" s="3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35"/>
      <c r="N936" s="18"/>
      <c r="O936" s="18"/>
      <c r="P936" s="18"/>
      <c r="Q936" s="34"/>
      <c r="R936" s="18"/>
      <c r="S936" s="18"/>
      <c r="T936" s="19" t="s">
        <v>956</v>
      </c>
      <c r="U936" s="9" t="str">
        <f t="shared" si="1"/>
        <v>NSE:ENTERO</v>
      </c>
      <c r="V936" s="18"/>
      <c r="W936" s="18"/>
      <c r="X936" s="18"/>
    </row>
    <row r="937">
      <c r="A937" s="20"/>
      <c r="B937" s="3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35"/>
      <c r="N937" s="18"/>
      <c r="O937" s="18"/>
      <c r="P937" s="18"/>
      <c r="Q937" s="34"/>
      <c r="R937" s="18"/>
      <c r="S937" s="18"/>
      <c r="T937" s="19" t="s">
        <v>957</v>
      </c>
      <c r="U937" s="9" t="str">
        <f t="shared" si="1"/>
        <v>NSE:MANGLMCEM</v>
      </c>
      <c r="V937" s="18"/>
      <c r="W937" s="18"/>
      <c r="X937" s="18"/>
    </row>
    <row r="938">
      <c r="A938" s="20"/>
      <c r="B938" s="3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35"/>
      <c r="N938" s="18"/>
      <c r="O938" s="18"/>
      <c r="P938" s="18"/>
      <c r="Q938" s="34"/>
      <c r="R938" s="18"/>
      <c r="S938" s="18"/>
      <c r="T938" s="19" t="s">
        <v>958</v>
      </c>
      <c r="U938" s="9" t="str">
        <f t="shared" si="1"/>
        <v>NSE:UDS</v>
      </c>
      <c r="V938" s="18"/>
      <c r="W938" s="18"/>
      <c r="X938" s="18"/>
    </row>
    <row r="939">
      <c r="A939" s="20"/>
      <c r="B939" s="3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35"/>
      <c r="N939" s="18"/>
      <c r="O939" s="18"/>
      <c r="P939" s="18"/>
      <c r="Q939" s="34"/>
      <c r="R939" s="18"/>
      <c r="S939" s="18"/>
      <c r="T939" s="19" t="s">
        <v>959</v>
      </c>
      <c r="U939" s="9" t="str">
        <f t="shared" si="1"/>
        <v>NSE:SWARAJENG</v>
      </c>
      <c r="V939" s="18"/>
      <c r="W939" s="18"/>
      <c r="X939" s="18"/>
    </row>
    <row r="940">
      <c r="A940" s="20"/>
      <c r="B940" s="3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35"/>
      <c r="N940" s="18"/>
      <c r="O940" s="18"/>
      <c r="P940" s="18"/>
      <c r="Q940" s="34"/>
      <c r="R940" s="18"/>
      <c r="S940" s="18"/>
      <c r="T940" s="19" t="s">
        <v>960</v>
      </c>
      <c r="U940" s="9" t="str">
        <f t="shared" si="1"/>
        <v>NSE:CGCL</v>
      </c>
      <c r="V940" s="18"/>
      <c r="W940" s="18"/>
      <c r="X940" s="18"/>
    </row>
    <row r="941">
      <c r="A941" s="20"/>
      <c r="B941" s="3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35"/>
      <c r="N941" s="18"/>
      <c r="O941" s="18"/>
      <c r="P941" s="18"/>
      <c r="Q941" s="34"/>
      <c r="R941" s="18"/>
      <c r="S941" s="18"/>
      <c r="T941" s="19" t="s">
        <v>961</v>
      </c>
      <c r="U941" s="9" t="str">
        <f t="shared" si="1"/>
        <v>NSE:DHARMAJ</v>
      </c>
      <c r="V941" s="18"/>
      <c r="W941" s="18"/>
      <c r="X941" s="18"/>
    </row>
    <row r="942">
      <c r="A942" s="20"/>
      <c r="B942" s="3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35"/>
      <c r="N942" s="18"/>
      <c r="O942" s="18"/>
      <c r="P942" s="18"/>
      <c r="Q942" s="34"/>
      <c r="R942" s="18"/>
      <c r="S942" s="18"/>
      <c r="T942" s="19" t="s">
        <v>962</v>
      </c>
      <c r="U942" s="9" t="str">
        <f t="shared" si="1"/>
        <v>NSE:DCAL</v>
      </c>
      <c r="V942" s="18"/>
      <c r="W942" s="18"/>
      <c r="X942" s="18"/>
    </row>
    <row r="943">
      <c r="A943" s="20"/>
      <c r="B943" s="3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35"/>
      <c r="N943" s="18"/>
      <c r="O943" s="18"/>
      <c r="P943" s="18"/>
      <c r="Q943" s="34"/>
      <c r="R943" s="18"/>
      <c r="S943" s="18"/>
      <c r="T943" s="19" t="s">
        <v>963</v>
      </c>
      <c r="U943" s="9" t="str">
        <f t="shared" si="1"/>
        <v>NSE:HUBTOWN</v>
      </c>
      <c r="V943" s="18"/>
      <c r="W943" s="18"/>
      <c r="X943" s="18"/>
    </row>
    <row r="944">
      <c r="A944" s="20"/>
      <c r="B944" s="3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35"/>
      <c r="N944" s="18"/>
      <c r="O944" s="18"/>
      <c r="P944" s="18"/>
      <c r="Q944" s="34"/>
      <c r="R944" s="18"/>
      <c r="S944" s="18"/>
      <c r="T944" s="19" t="s">
        <v>964</v>
      </c>
      <c r="U944" s="9" t="str">
        <f t="shared" si="1"/>
        <v>NSE:SIRCA</v>
      </c>
      <c r="V944" s="18"/>
      <c r="W944" s="18"/>
      <c r="X944" s="18"/>
    </row>
    <row r="945">
      <c r="A945" s="20"/>
      <c r="B945" s="3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35"/>
      <c r="N945" s="18"/>
      <c r="O945" s="18"/>
      <c r="P945" s="18"/>
      <c r="Q945" s="34"/>
      <c r="R945" s="18"/>
      <c r="S945" s="18"/>
      <c r="T945" s="19" t="s">
        <v>965</v>
      </c>
      <c r="U945" s="9" t="str">
        <f t="shared" si="1"/>
        <v>NSE:WINDLAS</v>
      </c>
      <c r="V945" s="18"/>
      <c r="W945" s="18"/>
      <c r="X945" s="18"/>
    </row>
    <row r="946">
      <c r="A946" s="20"/>
      <c r="B946" s="3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35"/>
      <c r="N946" s="18"/>
      <c r="O946" s="18"/>
      <c r="P946" s="18"/>
      <c r="Q946" s="34"/>
      <c r="R946" s="18"/>
      <c r="S946" s="18"/>
      <c r="T946" s="19" t="s">
        <v>966</v>
      </c>
      <c r="U946" s="9" t="str">
        <f t="shared" si="1"/>
        <v>NSE:RAMASTEEL</v>
      </c>
      <c r="V946" s="18"/>
      <c r="W946" s="18"/>
      <c r="X946" s="18"/>
    </row>
    <row r="947">
      <c r="A947" s="20"/>
      <c r="B947" s="3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35"/>
      <c r="N947" s="18"/>
      <c r="O947" s="18"/>
      <c r="P947" s="18"/>
      <c r="Q947" s="34"/>
      <c r="R947" s="18"/>
      <c r="S947" s="18"/>
      <c r="T947" s="19" t="s">
        <v>967</v>
      </c>
      <c r="U947" s="9" t="str">
        <f t="shared" si="1"/>
        <v>NSE:TVSHLTD</v>
      </c>
      <c r="V947" s="18"/>
      <c r="W947" s="18"/>
      <c r="X947" s="18"/>
    </row>
    <row r="948">
      <c r="A948" s="20"/>
      <c r="B948" s="3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35"/>
      <c r="N948" s="18"/>
      <c r="O948" s="18"/>
      <c r="P948" s="18"/>
      <c r="Q948" s="34"/>
      <c r="R948" s="18"/>
      <c r="S948" s="18"/>
      <c r="T948" s="19" t="s">
        <v>968</v>
      </c>
      <c r="U948" s="9" t="str">
        <f t="shared" si="1"/>
        <v>NSE:GOCOLORS</v>
      </c>
      <c r="V948" s="18"/>
      <c r="W948" s="18"/>
      <c r="X948" s="18"/>
    </row>
    <row r="949">
      <c r="A949" s="20"/>
      <c r="B949" s="3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35"/>
      <c r="N949" s="18"/>
      <c r="O949" s="18"/>
      <c r="P949" s="18"/>
      <c r="Q949" s="34"/>
      <c r="R949" s="18"/>
      <c r="S949" s="18"/>
      <c r="T949" s="19" t="s">
        <v>969</v>
      </c>
      <c r="U949" s="9" t="str">
        <f t="shared" si="1"/>
        <v>NSE:COSMOFIRST</v>
      </c>
      <c r="V949" s="18"/>
      <c r="W949" s="18"/>
      <c r="X949" s="18"/>
    </row>
    <row r="950">
      <c r="A950" s="20"/>
      <c r="B950" s="3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35"/>
      <c r="N950" s="18"/>
      <c r="O950" s="18"/>
      <c r="P950" s="18"/>
      <c r="Q950" s="34"/>
      <c r="R950" s="18"/>
      <c r="S950" s="18"/>
      <c r="T950" s="19" t="s">
        <v>970</v>
      </c>
      <c r="U950" s="9" t="str">
        <f t="shared" si="1"/>
        <v>NSE:RHIM</v>
      </c>
      <c r="V950" s="18"/>
      <c r="W950" s="18"/>
      <c r="X950" s="18"/>
    </row>
    <row r="951">
      <c r="A951" s="20"/>
      <c r="B951" s="3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35"/>
      <c r="N951" s="18"/>
      <c r="O951" s="18"/>
      <c r="P951" s="18"/>
      <c r="Q951" s="34"/>
      <c r="R951" s="18"/>
      <c r="S951" s="18"/>
      <c r="T951" s="19" t="s">
        <v>971</v>
      </c>
      <c r="U951" s="9" t="str">
        <f t="shared" si="1"/>
        <v>NSE:ESTER</v>
      </c>
      <c r="V951" s="18"/>
      <c r="W951" s="18"/>
      <c r="X951" s="18"/>
    </row>
    <row r="952">
      <c r="A952" s="20"/>
      <c r="B952" s="3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35"/>
      <c r="N952" s="18"/>
      <c r="O952" s="18"/>
      <c r="P952" s="18"/>
      <c r="Q952" s="34"/>
      <c r="R952" s="18"/>
      <c r="S952" s="18"/>
      <c r="T952" s="19" t="s">
        <v>972</v>
      </c>
      <c r="U952" s="9" t="str">
        <f t="shared" si="1"/>
        <v>NSE:BEPL</v>
      </c>
      <c r="V952" s="18"/>
      <c r="W952" s="18"/>
      <c r="X952" s="18"/>
    </row>
    <row r="953">
      <c r="A953" s="20"/>
      <c r="B953" s="3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35"/>
      <c r="N953" s="18"/>
      <c r="O953" s="18"/>
      <c r="P953" s="18"/>
      <c r="Q953" s="34"/>
      <c r="R953" s="18"/>
      <c r="S953" s="18"/>
      <c r="T953" s="19" t="s">
        <v>973</v>
      </c>
      <c r="U953" s="9" t="str">
        <f t="shared" si="1"/>
        <v>NSE:LIQUIDPLUS</v>
      </c>
      <c r="V953" s="18"/>
      <c r="W953" s="18"/>
      <c r="X953" s="18"/>
    </row>
    <row r="954">
      <c r="A954" s="20"/>
      <c r="B954" s="3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35"/>
      <c r="N954" s="18"/>
      <c r="O954" s="18"/>
      <c r="P954" s="18"/>
      <c r="Q954" s="34"/>
      <c r="R954" s="18"/>
      <c r="S954" s="18"/>
      <c r="T954" s="19" t="s">
        <v>974</v>
      </c>
      <c r="U954" s="9" t="str">
        <f t="shared" si="1"/>
        <v>NSE:DEN</v>
      </c>
      <c r="V954" s="18"/>
      <c r="W954" s="18"/>
      <c r="X954" s="18"/>
    </row>
    <row r="955">
      <c r="A955" s="20"/>
      <c r="B955" s="3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35"/>
      <c r="N955" s="18"/>
      <c r="O955" s="18"/>
      <c r="P955" s="18"/>
      <c r="Q955" s="34"/>
      <c r="R955" s="18"/>
      <c r="S955" s="18"/>
      <c r="T955" s="19" t="s">
        <v>975</v>
      </c>
      <c r="U955" s="9" t="str">
        <f t="shared" si="1"/>
        <v>NSE:SIYSIL</v>
      </c>
      <c r="V955" s="18"/>
      <c r="W955" s="18"/>
      <c r="X955" s="18"/>
    </row>
    <row r="956">
      <c r="A956" s="20"/>
      <c r="B956" s="3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35"/>
      <c r="N956" s="18"/>
      <c r="O956" s="18"/>
      <c r="P956" s="18"/>
      <c r="Q956" s="34"/>
      <c r="R956" s="18"/>
      <c r="S956" s="18"/>
      <c r="T956" s="19" t="s">
        <v>976</v>
      </c>
      <c r="U956" s="9" t="str">
        <f t="shared" si="1"/>
        <v>NSE:NEXT50IETF</v>
      </c>
      <c r="V956" s="18"/>
      <c r="W956" s="18"/>
      <c r="X956" s="18"/>
    </row>
    <row r="957">
      <c r="A957" s="20"/>
      <c r="B957" s="3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35"/>
      <c r="N957" s="18"/>
      <c r="O957" s="18"/>
      <c r="P957" s="18"/>
      <c r="Q957" s="34"/>
      <c r="R957" s="18"/>
      <c r="S957" s="18"/>
      <c r="T957" s="19" t="s">
        <v>977</v>
      </c>
      <c r="U957" s="9" t="str">
        <f t="shared" si="1"/>
        <v>NSE:MPSLTD</v>
      </c>
      <c r="V957" s="18"/>
      <c r="W957" s="18"/>
      <c r="X957" s="18"/>
    </row>
    <row r="958">
      <c r="A958" s="20"/>
      <c r="B958" s="3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35"/>
      <c r="N958" s="18"/>
      <c r="O958" s="18"/>
      <c r="P958" s="18"/>
      <c r="Q958" s="34"/>
      <c r="R958" s="18"/>
      <c r="S958" s="18"/>
      <c r="T958" s="19" t="s">
        <v>978</v>
      </c>
      <c r="U958" s="9" t="str">
        <f t="shared" si="1"/>
        <v>NSE:SANGHIIND</v>
      </c>
      <c r="V958" s="18"/>
      <c r="W958" s="18"/>
      <c r="X958" s="18"/>
    </row>
    <row r="959">
      <c r="A959" s="20"/>
      <c r="B959" s="3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35"/>
      <c r="N959" s="18"/>
      <c r="O959" s="18"/>
      <c r="P959" s="18"/>
      <c r="Q959" s="34"/>
      <c r="R959" s="18"/>
      <c r="S959" s="18"/>
      <c r="T959" s="19" t="s">
        <v>979</v>
      </c>
      <c r="U959" s="9" t="str">
        <f t="shared" si="1"/>
        <v>NSE:VERANDA</v>
      </c>
      <c r="V959" s="18"/>
      <c r="W959" s="18"/>
      <c r="X959" s="18"/>
    </row>
    <row r="960">
      <c r="A960" s="20"/>
      <c r="B960" s="3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35"/>
      <c r="N960" s="18"/>
      <c r="O960" s="18"/>
      <c r="P960" s="18"/>
      <c r="Q960" s="34"/>
      <c r="R960" s="18"/>
      <c r="S960" s="18"/>
      <c r="T960" s="19" t="s">
        <v>980</v>
      </c>
      <c r="U960" s="9" t="str">
        <f t="shared" si="1"/>
        <v>NSE:TCIEXP</v>
      </c>
      <c r="V960" s="18"/>
      <c r="W960" s="18"/>
      <c r="X960" s="18"/>
    </row>
    <row r="961">
      <c r="A961" s="20"/>
      <c r="B961" s="3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35"/>
      <c r="N961" s="18"/>
      <c r="O961" s="18"/>
      <c r="P961" s="18"/>
      <c r="Q961" s="34"/>
      <c r="R961" s="18"/>
      <c r="S961" s="18"/>
      <c r="T961" s="19" t="s">
        <v>981</v>
      </c>
      <c r="U961" s="9" t="str">
        <f t="shared" si="1"/>
        <v>NSE:SFL</v>
      </c>
      <c r="V961" s="18"/>
      <c r="W961" s="18"/>
      <c r="X961" s="18"/>
    </row>
    <row r="962">
      <c r="A962" s="20"/>
      <c r="B962" s="3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35"/>
      <c r="N962" s="18"/>
      <c r="O962" s="18"/>
      <c r="P962" s="18"/>
      <c r="Q962" s="34"/>
      <c r="R962" s="18"/>
      <c r="S962" s="18"/>
      <c r="T962" s="19" t="s">
        <v>982</v>
      </c>
      <c r="U962" s="9" t="str">
        <f t="shared" si="1"/>
        <v>NSE:PDSL</v>
      </c>
      <c r="V962" s="18"/>
      <c r="W962" s="18"/>
      <c r="X962" s="18"/>
    </row>
    <row r="963">
      <c r="A963" s="20"/>
      <c r="B963" s="3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35"/>
      <c r="N963" s="18"/>
      <c r="O963" s="18"/>
      <c r="P963" s="18"/>
      <c r="Q963" s="34"/>
      <c r="R963" s="18"/>
      <c r="S963" s="18"/>
      <c r="T963" s="19" t="s">
        <v>983</v>
      </c>
      <c r="U963" s="9" t="str">
        <f t="shared" si="1"/>
        <v>NSE:BAJEL</v>
      </c>
      <c r="V963" s="18"/>
      <c r="W963" s="18"/>
      <c r="X963" s="18"/>
    </row>
    <row r="964">
      <c r="A964" s="20"/>
      <c r="B964" s="3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35"/>
      <c r="N964" s="18"/>
      <c r="O964" s="18"/>
      <c r="P964" s="18"/>
      <c r="Q964" s="34"/>
      <c r="R964" s="18"/>
      <c r="S964" s="18"/>
      <c r="T964" s="19" t="s">
        <v>984</v>
      </c>
      <c r="U964" s="9" t="str">
        <f t="shared" si="1"/>
        <v>NSE:EPIGRAL</v>
      </c>
      <c r="V964" s="18"/>
      <c r="W964" s="18"/>
      <c r="X964" s="18"/>
    </row>
    <row r="965">
      <c r="A965" s="20"/>
      <c r="B965" s="3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35"/>
      <c r="N965" s="18"/>
      <c r="O965" s="18"/>
      <c r="P965" s="18"/>
      <c r="Q965" s="34"/>
      <c r="R965" s="18"/>
      <c r="S965" s="18"/>
      <c r="T965" s="19" t="s">
        <v>985</v>
      </c>
      <c r="U965" s="9" t="str">
        <f t="shared" si="1"/>
        <v>NSE:GOCLCORP</v>
      </c>
      <c r="V965" s="18"/>
      <c r="W965" s="18"/>
      <c r="X965" s="18"/>
    </row>
    <row r="966">
      <c r="A966" s="20"/>
      <c r="B966" s="3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35"/>
      <c r="N966" s="18"/>
      <c r="O966" s="18"/>
      <c r="P966" s="18"/>
      <c r="Q966" s="34"/>
      <c r="R966" s="18"/>
      <c r="S966" s="18"/>
      <c r="T966" s="19" t="s">
        <v>986</v>
      </c>
      <c r="U966" s="9" t="str">
        <f t="shared" si="1"/>
        <v>NSE:NIBE</v>
      </c>
      <c r="V966" s="18"/>
      <c r="W966" s="18"/>
      <c r="X966" s="18"/>
    </row>
    <row r="967">
      <c r="A967" s="20"/>
      <c r="B967" s="3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35"/>
      <c r="N967" s="18"/>
      <c r="O967" s="18"/>
      <c r="P967" s="18"/>
      <c r="Q967" s="34"/>
      <c r="R967" s="18"/>
      <c r="S967" s="18"/>
      <c r="T967" s="19" t="s">
        <v>987</v>
      </c>
      <c r="U967" s="9" t="str">
        <f t="shared" si="1"/>
        <v>NSE:DATAMATICS</v>
      </c>
      <c r="V967" s="18"/>
      <c r="W967" s="18"/>
      <c r="X967" s="18"/>
    </row>
    <row r="968">
      <c r="A968" s="20"/>
      <c r="B968" s="3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35"/>
      <c r="N968" s="18"/>
      <c r="O968" s="18"/>
      <c r="P968" s="18"/>
      <c r="Q968" s="34"/>
      <c r="R968" s="18"/>
      <c r="S968" s="18"/>
      <c r="T968" s="19" t="s">
        <v>988</v>
      </c>
      <c r="U968" s="9" t="str">
        <f t="shared" si="1"/>
        <v>NSE:CENTENKA</v>
      </c>
      <c r="V968" s="18"/>
      <c r="W968" s="18"/>
      <c r="X968" s="18"/>
    </row>
    <row r="969">
      <c r="A969" s="20"/>
      <c r="B969" s="3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35"/>
      <c r="N969" s="18"/>
      <c r="O969" s="18"/>
      <c r="P969" s="18"/>
      <c r="Q969" s="34"/>
      <c r="R969" s="18"/>
      <c r="S969" s="18"/>
      <c r="T969" s="19" t="s">
        <v>989</v>
      </c>
      <c r="U969" s="9" t="str">
        <f t="shared" si="1"/>
        <v>NSE:DALMIASUG</v>
      </c>
      <c r="V969" s="18"/>
      <c r="W969" s="18"/>
      <c r="X969" s="18"/>
    </row>
    <row r="970">
      <c r="A970" s="20"/>
      <c r="B970" s="3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35"/>
      <c r="N970" s="18"/>
      <c r="O970" s="18"/>
      <c r="P970" s="18"/>
      <c r="Q970" s="34"/>
      <c r="R970" s="18"/>
      <c r="S970" s="18"/>
      <c r="T970" s="19" t="s">
        <v>990</v>
      </c>
      <c r="U970" s="9" t="str">
        <f t="shared" si="1"/>
        <v>NSE:IMFA</v>
      </c>
      <c r="V970" s="18"/>
      <c r="W970" s="18"/>
      <c r="X970" s="18"/>
    </row>
    <row r="971">
      <c r="A971" s="20"/>
      <c r="B971" s="3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35"/>
      <c r="N971" s="18"/>
      <c r="O971" s="18"/>
      <c r="P971" s="18"/>
      <c r="Q971" s="34"/>
      <c r="R971" s="18"/>
      <c r="S971" s="18"/>
      <c r="T971" s="19" t="s">
        <v>991</v>
      </c>
      <c r="U971" s="9" t="str">
        <f t="shared" si="1"/>
        <v>NSE:BOROLTD</v>
      </c>
      <c r="V971" s="18"/>
      <c r="W971" s="18"/>
      <c r="X971" s="18"/>
    </row>
    <row r="972">
      <c r="A972" s="20"/>
      <c r="B972" s="3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35"/>
      <c r="N972" s="18"/>
      <c r="O972" s="18"/>
      <c r="P972" s="18"/>
      <c r="Q972" s="34"/>
      <c r="R972" s="18"/>
      <c r="S972" s="18"/>
      <c r="T972" s="19" t="s">
        <v>992</v>
      </c>
      <c r="U972" s="9" t="str">
        <f t="shared" si="1"/>
        <v>NSE:LAXMIDENTL</v>
      </c>
      <c r="V972" s="18"/>
      <c r="W972" s="18"/>
      <c r="X972" s="18"/>
    </row>
    <row r="973">
      <c r="A973" s="20"/>
      <c r="B973" s="3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35"/>
      <c r="N973" s="18"/>
      <c r="O973" s="18"/>
      <c r="P973" s="18"/>
      <c r="Q973" s="34"/>
      <c r="R973" s="18"/>
      <c r="S973" s="18"/>
      <c r="T973" s="19" t="s">
        <v>993</v>
      </c>
      <c r="U973" s="9" t="str">
        <f t="shared" si="1"/>
        <v>NSE:DHAMPURSUG</v>
      </c>
      <c r="V973" s="18"/>
      <c r="W973" s="18"/>
      <c r="X973" s="18"/>
    </row>
    <row r="974">
      <c r="A974" s="20"/>
      <c r="B974" s="3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35"/>
      <c r="N974" s="18"/>
      <c r="O974" s="18"/>
      <c r="P974" s="18"/>
      <c r="Q974" s="34"/>
      <c r="R974" s="18"/>
      <c r="S974" s="18"/>
      <c r="T974" s="19" t="s">
        <v>994</v>
      </c>
      <c r="U974" s="9" t="str">
        <f t="shared" si="1"/>
        <v>NSE:UGROCAP</v>
      </c>
      <c r="V974" s="18"/>
      <c r="W974" s="18"/>
      <c r="X974" s="18"/>
    </row>
    <row r="975">
      <c r="A975" s="20"/>
      <c r="B975" s="3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35"/>
      <c r="N975" s="18"/>
      <c r="O975" s="18"/>
      <c r="P975" s="18"/>
      <c r="Q975" s="34"/>
      <c r="R975" s="18"/>
      <c r="S975" s="18"/>
      <c r="T975" s="19" t="s">
        <v>995</v>
      </c>
      <c r="U975" s="9" t="str">
        <f t="shared" si="1"/>
        <v>NSE:MARATHON</v>
      </c>
      <c r="V975" s="18"/>
      <c r="W975" s="18"/>
      <c r="X975" s="18"/>
    </row>
    <row r="976">
      <c r="A976" s="20"/>
      <c r="B976" s="3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35"/>
      <c r="N976" s="18"/>
      <c r="O976" s="18"/>
      <c r="P976" s="18"/>
      <c r="Q976" s="34"/>
      <c r="R976" s="18"/>
      <c r="S976" s="18"/>
      <c r="T976" s="19" t="s">
        <v>996</v>
      </c>
      <c r="U976" s="9" t="str">
        <f t="shared" si="1"/>
        <v>NSE:TRACXN</v>
      </c>
      <c r="V976" s="18"/>
      <c r="W976" s="18"/>
      <c r="X976" s="18"/>
    </row>
    <row r="977">
      <c r="A977" s="20"/>
      <c r="B977" s="3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35"/>
      <c r="N977" s="18"/>
      <c r="O977" s="18"/>
      <c r="P977" s="18"/>
      <c r="Q977" s="34"/>
      <c r="R977" s="18"/>
      <c r="S977" s="18"/>
      <c r="T977" s="19" t="s">
        <v>997</v>
      </c>
      <c r="U977" s="9" t="str">
        <f t="shared" si="1"/>
        <v>NSE:GOPAL</v>
      </c>
      <c r="V977" s="18"/>
      <c r="W977" s="18"/>
      <c r="X977" s="18"/>
    </row>
    <row r="978">
      <c r="A978" s="20"/>
      <c r="B978" s="3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35"/>
      <c r="N978" s="18"/>
      <c r="O978" s="18"/>
      <c r="P978" s="18"/>
      <c r="Q978" s="34"/>
      <c r="R978" s="18"/>
      <c r="S978" s="18"/>
      <c r="T978" s="19" t="s">
        <v>998</v>
      </c>
      <c r="U978" s="9" t="str">
        <f t="shared" si="1"/>
        <v>NSE:EMIL</v>
      </c>
      <c r="V978" s="18"/>
      <c r="W978" s="18"/>
      <c r="X978" s="18"/>
    </row>
    <row r="979">
      <c r="A979" s="20"/>
      <c r="B979" s="3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35"/>
      <c r="N979" s="18"/>
      <c r="O979" s="18"/>
      <c r="P979" s="18"/>
      <c r="Q979" s="34"/>
      <c r="R979" s="18"/>
      <c r="S979" s="18"/>
      <c r="T979" s="19" t="s">
        <v>999</v>
      </c>
      <c r="U979" s="9" t="str">
        <f t="shared" si="1"/>
        <v>NSE:STYLAMIND</v>
      </c>
      <c r="V979" s="18"/>
      <c r="W979" s="18"/>
      <c r="X979" s="18"/>
    </row>
    <row r="980">
      <c r="A980" s="20"/>
      <c r="B980" s="3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35"/>
      <c r="N980" s="18"/>
      <c r="O980" s="18"/>
      <c r="P980" s="18"/>
      <c r="Q980" s="34"/>
      <c r="R980" s="18"/>
      <c r="S980" s="18"/>
      <c r="T980" s="19" t="s">
        <v>1000</v>
      </c>
      <c r="U980" s="9" t="str">
        <f t="shared" si="1"/>
        <v>NSE:HINDMOTORS</v>
      </c>
      <c r="V980" s="18"/>
      <c r="W980" s="18"/>
      <c r="X980" s="18"/>
    </row>
    <row r="981">
      <c r="A981" s="20"/>
      <c r="B981" s="3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35"/>
      <c r="N981" s="18"/>
      <c r="O981" s="18"/>
      <c r="P981" s="18"/>
      <c r="Q981" s="34"/>
      <c r="R981" s="18"/>
      <c r="S981" s="18"/>
      <c r="T981" s="19" t="s">
        <v>1001</v>
      </c>
      <c r="U981" s="9" t="str">
        <f t="shared" si="1"/>
        <v>NSE:ADSL</v>
      </c>
      <c r="V981" s="18"/>
      <c r="W981" s="18"/>
      <c r="X981" s="18"/>
    </row>
    <row r="982">
      <c r="A982" s="20"/>
      <c r="B982" s="3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35"/>
      <c r="N982" s="18"/>
      <c r="O982" s="18"/>
      <c r="P982" s="18"/>
      <c r="Q982" s="34"/>
      <c r="R982" s="18"/>
      <c r="S982" s="18"/>
      <c r="T982" s="19" t="s">
        <v>1002</v>
      </c>
      <c r="U982" s="9" t="str">
        <f t="shared" si="1"/>
        <v>NSE:EKC</v>
      </c>
      <c r="V982" s="18"/>
      <c r="W982" s="18"/>
      <c r="X982" s="18"/>
    </row>
    <row r="983">
      <c r="A983" s="20"/>
      <c r="B983" s="3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35"/>
      <c r="N983" s="18"/>
      <c r="O983" s="18"/>
      <c r="P983" s="18"/>
      <c r="Q983" s="34"/>
      <c r="R983" s="18"/>
      <c r="S983" s="18"/>
      <c r="T983" s="19" t="s">
        <v>1003</v>
      </c>
      <c r="U983" s="9" t="str">
        <f t="shared" si="1"/>
        <v>NSE:KCP</v>
      </c>
      <c r="V983" s="18"/>
      <c r="W983" s="18"/>
      <c r="X983" s="18"/>
    </row>
    <row r="984">
      <c r="A984" s="20"/>
      <c r="B984" s="3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35"/>
      <c r="N984" s="18"/>
      <c r="O984" s="18"/>
      <c r="P984" s="18"/>
      <c r="Q984" s="34"/>
      <c r="R984" s="18"/>
      <c r="S984" s="18"/>
      <c r="T984" s="19" t="s">
        <v>1004</v>
      </c>
      <c r="U984" s="9" t="str">
        <f t="shared" si="1"/>
        <v>NSE:CEWATER</v>
      </c>
      <c r="V984" s="18"/>
      <c r="W984" s="18"/>
      <c r="X984" s="18"/>
    </row>
    <row r="985">
      <c r="A985" s="20"/>
      <c r="B985" s="3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35"/>
      <c r="N985" s="18"/>
      <c r="O985" s="18"/>
      <c r="P985" s="18"/>
      <c r="Q985" s="34"/>
      <c r="R985" s="18"/>
      <c r="S985" s="18"/>
      <c r="T985" s="19" t="s">
        <v>1005</v>
      </c>
      <c r="U985" s="9" t="str">
        <f t="shared" si="1"/>
        <v>NSE:RPSGVENT</v>
      </c>
      <c r="V985" s="18"/>
      <c r="W985" s="18"/>
      <c r="X985" s="18"/>
    </row>
    <row r="986">
      <c r="A986" s="20"/>
      <c r="B986" s="3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35"/>
      <c r="N986" s="18"/>
      <c r="O986" s="18"/>
      <c r="P986" s="18"/>
      <c r="Q986" s="34"/>
      <c r="R986" s="18"/>
      <c r="S986" s="18"/>
      <c r="T986" s="19" t="s">
        <v>1006</v>
      </c>
      <c r="U986" s="9" t="str">
        <f t="shared" si="1"/>
        <v>NSE:KOPRAN</v>
      </c>
      <c r="V986" s="18"/>
      <c r="W986" s="18"/>
      <c r="X986" s="18"/>
    </row>
    <row r="987">
      <c r="A987" s="20"/>
      <c r="B987" s="3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35"/>
      <c r="N987" s="18"/>
      <c r="O987" s="18"/>
      <c r="P987" s="18"/>
      <c r="Q987" s="34"/>
      <c r="R987" s="18"/>
      <c r="S987" s="18"/>
      <c r="T987" s="19" t="s">
        <v>1007</v>
      </c>
      <c r="U987" s="9" t="str">
        <f t="shared" si="1"/>
        <v>NSE:DDEVPLSTIK</v>
      </c>
      <c r="V987" s="18"/>
      <c r="W987" s="18"/>
      <c r="X987" s="18"/>
    </row>
    <row r="988">
      <c r="A988" s="20"/>
      <c r="B988" s="3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35"/>
      <c r="N988" s="18"/>
      <c r="O988" s="18"/>
      <c r="P988" s="18"/>
      <c r="Q988" s="34"/>
      <c r="R988" s="18"/>
      <c r="S988" s="18"/>
      <c r="T988" s="19" t="s">
        <v>1008</v>
      </c>
      <c r="U988" s="9" t="str">
        <f t="shared" si="1"/>
        <v>NSE:HESTERBIO</v>
      </c>
      <c r="V988" s="18"/>
      <c r="W988" s="18"/>
      <c r="X988" s="18"/>
    </row>
    <row r="989">
      <c r="A989" s="20"/>
      <c r="B989" s="3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35"/>
      <c r="N989" s="18"/>
      <c r="O989" s="18"/>
      <c r="P989" s="18"/>
      <c r="Q989" s="34"/>
      <c r="R989" s="18"/>
      <c r="S989" s="18"/>
      <c r="T989" s="19" t="s">
        <v>1009</v>
      </c>
      <c r="U989" s="9" t="str">
        <f t="shared" si="1"/>
        <v>NSE:MODEFENCE</v>
      </c>
      <c r="V989" s="18"/>
      <c r="W989" s="18"/>
      <c r="X989" s="18"/>
    </row>
    <row r="990">
      <c r="A990" s="20"/>
      <c r="B990" s="3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35"/>
      <c r="N990" s="18"/>
      <c r="O990" s="18"/>
      <c r="P990" s="18"/>
      <c r="Q990" s="34"/>
      <c r="R990" s="18"/>
      <c r="S990" s="18"/>
      <c r="T990" s="19" t="s">
        <v>1010</v>
      </c>
      <c r="U990" s="9" t="str">
        <f t="shared" si="1"/>
        <v>NSE:UNIPARTS</v>
      </c>
      <c r="V990" s="18"/>
      <c r="W990" s="18"/>
      <c r="X990" s="18"/>
    </row>
    <row r="991">
      <c r="A991" s="20"/>
      <c r="B991" s="3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35"/>
      <c r="N991" s="18"/>
      <c r="O991" s="18"/>
      <c r="P991" s="18"/>
      <c r="Q991" s="34"/>
      <c r="R991" s="18"/>
      <c r="S991" s="18"/>
      <c r="T991" s="19" t="s">
        <v>1011</v>
      </c>
      <c r="U991" s="9" t="str">
        <f t="shared" si="1"/>
        <v>NSE:UFLEX</v>
      </c>
      <c r="V991" s="18"/>
      <c r="W991" s="18"/>
      <c r="X991" s="18"/>
    </row>
    <row r="992">
      <c r="A992" s="20"/>
      <c r="B992" s="3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35"/>
      <c r="N992" s="18"/>
      <c r="O992" s="18"/>
      <c r="P992" s="18"/>
      <c r="Q992" s="34"/>
      <c r="R992" s="18"/>
      <c r="S992" s="18"/>
      <c r="T992" s="19" t="s">
        <v>1012</v>
      </c>
      <c r="U992" s="9" t="str">
        <f t="shared" si="1"/>
        <v>NSE:ADORWELD</v>
      </c>
      <c r="V992" s="18"/>
      <c r="W992" s="18"/>
      <c r="X992" s="18"/>
    </row>
    <row r="993">
      <c r="A993" s="20"/>
      <c r="B993" s="3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35"/>
      <c r="N993" s="18"/>
      <c r="O993" s="18"/>
      <c r="P993" s="18"/>
      <c r="Q993" s="34"/>
      <c r="R993" s="18"/>
      <c r="S993" s="18"/>
      <c r="T993" s="19" t="s">
        <v>1013</v>
      </c>
      <c r="U993" s="9" t="str">
        <f t="shared" si="1"/>
        <v>NSE:KSOLVES</v>
      </c>
      <c r="V993" s="18"/>
      <c r="W993" s="18"/>
      <c r="X993" s="18"/>
    </row>
    <row r="994">
      <c r="A994" s="20"/>
      <c r="B994" s="3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35"/>
      <c r="N994" s="18"/>
      <c r="O994" s="18"/>
      <c r="P994" s="18"/>
      <c r="Q994" s="34"/>
      <c r="R994" s="18"/>
      <c r="S994" s="18"/>
      <c r="T994" s="19" t="s">
        <v>1014</v>
      </c>
      <c r="U994" s="9" t="str">
        <f t="shared" si="1"/>
        <v>NSE:AJMERA</v>
      </c>
      <c r="V994" s="18"/>
      <c r="W994" s="18"/>
      <c r="X994" s="18"/>
    </row>
    <row r="995">
      <c r="A995" s="20"/>
      <c r="B995" s="3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35"/>
      <c r="N995" s="18"/>
      <c r="O995" s="18"/>
      <c r="P995" s="18"/>
      <c r="Q995" s="34"/>
      <c r="R995" s="18"/>
      <c r="S995" s="18"/>
      <c r="T995" s="19" t="s">
        <v>1015</v>
      </c>
      <c r="U995" s="9" t="str">
        <f t="shared" si="1"/>
        <v>NSE:GEOJITFSL</v>
      </c>
      <c r="V995" s="18"/>
      <c r="W995" s="18"/>
      <c r="X995" s="18"/>
    </row>
    <row r="996">
      <c r="A996" s="20"/>
      <c r="B996" s="3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35"/>
      <c r="N996" s="18"/>
      <c r="O996" s="18"/>
      <c r="P996" s="18"/>
      <c r="Q996" s="34"/>
      <c r="R996" s="18"/>
      <c r="S996" s="18"/>
      <c r="T996" s="19" t="s">
        <v>1016</v>
      </c>
      <c r="U996" s="9" t="str">
        <f t="shared" si="1"/>
        <v>NSE:MOTISONS</v>
      </c>
      <c r="V996" s="18"/>
      <c r="W996" s="18"/>
      <c r="X996" s="18"/>
    </row>
    <row r="997">
      <c r="A997" s="20"/>
      <c r="B997" s="3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35"/>
      <c r="N997" s="18"/>
      <c r="O997" s="18"/>
      <c r="P997" s="18"/>
      <c r="Q997" s="34"/>
      <c r="R997" s="18"/>
      <c r="S997" s="18"/>
      <c r="T997" s="19" t="s">
        <v>1017</v>
      </c>
      <c r="U997" s="9" t="str">
        <f t="shared" si="1"/>
        <v>NSE:INDOTECH</v>
      </c>
      <c r="V997" s="18"/>
      <c r="W997" s="18"/>
      <c r="X997" s="18"/>
    </row>
    <row r="998">
      <c r="A998" s="20"/>
      <c r="B998" s="3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35"/>
      <c r="N998" s="18"/>
      <c r="O998" s="18"/>
      <c r="P998" s="18"/>
      <c r="Q998" s="34"/>
      <c r="R998" s="18"/>
      <c r="S998" s="18"/>
      <c r="T998" s="19" t="s">
        <v>1018</v>
      </c>
      <c r="U998" s="9" t="str">
        <f t="shared" si="1"/>
        <v>NSE:AUTOBEES</v>
      </c>
      <c r="V998" s="18"/>
      <c r="W998" s="18"/>
      <c r="X998" s="18"/>
    </row>
    <row r="999">
      <c r="A999" s="20"/>
      <c r="B999" s="3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35"/>
      <c r="N999" s="18"/>
      <c r="O999" s="18"/>
      <c r="P999" s="18"/>
      <c r="Q999" s="34"/>
      <c r="R999" s="18"/>
      <c r="S999" s="18"/>
      <c r="T999" s="19" t="s">
        <v>1019</v>
      </c>
      <c r="U999" s="9" t="str">
        <f t="shared" si="1"/>
        <v>NSE:DCMSRIND</v>
      </c>
      <c r="V999" s="18"/>
      <c r="W999" s="18"/>
      <c r="X999" s="18"/>
    </row>
    <row r="1000">
      <c r="A1000" s="20"/>
      <c r="B1000" s="3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35"/>
      <c r="N1000" s="18"/>
      <c r="O1000" s="18"/>
      <c r="P1000" s="18"/>
      <c r="Q1000" s="34"/>
      <c r="R1000" s="18"/>
      <c r="S1000" s="18"/>
      <c r="T1000" s="19" t="s">
        <v>1020</v>
      </c>
      <c r="U1000" s="9" t="str">
        <f t="shared" si="1"/>
        <v>NSE:OMINFRAL</v>
      </c>
      <c r="V1000" s="18"/>
      <c r="W1000" s="18"/>
      <c r="X1000" s="18"/>
    </row>
    <row r="1001">
      <c r="A1001" s="20"/>
      <c r="B1001" s="3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35"/>
      <c r="N1001" s="18"/>
      <c r="O1001" s="18"/>
      <c r="P1001" s="18"/>
      <c r="Q1001" s="34"/>
      <c r="R1001" s="18"/>
      <c r="S1001" s="18"/>
      <c r="T1001" s="19" t="s">
        <v>1021</v>
      </c>
      <c r="U1001" s="9" t="str">
        <f t="shared" si="1"/>
        <v>NSE:MVGJL</v>
      </c>
      <c r="V1001" s="18"/>
      <c r="W1001" s="18"/>
      <c r="X1001" s="18"/>
    </row>
    <row r="1002">
      <c r="A1002" s="20"/>
      <c r="B1002" s="3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35"/>
      <c r="N1002" s="18"/>
      <c r="O1002" s="18"/>
      <c r="P1002" s="18"/>
      <c r="Q1002" s="34"/>
      <c r="R1002" s="18"/>
      <c r="S1002" s="18"/>
      <c r="T1002" s="19" t="s">
        <v>1022</v>
      </c>
      <c r="U1002" s="9" t="str">
        <f t="shared" si="1"/>
        <v>NSE:BLAL</v>
      </c>
      <c r="V1002" s="18"/>
      <c r="W1002" s="18"/>
      <c r="X1002" s="18"/>
    </row>
    <row r="1003">
      <c r="A1003" s="20"/>
      <c r="B1003" s="3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35"/>
      <c r="N1003" s="18"/>
      <c r="O1003" s="18"/>
      <c r="P1003" s="18"/>
      <c r="Q1003" s="34"/>
      <c r="R1003" s="18"/>
      <c r="S1003" s="18"/>
      <c r="T1003" s="19" t="s">
        <v>1023</v>
      </c>
      <c r="U1003" s="9" t="str">
        <f t="shared" si="1"/>
        <v>NSE:RAMKY</v>
      </c>
      <c r="V1003" s="18"/>
      <c r="W1003" s="18"/>
      <c r="X1003" s="18"/>
    </row>
    <row r="1004">
      <c r="A1004" s="20"/>
      <c r="B1004" s="3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35"/>
      <c r="N1004" s="18"/>
      <c r="O1004" s="18"/>
      <c r="P1004" s="18"/>
      <c r="Q1004" s="34"/>
      <c r="R1004" s="18"/>
      <c r="S1004" s="18"/>
      <c r="T1004" s="19" t="s">
        <v>1024</v>
      </c>
      <c r="U1004" s="9" t="str">
        <f t="shared" si="1"/>
        <v>NSE:MOM30IETF</v>
      </c>
      <c r="V1004" s="18"/>
      <c r="W1004" s="18"/>
      <c r="X1004" s="18"/>
    </row>
    <row r="1005">
      <c r="A1005" s="20"/>
      <c r="B1005" s="3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35"/>
      <c r="N1005" s="18"/>
      <c r="O1005" s="18"/>
      <c r="P1005" s="18"/>
      <c r="Q1005" s="34"/>
      <c r="R1005" s="18"/>
      <c r="S1005" s="18"/>
      <c r="T1005" s="19" t="s">
        <v>1025</v>
      </c>
      <c r="U1005" s="9" t="str">
        <f t="shared" si="1"/>
        <v>NSE:LUMAXIND</v>
      </c>
      <c r="V1005" s="18"/>
      <c r="W1005" s="18"/>
      <c r="X1005" s="18"/>
    </row>
    <row r="1006">
      <c r="A1006" s="20"/>
      <c r="B1006" s="3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35"/>
      <c r="N1006" s="18"/>
      <c r="O1006" s="18"/>
      <c r="P1006" s="18"/>
      <c r="Q1006" s="34"/>
      <c r="R1006" s="18"/>
      <c r="S1006" s="18"/>
      <c r="T1006" s="19" t="s">
        <v>1026</v>
      </c>
      <c r="U1006" s="9" t="str">
        <f t="shared" si="1"/>
        <v>NSE:RATNAVEER</v>
      </c>
      <c r="V1006" s="18"/>
      <c r="W1006" s="18"/>
      <c r="X1006" s="18"/>
    </row>
    <row r="1007">
      <c r="A1007" s="20"/>
      <c r="B1007" s="3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35"/>
      <c r="N1007" s="18"/>
      <c r="O1007" s="18"/>
      <c r="P1007" s="18"/>
      <c r="Q1007" s="34"/>
      <c r="R1007" s="18"/>
      <c r="S1007" s="18"/>
      <c r="T1007" s="19" t="s">
        <v>1027</v>
      </c>
      <c r="U1007" s="9" t="str">
        <f t="shared" si="1"/>
        <v>NSE:GREENPOWER</v>
      </c>
      <c r="V1007" s="18"/>
      <c r="W1007" s="18"/>
      <c r="X1007" s="18"/>
    </row>
    <row r="1008">
      <c r="A1008" s="20"/>
      <c r="B1008" s="3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35"/>
      <c r="N1008" s="18"/>
      <c r="O1008" s="18"/>
      <c r="P1008" s="18"/>
      <c r="Q1008" s="34"/>
      <c r="R1008" s="18"/>
      <c r="S1008" s="18"/>
      <c r="T1008" s="19" t="s">
        <v>1028</v>
      </c>
      <c r="U1008" s="9" t="str">
        <f t="shared" si="1"/>
        <v>NSE:PRIVISCL</v>
      </c>
      <c r="V1008" s="18"/>
      <c r="W1008" s="18"/>
      <c r="X1008" s="18"/>
    </row>
    <row r="1009">
      <c r="A1009" s="20"/>
      <c r="B1009" s="3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35"/>
      <c r="N1009" s="18"/>
      <c r="O1009" s="18"/>
      <c r="P1009" s="18"/>
      <c r="Q1009" s="34"/>
      <c r="R1009" s="18"/>
      <c r="S1009" s="18"/>
      <c r="T1009" s="19" t="s">
        <v>1029</v>
      </c>
      <c r="U1009" s="9" t="str">
        <f t="shared" si="1"/>
        <v>NSE:ZEEMEDIA</v>
      </c>
      <c r="V1009" s="18"/>
      <c r="W1009" s="18"/>
      <c r="X1009" s="18"/>
    </row>
    <row r="1010">
      <c r="A1010" s="20"/>
      <c r="B1010" s="3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35"/>
      <c r="N1010" s="18"/>
      <c r="O1010" s="18"/>
      <c r="P1010" s="18"/>
      <c r="Q1010" s="34"/>
      <c r="R1010" s="18"/>
      <c r="S1010" s="18"/>
      <c r="T1010" s="19" t="s">
        <v>1030</v>
      </c>
      <c r="U1010" s="9" t="str">
        <f t="shared" si="1"/>
        <v>NSE:ALPHAETF</v>
      </c>
      <c r="V1010" s="18"/>
      <c r="W1010" s="18"/>
      <c r="X1010" s="18"/>
    </row>
    <row r="1011">
      <c r="A1011" s="20"/>
      <c r="B1011" s="3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35"/>
      <c r="N1011" s="18"/>
      <c r="O1011" s="18"/>
      <c r="P1011" s="18"/>
      <c r="Q1011" s="34"/>
      <c r="R1011" s="18"/>
      <c r="S1011" s="18"/>
      <c r="T1011" s="19" t="s">
        <v>1031</v>
      </c>
      <c r="U1011" s="9" t="str">
        <f t="shared" si="1"/>
        <v>NSE:YATRA</v>
      </c>
      <c r="V1011" s="18"/>
      <c r="W1011" s="18"/>
      <c r="X1011" s="18"/>
    </row>
    <row r="1012">
      <c r="A1012" s="20"/>
      <c r="B1012" s="3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35"/>
      <c r="N1012" s="18"/>
      <c r="O1012" s="18"/>
      <c r="P1012" s="18"/>
      <c r="Q1012" s="34"/>
      <c r="R1012" s="18"/>
      <c r="S1012" s="18"/>
      <c r="T1012" s="19" t="s">
        <v>1032</v>
      </c>
      <c r="U1012" s="9" t="str">
        <f t="shared" si="1"/>
        <v>NSE:GREENPANEL</v>
      </c>
      <c r="V1012" s="18"/>
      <c r="W1012" s="18"/>
      <c r="X1012" s="18"/>
    </row>
    <row r="1013">
      <c r="A1013" s="20"/>
      <c r="B1013" s="3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35"/>
      <c r="N1013" s="18"/>
      <c r="O1013" s="18"/>
      <c r="P1013" s="18"/>
      <c r="Q1013" s="34"/>
      <c r="R1013" s="18"/>
      <c r="S1013" s="18"/>
      <c r="T1013" s="19" t="s">
        <v>1033</v>
      </c>
      <c r="U1013" s="9" t="str">
        <f t="shared" si="1"/>
        <v>NSE:EVEREADY</v>
      </c>
      <c r="V1013" s="18"/>
      <c r="W1013" s="18"/>
      <c r="X1013" s="18"/>
    </row>
    <row r="1014">
      <c r="A1014" s="20"/>
      <c r="B1014" s="3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35"/>
      <c r="N1014" s="18"/>
      <c r="O1014" s="18"/>
      <c r="P1014" s="18"/>
      <c r="Q1014" s="34"/>
      <c r="R1014" s="18"/>
      <c r="S1014" s="18"/>
      <c r="T1014" s="19" t="s">
        <v>1034</v>
      </c>
      <c r="U1014" s="9" t="str">
        <f t="shared" si="1"/>
        <v>NSE:SELAN</v>
      </c>
      <c r="V1014" s="18"/>
      <c r="W1014" s="18"/>
      <c r="X1014" s="18"/>
    </row>
    <row r="1015">
      <c r="A1015" s="20"/>
      <c r="B1015" s="3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35"/>
      <c r="N1015" s="18"/>
      <c r="O1015" s="18"/>
      <c r="P1015" s="18"/>
      <c r="Q1015" s="34"/>
      <c r="R1015" s="18"/>
      <c r="S1015" s="18"/>
      <c r="T1015" s="19" t="s">
        <v>1035</v>
      </c>
      <c r="U1015" s="9" t="str">
        <f t="shared" si="1"/>
        <v>NSE:SOLARA</v>
      </c>
      <c r="V1015" s="18"/>
      <c r="W1015" s="18"/>
      <c r="X1015" s="18"/>
    </row>
    <row r="1016">
      <c r="A1016" s="20"/>
      <c r="B1016" s="3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35"/>
      <c r="N1016" s="18"/>
      <c r="O1016" s="18"/>
      <c r="P1016" s="18"/>
      <c r="Q1016" s="34"/>
      <c r="R1016" s="18"/>
      <c r="S1016" s="18"/>
      <c r="T1016" s="19" t="s">
        <v>1036</v>
      </c>
      <c r="U1016" s="9" t="str">
        <f t="shared" si="1"/>
        <v>NSE:PRECWIRE</v>
      </c>
      <c r="V1016" s="18"/>
      <c r="W1016" s="18"/>
      <c r="X1016" s="18"/>
    </row>
    <row r="1017">
      <c r="A1017" s="20"/>
      <c r="B1017" s="3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35"/>
      <c r="N1017" s="18"/>
      <c r="O1017" s="18"/>
      <c r="P1017" s="18"/>
      <c r="Q1017" s="34"/>
      <c r="R1017" s="18"/>
      <c r="S1017" s="18"/>
      <c r="T1017" s="19" t="s">
        <v>1037</v>
      </c>
      <c r="U1017" s="9" t="str">
        <f t="shared" si="1"/>
        <v>NSE:CENTURYPLY</v>
      </c>
      <c r="V1017" s="18"/>
      <c r="W1017" s="18"/>
      <c r="X1017" s="18"/>
    </row>
    <row r="1018">
      <c r="A1018" s="20"/>
      <c r="B1018" s="3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35"/>
      <c r="N1018" s="18"/>
      <c r="O1018" s="18"/>
      <c r="P1018" s="18"/>
      <c r="Q1018" s="34"/>
      <c r="R1018" s="18"/>
      <c r="S1018" s="18"/>
      <c r="T1018" s="19" t="s">
        <v>1038</v>
      </c>
      <c r="U1018" s="9" t="str">
        <f t="shared" si="1"/>
        <v>NSE:SANDHAR</v>
      </c>
      <c r="V1018" s="18"/>
      <c r="W1018" s="18"/>
      <c r="X1018" s="18"/>
    </row>
    <row r="1019">
      <c r="A1019" s="20"/>
      <c r="B1019" s="3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35"/>
      <c r="N1019" s="18"/>
      <c r="O1019" s="18"/>
      <c r="P1019" s="18"/>
      <c r="Q1019" s="34"/>
      <c r="R1019" s="18"/>
      <c r="S1019" s="18"/>
      <c r="T1019" s="19" t="s">
        <v>1039</v>
      </c>
      <c r="U1019" s="9" t="str">
        <f t="shared" si="1"/>
        <v>NSE:HATHWAY</v>
      </c>
      <c r="V1019" s="18"/>
      <c r="W1019" s="18"/>
      <c r="X1019" s="18"/>
    </row>
    <row r="1020">
      <c r="A1020" s="20"/>
      <c r="B1020" s="3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35"/>
      <c r="N1020" s="18"/>
      <c r="O1020" s="18"/>
      <c r="P1020" s="18"/>
      <c r="Q1020" s="34"/>
      <c r="R1020" s="18"/>
      <c r="S1020" s="18"/>
      <c r="T1020" s="19" t="s">
        <v>1040</v>
      </c>
      <c r="U1020" s="9" t="str">
        <f t="shared" si="1"/>
        <v>NSE:VRLLOG</v>
      </c>
      <c r="V1020" s="18"/>
      <c r="W1020" s="18"/>
      <c r="X1020" s="18"/>
    </row>
    <row r="1021">
      <c r="A1021" s="20"/>
      <c r="B1021" s="3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35"/>
      <c r="N1021" s="18"/>
      <c r="O1021" s="18"/>
      <c r="P1021" s="18"/>
      <c r="Q1021" s="34"/>
      <c r="R1021" s="18"/>
      <c r="S1021" s="18"/>
      <c r="T1021" s="19" t="s">
        <v>1041</v>
      </c>
      <c r="U1021" s="9" t="str">
        <f t="shared" si="1"/>
        <v>NSE:NAGAFERT</v>
      </c>
      <c r="V1021" s="18"/>
      <c r="W1021" s="18"/>
      <c r="X1021" s="18"/>
    </row>
    <row r="1022">
      <c r="A1022" s="20"/>
      <c r="B1022" s="3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35"/>
      <c r="N1022" s="18"/>
      <c r="O1022" s="18"/>
      <c r="P1022" s="18"/>
      <c r="Q1022" s="34"/>
      <c r="R1022" s="18"/>
      <c r="S1022" s="18"/>
      <c r="T1022" s="19" t="s">
        <v>1042</v>
      </c>
      <c r="U1022" s="9" t="str">
        <f t="shared" si="1"/>
        <v>NSE:GARFIBRES</v>
      </c>
      <c r="V1022" s="18"/>
      <c r="W1022" s="18"/>
      <c r="X1022" s="18"/>
    </row>
    <row r="1023">
      <c r="A1023" s="20"/>
      <c r="B1023" s="3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35"/>
      <c r="N1023" s="18"/>
      <c r="O1023" s="18"/>
      <c r="P1023" s="18"/>
      <c r="Q1023" s="34"/>
      <c r="R1023" s="18"/>
      <c r="S1023" s="18"/>
      <c r="T1023" s="19" t="s">
        <v>1043</v>
      </c>
      <c r="U1023" s="9" t="str">
        <f t="shared" si="1"/>
        <v>NSE:LOWVOLIETF</v>
      </c>
      <c r="V1023" s="18"/>
      <c r="W1023" s="18"/>
      <c r="X1023" s="18"/>
    </row>
    <row r="1024">
      <c r="A1024" s="20"/>
      <c r="B1024" s="3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35"/>
      <c r="N1024" s="18"/>
      <c r="O1024" s="18"/>
      <c r="P1024" s="18"/>
      <c r="Q1024" s="34"/>
      <c r="R1024" s="18"/>
      <c r="S1024" s="18"/>
      <c r="T1024" s="19" t="s">
        <v>1044</v>
      </c>
      <c r="U1024" s="9" t="str">
        <f t="shared" si="1"/>
        <v>NSE:GANDHAR</v>
      </c>
      <c r="V1024" s="18"/>
      <c r="W1024" s="18"/>
      <c r="X1024" s="18"/>
    </row>
    <row r="1025">
      <c r="A1025" s="20"/>
      <c r="B1025" s="3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35"/>
      <c r="N1025" s="18"/>
      <c r="O1025" s="18"/>
      <c r="P1025" s="18"/>
      <c r="Q1025" s="34"/>
      <c r="R1025" s="18"/>
      <c r="S1025" s="18"/>
      <c r="T1025" s="19" t="s">
        <v>1045</v>
      </c>
      <c r="U1025" s="9" t="str">
        <f t="shared" si="1"/>
        <v>NSE:KRSNAA</v>
      </c>
      <c r="V1025" s="18"/>
      <c r="W1025" s="18"/>
      <c r="X1025" s="18"/>
    </row>
    <row r="1026">
      <c r="A1026" s="20"/>
      <c r="B1026" s="3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35"/>
      <c r="N1026" s="18"/>
      <c r="O1026" s="18"/>
      <c r="P1026" s="18"/>
      <c r="Q1026" s="34"/>
      <c r="R1026" s="18"/>
      <c r="S1026" s="18"/>
      <c r="T1026" s="19" t="s">
        <v>1046</v>
      </c>
      <c r="U1026" s="9" t="str">
        <f t="shared" si="1"/>
        <v>NSE:ABINFRA</v>
      </c>
      <c r="V1026" s="18"/>
      <c r="W1026" s="18"/>
      <c r="X1026" s="18"/>
    </row>
    <row r="1027">
      <c r="A1027" s="20"/>
      <c r="B1027" s="3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35"/>
      <c r="N1027" s="18"/>
      <c r="O1027" s="18"/>
      <c r="P1027" s="18"/>
      <c r="Q1027" s="34"/>
      <c r="R1027" s="18"/>
      <c r="S1027" s="18"/>
      <c r="T1027" s="19" t="s">
        <v>1047</v>
      </c>
      <c r="U1027" s="9" t="str">
        <f t="shared" si="1"/>
        <v>NSE:SPIC</v>
      </c>
      <c r="V1027" s="18"/>
      <c r="W1027" s="18"/>
      <c r="X1027" s="18"/>
    </row>
    <row r="1028">
      <c r="A1028" s="20"/>
      <c r="B1028" s="3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35"/>
      <c r="N1028" s="18"/>
      <c r="O1028" s="18"/>
      <c r="P1028" s="18"/>
      <c r="Q1028" s="34"/>
      <c r="R1028" s="18"/>
      <c r="S1028" s="18"/>
      <c r="T1028" s="19" t="s">
        <v>1048</v>
      </c>
      <c r="U1028" s="9" t="str">
        <f t="shared" si="1"/>
        <v>NSE:LANDMARK</v>
      </c>
      <c r="V1028" s="18"/>
      <c r="W1028" s="18"/>
      <c r="X1028" s="18"/>
    </row>
    <row r="1029">
      <c r="A1029" s="20"/>
      <c r="B1029" s="3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35"/>
      <c r="N1029" s="18"/>
      <c r="O1029" s="18"/>
      <c r="P1029" s="18"/>
      <c r="Q1029" s="34"/>
      <c r="R1029" s="18"/>
      <c r="S1029" s="18"/>
      <c r="T1029" s="19" t="s">
        <v>1049</v>
      </c>
      <c r="U1029" s="9" t="str">
        <f t="shared" si="1"/>
        <v>NSE:POKARNA</v>
      </c>
      <c r="V1029" s="18"/>
      <c r="W1029" s="18"/>
      <c r="X1029" s="18"/>
    </row>
    <row r="1030">
      <c r="A1030" s="20"/>
      <c r="B1030" s="3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35"/>
      <c r="N1030" s="18"/>
      <c r="O1030" s="18"/>
      <c r="P1030" s="18"/>
      <c r="Q1030" s="34"/>
      <c r="R1030" s="18"/>
      <c r="S1030" s="18"/>
      <c r="T1030" s="19" t="s">
        <v>1050</v>
      </c>
      <c r="U1030" s="9" t="str">
        <f t="shared" si="1"/>
        <v>NSE:TNPL</v>
      </c>
      <c r="V1030" s="18"/>
      <c r="W1030" s="18"/>
      <c r="X1030" s="18"/>
    </row>
    <row r="1031">
      <c r="A1031" s="20"/>
      <c r="B1031" s="3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35"/>
      <c r="N1031" s="18"/>
      <c r="O1031" s="18"/>
      <c r="P1031" s="18"/>
      <c r="Q1031" s="34"/>
      <c r="R1031" s="18"/>
      <c r="S1031" s="18"/>
      <c r="T1031" s="19" t="s">
        <v>1051</v>
      </c>
      <c r="U1031" s="9" t="str">
        <f t="shared" si="1"/>
        <v>NSE:DOLLAR</v>
      </c>
      <c r="V1031" s="18"/>
      <c r="W1031" s="18"/>
      <c r="X1031" s="18"/>
    </row>
    <row r="1032">
      <c r="A1032" s="20"/>
      <c r="B1032" s="3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35"/>
      <c r="N1032" s="18"/>
      <c r="O1032" s="18"/>
      <c r="P1032" s="18"/>
      <c r="Q1032" s="34"/>
      <c r="R1032" s="18"/>
      <c r="S1032" s="18"/>
      <c r="T1032" s="19" t="s">
        <v>1052</v>
      </c>
      <c r="U1032" s="9" t="str">
        <f t="shared" si="1"/>
        <v>NSE:SURYODAY</v>
      </c>
      <c r="V1032" s="18"/>
      <c r="W1032" s="18"/>
      <c r="X1032" s="18"/>
    </row>
    <row r="1033">
      <c r="A1033" s="20"/>
      <c r="B1033" s="3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35"/>
      <c r="N1033" s="18"/>
      <c r="O1033" s="18"/>
      <c r="P1033" s="18"/>
      <c r="Q1033" s="34"/>
      <c r="R1033" s="18"/>
      <c r="S1033" s="18"/>
      <c r="T1033" s="19" t="s">
        <v>1053</v>
      </c>
      <c r="U1033" s="9" t="str">
        <f t="shared" si="1"/>
        <v>NSE:MICEL</v>
      </c>
      <c r="V1033" s="18"/>
      <c r="W1033" s="18"/>
      <c r="X1033" s="18"/>
    </row>
    <row r="1034">
      <c r="A1034" s="20"/>
      <c r="B1034" s="3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35"/>
      <c r="N1034" s="18"/>
      <c r="O1034" s="18"/>
      <c r="P1034" s="18"/>
      <c r="Q1034" s="34"/>
      <c r="R1034" s="18"/>
      <c r="S1034" s="18"/>
      <c r="T1034" s="19" t="s">
        <v>1054</v>
      </c>
      <c r="U1034" s="9" t="str">
        <f t="shared" si="1"/>
        <v>NSE:ROHLTD</v>
      </c>
      <c r="V1034" s="18"/>
      <c r="W1034" s="18"/>
      <c r="X1034" s="18"/>
    </row>
    <row r="1035">
      <c r="A1035" s="20"/>
      <c r="B1035" s="3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35"/>
      <c r="N1035" s="18"/>
      <c r="O1035" s="18"/>
      <c r="P1035" s="18"/>
      <c r="Q1035" s="34"/>
      <c r="R1035" s="18"/>
      <c r="S1035" s="18"/>
      <c r="T1035" s="19" t="s">
        <v>1055</v>
      </c>
      <c r="U1035" s="9" t="str">
        <f t="shared" si="1"/>
        <v>NSE:LMW</v>
      </c>
      <c r="V1035" s="18"/>
      <c r="W1035" s="18"/>
      <c r="X1035" s="18"/>
    </row>
    <row r="1036">
      <c r="A1036" s="20"/>
      <c r="B1036" s="3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35"/>
      <c r="N1036" s="18"/>
      <c r="O1036" s="18"/>
      <c r="P1036" s="18"/>
      <c r="Q1036" s="34"/>
      <c r="R1036" s="18"/>
      <c r="S1036" s="18"/>
      <c r="T1036" s="19" t="s">
        <v>1056</v>
      </c>
      <c r="U1036" s="9" t="str">
        <f t="shared" si="1"/>
        <v>NSE:BCLIND</v>
      </c>
      <c r="V1036" s="18"/>
      <c r="W1036" s="18"/>
      <c r="X1036" s="18"/>
    </row>
    <row r="1037">
      <c r="A1037" s="20"/>
      <c r="B1037" s="3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35"/>
      <c r="N1037" s="18"/>
      <c r="O1037" s="18"/>
      <c r="P1037" s="18"/>
      <c r="Q1037" s="34"/>
      <c r="R1037" s="18"/>
      <c r="S1037" s="18"/>
      <c r="T1037" s="19" t="s">
        <v>1057</v>
      </c>
      <c r="U1037" s="9" t="str">
        <f t="shared" si="1"/>
        <v>NSE:HUHTAMAKI</v>
      </c>
      <c r="V1037" s="18"/>
      <c r="W1037" s="18"/>
      <c r="X1037" s="18"/>
    </row>
    <row r="1038">
      <c r="A1038" s="20"/>
      <c r="B1038" s="3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35"/>
      <c r="N1038" s="18"/>
      <c r="O1038" s="18"/>
      <c r="P1038" s="18"/>
      <c r="Q1038" s="34"/>
      <c r="R1038" s="18"/>
      <c r="S1038" s="18"/>
      <c r="T1038" s="19" t="s">
        <v>1058</v>
      </c>
      <c r="U1038" s="9" t="str">
        <f t="shared" si="1"/>
        <v>NSE:ROSSARI</v>
      </c>
      <c r="V1038" s="18"/>
      <c r="W1038" s="18"/>
      <c r="X1038" s="18"/>
    </row>
    <row r="1039">
      <c r="A1039" s="20"/>
      <c r="B1039" s="3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35"/>
      <c r="N1039" s="18"/>
      <c r="O1039" s="18"/>
      <c r="P1039" s="18"/>
      <c r="Q1039" s="34"/>
      <c r="R1039" s="18"/>
      <c r="S1039" s="18"/>
      <c r="T1039" s="19" t="s">
        <v>1059</v>
      </c>
      <c r="U1039" s="9" t="str">
        <f t="shared" si="1"/>
        <v>NSE:FILATEX</v>
      </c>
      <c r="V1039" s="18"/>
      <c r="W1039" s="18"/>
      <c r="X1039" s="18"/>
    </row>
    <row r="1040">
      <c r="A1040" s="20"/>
      <c r="B1040" s="3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35"/>
      <c r="N1040" s="18"/>
      <c r="O1040" s="18"/>
      <c r="P1040" s="18"/>
      <c r="Q1040" s="34"/>
      <c r="R1040" s="18"/>
      <c r="S1040" s="18"/>
      <c r="T1040" s="19" t="s">
        <v>1060</v>
      </c>
      <c r="U1040" s="9" t="str">
        <f t="shared" si="1"/>
        <v>NSE:SMLISUZU</v>
      </c>
      <c r="V1040" s="18"/>
      <c r="W1040" s="18"/>
      <c r="X1040" s="18"/>
    </row>
    <row r="1041">
      <c r="A1041" s="20"/>
      <c r="B1041" s="3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35"/>
      <c r="N1041" s="18"/>
      <c r="O1041" s="18"/>
      <c r="P1041" s="18"/>
      <c r="Q1041" s="34"/>
      <c r="R1041" s="18"/>
      <c r="S1041" s="18"/>
      <c r="T1041" s="19" t="s">
        <v>1061</v>
      </c>
      <c r="U1041" s="9" t="str">
        <f t="shared" si="1"/>
        <v>NSE:HARIOMPIPE</v>
      </c>
      <c r="V1041" s="18"/>
      <c r="W1041" s="18"/>
      <c r="X1041" s="18"/>
    </row>
    <row r="1042">
      <c r="A1042" s="20"/>
      <c r="B1042" s="3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35"/>
      <c r="N1042" s="18"/>
      <c r="O1042" s="18"/>
      <c r="P1042" s="18"/>
      <c r="Q1042" s="34"/>
      <c r="R1042" s="18"/>
      <c r="S1042" s="18"/>
      <c r="T1042" s="19" t="s">
        <v>1062</v>
      </c>
      <c r="U1042" s="9" t="str">
        <f t="shared" si="1"/>
        <v>NSE:METALIETF</v>
      </c>
      <c r="V1042" s="18"/>
      <c r="W1042" s="18"/>
      <c r="X1042" s="18"/>
    </row>
    <row r="1043">
      <c r="A1043" s="20"/>
      <c r="B1043" s="3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35"/>
      <c r="N1043" s="18"/>
      <c r="O1043" s="18"/>
      <c r="P1043" s="18"/>
      <c r="Q1043" s="34"/>
      <c r="R1043" s="18"/>
      <c r="S1043" s="18"/>
      <c r="T1043" s="19" t="s">
        <v>1063</v>
      </c>
      <c r="U1043" s="9" t="str">
        <f t="shared" si="1"/>
        <v>NSE:SPAL</v>
      </c>
      <c r="V1043" s="18"/>
      <c r="W1043" s="18"/>
      <c r="X1043" s="18"/>
    </row>
    <row r="1044">
      <c r="A1044" s="20"/>
      <c r="B1044" s="3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35"/>
      <c r="N1044" s="18"/>
      <c r="O1044" s="18"/>
      <c r="P1044" s="18"/>
      <c r="Q1044" s="34"/>
      <c r="R1044" s="18"/>
      <c r="S1044" s="18"/>
      <c r="T1044" s="19" t="s">
        <v>1064</v>
      </c>
      <c r="U1044" s="9" t="str">
        <f t="shared" si="1"/>
        <v>NSE:BLISSGVS</v>
      </c>
      <c r="V1044" s="18"/>
      <c r="W1044" s="18"/>
      <c r="X1044" s="18"/>
    </row>
    <row r="1045">
      <c r="A1045" s="20"/>
      <c r="B1045" s="3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35"/>
      <c r="N1045" s="18"/>
      <c r="O1045" s="18"/>
      <c r="P1045" s="18"/>
      <c r="Q1045" s="34"/>
      <c r="R1045" s="18"/>
      <c r="S1045" s="18"/>
      <c r="T1045" s="19" t="s">
        <v>1065</v>
      </c>
      <c r="U1045" s="9" t="str">
        <f t="shared" si="1"/>
        <v>NSE:ZYDUSWELL</v>
      </c>
      <c r="V1045" s="18"/>
      <c r="W1045" s="18"/>
      <c r="X1045" s="18"/>
    </row>
    <row r="1046">
      <c r="A1046" s="20"/>
      <c r="B1046" s="3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35"/>
      <c r="N1046" s="18"/>
      <c r="O1046" s="18"/>
      <c r="P1046" s="18"/>
      <c r="Q1046" s="34"/>
      <c r="R1046" s="18"/>
      <c r="S1046" s="18"/>
      <c r="T1046" s="19" t="s">
        <v>1066</v>
      </c>
      <c r="U1046" s="9" t="str">
        <f t="shared" si="1"/>
        <v>NSE:RADIANTCMS</v>
      </c>
      <c r="V1046" s="18"/>
      <c r="W1046" s="18"/>
      <c r="X1046" s="18"/>
    </row>
    <row r="1047">
      <c r="A1047" s="20"/>
      <c r="B1047" s="3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35"/>
      <c r="N1047" s="18"/>
      <c r="O1047" s="18"/>
      <c r="P1047" s="18"/>
      <c r="Q1047" s="34"/>
      <c r="R1047" s="18"/>
      <c r="S1047" s="18"/>
      <c r="T1047" s="19" t="s">
        <v>1067</v>
      </c>
      <c r="U1047" s="9" t="str">
        <f t="shared" si="1"/>
        <v>NSE:MAYURUNIQ</v>
      </c>
      <c r="V1047" s="18"/>
      <c r="W1047" s="18"/>
      <c r="X1047" s="18"/>
    </row>
    <row r="1048">
      <c r="A1048" s="20"/>
      <c r="B1048" s="3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35"/>
      <c r="N1048" s="18"/>
      <c r="O1048" s="18"/>
      <c r="P1048" s="18"/>
      <c r="Q1048" s="34"/>
      <c r="R1048" s="18"/>
      <c r="S1048" s="18"/>
      <c r="T1048" s="19" t="s">
        <v>1068</v>
      </c>
      <c r="U1048" s="9" t="str">
        <f t="shared" si="1"/>
        <v>NSE:AKZOINDIA</v>
      </c>
      <c r="V1048" s="18"/>
      <c r="W1048" s="18"/>
      <c r="X1048" s="18"/>
    </row>
    <row r="1049">
      <c r="A1049" s="20"/>
      <c r="B1049" s="3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35"/>
      <c r="N1049" s="18"/>
      <c r="O1049" s="18"/>
      <c r="P1049" s="18"/>
      <c r="Q1049" s="34"/>
      <c r="R1049" s="18"/>
      <c r="S1049" s="18"/>
      <c r="T1049" s="19" t="s">
        <v>1069</v>
      </c>
      <c r="U1049" s="9" t="str">
        <f t="shared" si="1"/>
        <v>NSE:VINCOFE</v>
      </c>
      <c r="V1049" s="18"/>
      <c r="W1049" s="18"/>
      <c r="X1049" s="18"/>
    </row>
    <row r="1050">
      <c r="A1050" s="20"/>
      <c r="B1050" s="3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35"/>
      <c r="N1050" s="18"/>
      <c r="O1050" s="18"/>
      <c r="P1050" s="18"/>
      <c r="Q1050" s="34"/>
      <c r="R1050" s="18"/>
      <c r="S1050" s="18"/>
      <c r="T1050" s="19" t="s">
        <v>1070</v>
      </c>
      <c r="U1050" s="9" t="str">
        <f t="shared" si="1"/>
        <v>NSE:MIRCELECTR</v>
      </c>
      <c r="V1050" s="18"/>
      <c r="W1050" s="18"/>
      <c r="X1050" s="18"/>
    </row>
    <row r="1051">
      <c r="A1051" s="20"/>
      <c r="B1051" s="3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35"/>
      <c r="N1051" s="18"/>
      <c r="O1051" s="18"/>
      <c r="P1051" s="18"/>
      <c r="Q1051" s="34"/>
      <c r="R1051" s="18"/>
      <c r="S1051" s="18"/>
      <c r="T1051" s="19" t="s">
        <v>1071</v>
      </c>
      <c r="U1051" s="9" t="str">
        <f t="shared" si="1"/>
        <v>NSE:MCLOUD</v>
      </c>
      <c r="V1051" s="18"/>
      <c r="W1051" s="18"/>
      <c r="X1051" s="18"/>
    </row>
    <row r="1052">
      <c r="A1052" s="20"/>
      <c r="B1052" s="3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35"/>
      <c r="N1052" s="18"/>
      <c r="O1052" s="18"/>
      <c r="P1052" s="18"/>
      <c r="Q1052" s="34"/>
      <c r="R1052" s="18"/>
      <c r="S1052" s="18"/>
      <c r="T1052" s="19" t="s">
        <v>1072</v>
      </c>
      <c r="U1052" s="9" t="str">
        <f t="shared" si="1"/>
        <v>NSE:MANORAMA</v>
      </c>
      <c r="V1052" s="18"/>
      <c r="W1052" s="18"/>
      <c r="X1052" s="18"/>
    </row>
    <row r="1053">
      <c r="A1053" s="20"/>
      <c r="B1053" s="3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35"/>
      <c r="N1053" s="18"/>
      <c r="O1053" s="18"/>
      <c r="P1053" s="18"/>
      <c r="Q1053" s="34"/>
      <c r="R1053" s="18"/>
      <c r="S1053" s="18"/>
      <c r="T1053" s="19" t="s">
        <v>1073</v>
      </c>
      <c r="U1053" s="9" t="str">
        <f t="shared" si="1"/>
        <v>NSE:KDDL</v>
      </c>
      <c r="V1053" s="18"/>
      <c r="W1053" s="18"/>
      <c r="X1053" s="18"/>
    </row>
    <row r="1054">
      <c r="A1054" s="20"/>
      <c r="B1054" s="3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35"/>
      <c r="N1054" s="18"/>
      <c r="O1054" s="18"/>
      <c r="P1054" s="18"/>
      <c r="Q1054" s="34"/>
      <c r="R1054" s="18"/>
      <c r="S1054" s="18"/>
      <c r="T1054" s="19" t="s">
        <v>1074</v>
      </c>
      <c r="U1054" s="9" t="str">
        <f t="shared" si="1"/>
        <v>NSE:SNOWMAN</v>
      </c>
      <c r="V1054" s="18"/>
      <c r="W1054" s="18"/>
      <c r="X1054" s="18"/>
    </row>
    <row r="1055">
      <c r="A1055" s="20"/>
      <c r="B1055" s="3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35"/>
      <c r="N1055" s="18"/>
      <c r="O1055" s="18"/>
      <c r="P1055" s="18"/>
      <c r="Q1055" s="34"/>
      <c r="R1055" s="18"/>
      <c r="S1055" s="18"/>
      <c r="T1055" s="19" t="s">
        <v>1075</v>
      </c>
      <c r="U1055" s="9" t="str">
        <f t="shared" si="1"/>
        <v>NSE:THYROCARE</v>
      </c>
      <c r="V1055" s="18"/>
      <c r="W1055" s="18"/>
      <c r="X1055" s="18"/>
    </row>
    <row r="1056">
      <c r="A1056" s="20"/>
      <c r="B1056" s="3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35"/>
      <c r="N1056" s="18"/>
      <c r="O1056" s="18"/>
      <c r="P1056" s="18"/>
      <c r="Q1056" s="34"/>
      <c r="R1056" s="18"/>
      <c r="S1056" s="18"/>
      <c r="T1056" s="19" t="s">
        <v>1076</v>
      </c>
      <c r="U1056" s="9" t="str">
        <f t="shared" si="1"/>
        <v>NSE:GTLINFRA</v>
      </c>
      <c r="V1056" s="18"/>
      <c r="W1056" s="18"/>
      <c r="X1056" s="18"/>
    </row>
    <row r="1057">
      <c r="A1057" s="20"/>
      <c r="B1057" s="3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35"/>
      <c r="N1057" s="18"/>
      <c r="O1057" s="18"/>
      <c r="P1057" s="18"/>
      <c r="Q1057" s="34"/>
      <c r="R1057" s="18"/>
      <c r="S1057" s="18"/>
      <c r="T1057" s="19" t="s">
        <v>1077</v>
      </c>
      <c r="U1057" s="9" t="str">
        <f t="shared" si="1"/>
        <v>NSE:PVTBANIETF</v>
      </c>
      <c r="V1057" s="18"/>
      <c r="W1057" s="18"/>
      <c r="X1057" s="18"/>
    </row>
    <row r="1058">
      <c r="A1058" s="20"/>
      <c r="B1058" s="3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35"/>
      <c r="N1058" s="18"/>
      <c r="O1058" s="18"/>
      <c r="P1058" s="18"/>
      <c r="Q1058" s="34"/>
      <c r="R1058" s="18"/>
      <c r="S1058" s="18"/>
      <c r="T1058" s="19" t="s">
        <v>1078</v>
      </c>
      <c r="U1058" s="9" t="str">
        <f t="shared" si="1"/>
        <v>NSE:NIFTYETF</v>
      </c>
      <c r="V1058" s="18"/>
      <c r="W1058" s="18"/>
      <c r="X1058" s="18"/>
    </row>
    <row r="1059">
      <c r="A1059" s="20"/>
      <c r="B1059" s="3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35"/>
      <c r="N1059" s="18"/>
      <c r="O1059" s="18"/>
      <c r="P1059" s="18"/>
      <c r="Q1059" s="34"/>
      <c r="R1059" s="18"/>
      <c r="S1059" s="18"/>
      <c r="T1059" s="19" t="s">
        <v>1079</v>
      </c>
      <c r="U1059" s="9" t="str">
        <f t="shared" si="1"/>
        <v>NSE:FIEMIND</v>
      </c>
      <c r="V1059" s="18"/>
      <c r="W1059" s="18"/>
      <c r="X1059" s="18"/>
    </row>
    <row r="1060">
      <c r="A1060" s="20"/>
      <c r="B1060" s="3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35"/>
      <c r="N1060" s="18"/>
      <c r="O1060" s="18"/>
      <c r="P1060" s="18"/>
      <c r="Q1060" s="34"/>
      <c r="R1060" s="18"/>
      <c r="S1060" s="18"/>
      <c r="T1060" s="19" t="s">
        <v>1080</v>
      </c>
      <c r="U1060" s="9" t="str">
        <f t="shared" si="1"/>
        <v>NSE:SASKEN</v>
      </c>
      <c r="V1060" s="18"/>
      <c r="W1060" s="18"/>
      <c r="X1060" s="18"/>
    </row>
    <row r="1061">
      <c r="A1061" s="20"/>
      <c r="B1061" s="3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35"/>
      <c r="N1061" s="18"/>
      <c r="O1061" s="18"/>
      <c r="P1061" s="18"/>
      <c r="Q1061" s="34"/>
      <c r="R1061" s="18"/>
      <c r="S1061" s="18"/>
      <c r="T1061" s="19" t="s">
        <v>1081</v>
      </c>
      <c r="U1061" s="9" t="str">
        <f t="shared" si="1"/>
        <v>NSE:KMEW</v>
      </c>
      <c r="V1061" s="18"/>
      <c r="W1061" s="18"/>
      <c r="X1061" s="18"/>
    </row>
    <row r="1062">
      <c r="A1062" s="20"/>
      <c r="B1062" s="3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35"/>
      <c r="N1062" s="18"/>
      <c r="O1062" s="18"/>
      <c r="P1062" s="18"/>
      <c r="Q1062" s="34"/>
      <c r="R1062" s="18"/>
      <c r="S1062" s="18"/>
      <c r="T1062" s="19" t="s">
        <v>1082</v>
      </c>
      <c r="U1062" s="9" t="str">
        <f t="shared" si="1"/>
        <v>NSE:HLEGLAS</v>
      </c>
      <c r="V1062" s="18"/>
      <c r="W1062" s="18"/>
      <c r="X1062" s="18"/>
    </row>
    <row r="1063">
      <c r="A1063" s="20"/>
      <c r="B1063" s="3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35"/>
      <c r="N1063" s="18"/>
      <c r="O1063" s="18"/>
      <c r="P1063" s="18"/>
      <c r="Q1063" s="34"/>
      <c r="R1063" s="18"/>
      <c r="S1063" s="18"/>
      <c r="T1063" s="19" t="s">
        <v>1083</v>
      </c>
      <c r="U1063" s="9" t="str">
        <f t="shared" si="1"/>
        <v>NSE:RUPA</v>
      </c>
      <c r="V1063" s="18"/>
      <c r="W1063" s="18"/>
      <c r="X1063" s="18"/>
    </row>
    <row r="1064">
      <c r="A1064" s="20"/>
      <c r="B1064" s="3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35"/>
      <c r="N1064" s="18"/>
      <c r="O1064" s="18"/>
      <c r="P1064" s="18"/>
      <c r="Q1064" s="34"/>
      <c r="R1064" s="18"/>
      <c r="S1064" s="18"/>
      <c r="T1064" s="19" t="s">
        <v>1084</v>
      </c>
      <c r="U1064" s="9" t="str">
        <f t="shared" si="1"/>
        <v>NSE:JAGRAN</v>
      </c>
      <c r="V1064" s="18"/>
      <c r="W1064" s="18"/>
      <c r="X1064" s="18"/>
    </row>
    <row r="1065">
      <c r="A1065" s="20"/>
      <c r="B1065" s="3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35"/>
      <c r="N1065" s="18"/>
      <c r="O1065" s="18"/>
      <c r="P1065" s="18"/>
      <c r="Q1065" s="34"/>
      <c r="R1065" s="18"/>
      <c r="S1065" s="18"/>
      <c r="T1065" s="19" t="s">
        <v>1085</v>
      </c>
      <c r="U1065" s="9" t="str">
        <f t="shared" si="1"/>
        <v>NSE:FOODSIN</v>
      </c>
      <c r="V1065" s="18"/>
      <c r="W1065" s="18"/>
      <c r="X1065" s="18"/>
    </row>
    <row r="1066">
      <c r="A1066" s="20"/>
      <c r="B1066" s="3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35"/>
      <c r="N1066" s="18"/>
      <c r="O1066" s="18"/>
      <c r="P1066" s="18"/>
      <c r="Q1066" s="34"/>
      <c r="R1066" s="18"/>
      <c r="S1066" s="18"/>
      <c r="T1066" s="19" t="s">
        <v>1086</v>
      </c>
      <c r="U1066" s="9" t="str">
        <f t="shared" si="1"/>
        <v>NSE:DWARKESH</v>
      </c>
      <c r="V1066" s="18"/>
      <c r="W1066" s="18"/>
      <c r="X1066" s="18"/>
    </row>
    <row r="1067">
      <c r="A1067" s="20"/>
      <c r="B1067" s="3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35"/>
      <c r="N1067" s="18"/>
      <c r="O1067" s="18"/>
      <c r="P1067" s="18"/>
      <c r="Q1067" s="34"/>
      <c r="R1067" s="18"/>
      <c r="S1067" s="18"/>
      <c r="T1067" s="19" t="s">
        <v>1087</v>
      </c>
      <c r="U1067" s="9" t="str">
        <f t="shared" si="1"/>
        <v>NSE:UTKARSHBNK</v>
      </c>
      <c r="V1067" s="18"/>
      <c r="W1067" s="18"/>
      <c r="X1067" s="18"/>
    </row>
    <row r="1068">
      <c r="A1068" s="20"/>
      <c r="B1068" s="3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35"/>
      <c r="N1068" s="18"/>
      <c r="O1068" s="18"/>
      <c r="P1068" s="18"/>
      <c r="Q1068" s="34"/>
      <c r="R1068" s="18"/>
      <c r="S1068" s="18"/>
      <c r="T1068" s="19" t="s">
        <v>1088</v>
      </c>
      <c r="U1068" s="9" t="str">
        <f t="shared" si="1"/>
        <v>NSE:NITINSPIN</v>
      </c>
      <c r="V1068" s="18"/>
      <c r="W1068" s="18"/>
      <c r="X1068" s="18"/>
    </row>
    <row r="1069">
      <c r="A1069" s="20"/>
      <c r="B1069" s="3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35"/>
      <c r="N1069" s="18"/>
      <c r="O1069" s="18"/>
      <c r="P1069" s="18"/>
      <c r="Q1069" s="34"/>
      <c r="R1069" s="18"/>
      <c r="S1069" s="18"/>
      <c r="T1069" s="19" t="s">
        <v>1089</v>
      </c>
      <c r="U1069" s="9" t="str">
        <f t="shared" si="1"/>
        <v>NSE:ATFL</v>
      </c>
      <c r="V1069" s="18"/>
      <c r="W1069" s="18"/>
      <c r="X1069" s="18"/>
    </row>
    <row r="1070">
      <c r="A1070" s="20"/>
      <c r="B1070" s="3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35"/>
      <c r="N1070" s="18"/>
      <c r="O1070" s="18"/>
      <c r="P1070" s="18"/>
      <c r="Q1070" s="34"/>
      <c r="R1070" s="18"/>
      <c r="S1070" s="18"/>
      <c r="T1070" s="19" t="s">
        <v>1090</v>
      </c>
      <c r="U1070" s="9" t="str">
        <f t="shared" si="1"/>
        <v>NSE:MHRIL</v>
      </c>
      <c r="V1070" s="18"/>
      <c r="W1070" s="18"/>
      <c r="X1070" s="18"/>
    </row>
    <row r="1071">
      <c r="A1071" s="20"/>
      <c r="B1071" s="3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35"/>
      <c r="N1071" s="18"/>
      <c r="O1071" s="18"/>
      <c r="P1071" s="18"/>
      <c r="Q1071" s="34"/>
      <c r="R1071" s="18"/>
      <c r="S1071" s="18"/>
      <c r="T1071" s="19" t="s">
        <v>1091</v>
      </c>
      <c r="U1071" s="9" t="str">
        <f t="shared" si="1"/>
        <v>NSE:ARMANFIN</v>
      </c>
      <c r="V1071" s="18"/>
      <c r="W1071" s="18"/>
      <c r="X1071" s="18"/>
    </row>
    <row r="1072">
      <c r="A1072" s="20"/>
      <c r="B1072" s="3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35"/>
      <c r="N1072" s="18"/>
      <c r="O1072" s="18"/>
      <c r="P1072" s="18"/>
      <c r="Q1072" s="34"/>
      <c r="R1072" s="18"/>
      <c r="S1072" s="18"/>
      <c r="T1072" s="19" t="s">
        <v>1092</v>
      </c>
      <c r="U1072" s="9" t="str">
        <f t="shared" si="1"/>
        <v>NSE:INDOFARM</v>
      </c>
      <c r="V1072" s="18"/>
      <c r="W1072" s="18"/>
      <c r="X1072" s="18"/>
    </row>
    <row r="1073">
      <c r="A1073" s="20"/>
      <c r="B1073" s="3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35"/>
      <c r="N1073" s="18"/>
      <c r="O1073" s="18"/>
      <c r="P1073" s="18"/>
      <c r="Q1073" s="34"/>
      <c r="R1073" s="18"/>
      <c r="S1073" s="18"/>
      <c r="T1073" s="19" t="s">
        <v>1093</v>
      </c>
      <c r="U1073" s="9" t="str">
        <f t="shared" si="1"/>
        <v>NSE:ASIANTILES</v>
      </c>
      <c r="V1073" s="18"/>
      <c r="W1073" s="18"/>
      <c r="X1073" s="18"/>
    </row>
    <row r="1074">
      <c r="A1074" s="20"/>
      <c r="B1074" s="3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35"/>
      <c r="N1074" s="18"/>
      <c r="O1074" s="18"/>
      <c r="P1074" s="18"/>
      <c r="Q1074" s="34"/>
      <c r="R1074" s="18"/>
      <c r="S1074" s="18"/>
      <c r="T1074" s="19" t="s">
        <v>1094</v>
      </c>
      <c r="U1074" s="9" t="str">
        <f t="shared" si="1"/>
        <v>NSE:BHAGCHEM</v>
      </c>
      <c r="V1074" s="18"/>
      <c r="W1074" s="18"/>
      <c r="X1074" s="18"/>
    </row>
    <row r="1075">
      <c r="A1075" s="20"/>
      <c r="B1075" s="3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35"/>
      <c r="N1075" s="18"/>
      <c r="O1075" s="18"/>
      <c r="P1075" s="18"/>
      <c r="Q1075" s="34"/>
      <c r="R1075" s="18"/>
      <c r="S1075" s="18"/>
      <c r="T1075" s="19" t="s">
        <v>1095</v>
      </c>
      <c r="U1075" s="9" t="str">
        <f t="shared" si="1"/>
        <v>NSE:ATULAUTO</v>
      </c>
      <c r="V1075" s="18"/>
      <c r="W1075" s="18"/>
      <c r="X1075" s="18"/>
    </row>
    <row r="1076">
      <c r="A1076" s="20"/>
      <c r="B1076" s="3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35"/>
      <c r="N1076" s="18"/>
      <c r="O1076" s="18"/>
      <c r="P1076" s="18"/>
      <c r="Q1076" s="34"/>
      <c r="R1076" s="18"/>
      <c r="S1076" s="18"/>
      <c r="T1076" s="19" t="s">
        <v>1096</v>
      </c>
      <c r="U1076" s="9" t="str">
        <f t="shared" si="1"/>
        <v>NSE:PUNJABCHEM</v>
      </c>
      <c r="V1076" s="18"/>
      <c r="W1076" s="18"/>
      <c r="X1076" s="18"/>
    </row>
    <row r="1077">
      <c r="A1077" s="20"/>
      <c r="B1077" s="3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35"/>
      <c r="N1077" s="18"/>
      <c r="O1077" s="18"/>
      <c r="P1077" s="18"/>
      <c r="Q1077" s="34"/>
      <c r="R1077" s="18"/>
      <c r="S1077" s="18"/>
      <c r="T1077" s="19" t="s">
        <v>1097</v>
      </c>
      <c r="U1077" s="9" t="str">
        <f t="shared" si="1"/>
        <v>NSE:VINATIORGA</v>
      </c>
      <c r="V1077" s="18"/>
      <c r="W1077" s="18"/>
      <c r="X1077" s="18"/>
    </row>
    <row r="1078">
      <c r="A1078" s="20"/>
      <c r="B1078" s="3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35"/>
      <c r="N1078" s="18"/>
      <c r="O1078" s="18"/>
      <c r="P1078" s="18"/>
      <c r="Q1078" s="34"/>
      <c r="R1078" s="18"/>
      <c r="S1078" s="18"/>
      <c r="T1078" s="19" t="s">
        <v>1098</v>
      </c>
      <c r="U1078" s="9" t="str">
        <f t="shared" si="1"/>
        <v>NSE:EXPLEOSOL</v>
      </c>
      <c r="V1078" s="18"/>
      <c r="W1078" s="18"/>
      <c r="X1078" s="18"/>
    </row>
    <row r="1079">
      <c r="A1079" s="20"/>
      <c r="B1079" s="3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35"/>
      <c r="N1079" s="18"/>
      <c r="O1079" s="18"/>
      <c r="P1079" s="18"/>
      <c r="Q1079" s="34"/>
      <c r="R1079" s="18"/>
      <c r="S1079" s="18"/>
      <c r="T1079" s="19" t="s">
        <v>1099</v>
      </c>
      <c r="U1079" s="9" t="str">
        <f t="shared" si="1"/>
        <v>NSE:RAJRATAN</v>
      </c>
      <c r="V1079" s="18"/>
      <c r="W1079" s="18"/>
      <c r="X1079" s="18"/>
    </row>
    <row r="1080">
      <c r="A1080" s="20"/>
      <c r="B1080" s="3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35"/>
      <c r="N1080" s="18"/>
      <c r="O1080" s="18"/>
      <c r="P1080" s="18"/>
      <c r="Q1080" s="34"/>
      <c r="R1080" s="18"/>
      <c r="S1080" s="18"/>
      <c r="T1080" s="19" t="s">
        <v>1100</v>
      </c>
      <c r="U1080" s="9" t="str">
        <f t="shared" si="1"/>
        <v>NSE:MUKANDLTD</v>
      </c>
      <c r="V1080" s="18"/>
      <c r="W1080" s="18"/>
      <c r="X1080" s="18"/>
    </row>
    <row r="1081">
      <c r="A1081" s="20"/>
      <c r="B1081" s="3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35"/>
      <c r="N1081" s="18"/>
      <c r="O1081" s="18"/>
      <c r="P1081" s="18"/>
      <c r="Q1081" s="34"/>
      <c r="R1081" s="18"/>
      <c r="S1081" s="18"/>
      <c r="T1081" s="19" t="s">
        <v>1101</v>
      </c>
      <c r="U1081" s="9" t="str">
        <f t="shared" si="1"/>
        <v>NSE:CEIGALL</v>
      </c>
      <c r="V1081" s="18"/>
      <c r="W1081" s="18"/>
      <c r="X1081" s="18"/>
    </row>
    <row r="1082">
      <c r="A1082" s="20"/>
      <c r="B1082" s="3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35"/>
      <c r="N1082" s="18"/>
      <c r="O1082" s="18"/>
      <c r="P1082" s="18"/>
      <c r="Q1082" s="34"/>
      <c r="R1082" s="18"/>
      <c r="S1082" s="18"/>
      <c r="T1082" s="19" t="s">
        <v>1102</v>
      </c>
      <c r="U1082" s="9" t="str">
        <f t="shared" si="1"/>
        <v>NSE:MASPTOP50</v>
      </c>
      <c r="V1082" s="18"/>
      <c r="W1082" s="18"/>
      <c r="X1082" s="18"/>
    </row>
    <row r="1083">
      <c r="A1083" s="20"/>
      <c r="B1083" s="3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35"/>
      <c r="N1083" s="18"/>
      <c r="O1083" s="18"/>
      <c r="P1083" s="18"/>
      <c r="Q1083" s="34"/>
      <c r="R1083" s="18"/>
      <c r="S1083" s="18"/>
      <c r="T1083" s="19" t="s">
        <v>1103</v>
      </c>
      <c r="U1083" s="9" t="str">
        <f t="shared" si="1"/>
        <v>NSE:KSL</v>
      </c>
      <c r="V1083" s="18"/>
      <c r="W1083" s="18"/>
      <c r="X1083" s="18"/>
    </row>
    <row r="1084">
      <c r="A1084" s="20"/>
      <c r="B1084" s="3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35"/>
      <c r="N1084" s="18"/>
      <c r="O1084" s="18"/>
      <c r="P1084" s="18"/>
      <c r="Q1084" s="34"/>
      <c r="R1084" s="18"/>
      <c r="S1084" s="18"/>
      <c r="T1084" s="19" t="s">
        <v>1104</v>
      </c>
      <c r="U1084" s="9" t="str">
        <f t="shared" si="1"/>
        <v>NSE:NIITMTS</v>
      </c>
      <c r="V1084" s="18"/>
      <c r="W1084" s="18"/>
      <c r="X1084" s="18"/>
    </row>
    <row r="1085">
      <c r="A1085" s="20"/>
      <c r="B1085" s="3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35"/>
      <c r="N1085" s="18"/>
      <c r="O1085" s="18"/>
      <c r="P1085" s="18"/>
      <c r="Q1085" s="34"/>
      <c r="R1085" s="18"/>
      <c r="S1085" s="18"/>
      <c r="T1085" s="19" t="s">
        <v>1105</v>
      </c>
      <c r="U1085" s="9" t="str">
        <f t="shared" si="1"/>
        <v>NSE:MUTHOOTMF</v>
      </c>
      <c r="V1085" s="18"/>
      <c r="W1085" s="18"/>
      <c r="X1085" s="18"/>
    </row>
    <row r="1086">
      <c r="A1086" s="20"/>
      <c r="B1086" s="3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35"/>
      <c r="N1086" s="18"/>
      <c r="O1086" s="18"/>
      <c r="P1086" s="18"/>
      <c r="Q1086" s="34"/>
      <c r="R1086" s="18"/>
      <c r="S1086" s="18"/>
      <c r="T1086" s="19" t="s">
        <v>1106</v>
      </c>
      <c r="U1086" s="9" t="str">
        <f t="shared" si="1"/>
        <v>NSE:GOLDETF</v>
      </c>
      <c r="V1086" s="18"/>
      <c r="W1086" s="18"/>
      <c r="X1086" s="18"/>
    </row>
    <row r="1087">
      <c r="A1087" s="20"/>
      <c r="B1087" s="3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35"/>
      <c r="N1087" s="18"/>
      <c r="O1087" s="18"/>
      <c r="P1087" s="18"/>
      <c r="Q1087" s="34"/>
      <c r="R1087" s="18"/>
      <c r="S1087" s="18"/>
      <c r="T1087" s="19" t="s">
        <v>1107</v>
      </c>
      <c r="U1087" s="9" t="str">
        <f t="shared" si="1"/>
        <v>NSE:GUJTHEM</v>
      </c>
      <c r="V1087" s="18"/>
      <c r="W1087" s="18"/>
      <c r="X1087" s="18"/>
    </row>
    <row r="1088">
      <c r="A1088" s="20"/>
      <c r="B1088" s="3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35"/>
      <c r="N1088" s="18"/>
      <c r="O1088" s="18"/>
      <c r="P1088" s="18"/>
      <c r="Q1088" s="34"/>
      <c r="R1088" s="18"/>
      <c r="S1088" s="18"/>
      <c r="T1088" s="19" t="s">
        <v>1108</v>
      </c>
      <c r="U1088" s="9" t="str">
        <f t="shared" si="1"/>
        <v>NSE:HDFCNIFTY</v>
      </c>
      <c r="V1088" s="18"/>
      <c r="W1088" s="18"/>
      <c r="X1088" s="18"/>
    </row>
    <row r="1089">
      <c r="A1089" s="20"/>
      <c r="B1089" s="3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35"/>
      <c r="N1089" s="18"/>
      <c r="O1089" s="18"/>
      <c r="P1089" s="18"/>
      <c r="Q1089" s="34"/>
      <c r="R1089" s="18"/>
      <c r="S1089" s="18"/>
      <c r="T1089" s="19" t="s">
        <v>1109</v>
      </c>
      <c r="U1089" s="9" t="str">
        <f t="shared" si="1"/>
        <v>NSE:WEL</v>
      </c>
      <c r="V1089" s="18"/>
      <c r="W1089" s="18"/>
      <c r="X1089" s="18"/>
    </row>
    <row r="1090">
      <c r="A1090" s="20"/>
      <c r="B1090" s="3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35"/>
      <c r="N1090" s="18"/>
      <c r="O1090" s="18"/>
      <c r="P1090" s="18"/>
      <c r="Q1090" s="34"/>
      <c r="R1090" s="18"/>
      <c r="S1090" s="18"/>
      <c r="T1090" s="19" t="s">
        <v>1110</v>
      </c>
      <c r="U1090" s="9" t="str">
        <f t="shared" si="1"/>
        <v>NSE:DEEDEV</v>
      </c>
      <c r="V1090" s="18"/>
      <c r="W1090" s="18"/>
      <c r="X1090" s="18"/>
    </row>
    <row r="1091">
      <c r="A1091" s="20"/>
      <c r="B1091" s="3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35"/>
      <c r="N1091" s="18"/>
      <c r="O1091" s="18"/>
      <c r="P1091" s="18"/>
      <c r="Q1091" s="34"/>
      <c r="R1091" s="18"/>
      <c r="S1091" s="18"/>
      <c r="T1091" s="19" t="s">
        <v>1111</v>
      </c>
      <c r="U1091" s="9" t="str">
        <f t="shared" si="1"/>
        <v>NSE:CONFIPET</v>
      </c>
      <c r="V1091" s="18"/>
      <c r="W1091" s="18"/>
      <c r="X1091" s="18"/>
    </row>
    <row r="1092">
      <c r="A1092" s="20"/>
      <c r="B1092" s="3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35"/>
      <c r="N1092" s="18"/>
      <c r="O1092" s="18"/>
      <c r="P1092" s="18"/>
      <c r="Q1092" s="34"/>
      <c r="R1092" s="18"/>
      <c r="S1092" s="18"/>
      <c r="T1092" s="19" t="s">
        <v>1112</v>
      </c>
      <c r="U1092" s="9" t="str">
        <f t="shared" si="1"/>
        <v>NSE:ITIETF</v>
      </c>
      <c r="V1092" s="18"/>
      <c r="W1092" s="18"/>
      <c r="X1092" s="18"/>
    </row>
    <row r="1093">
      <c r="A1093" s="20"/>
      <c r="B1093" s="3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35"/>
      <c r="N1093" s="18"/>
      <c r="O1093" s="18"/>
      <c r="P1093" s="18"/>
      <c r="Q1093" s="34"/>
      <c r="R1093" s="18"/>
      <c r="S1093" s="18"/>
      <c r="T1093" s="19" t="s">
        <v>1113</v>
      </c>
      <c r="U1093" s="9" t="str">
        <f t="shared" si="1"/>
        <v>NSE:IRMENERGY</v>
      </c>
      <c r="V1093" s="18"/>
      <c r="W1093" s="18"/>
      <c r="X1093" s="18"/>
    </row>
    <row r="1094">
      <c r="A1094" s="20"/>
      <c r="B1094" s="3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35"/>
      <c r="N1094" s="18"/>
      <c r="O1094" s="18"/>
      <c r="P1094" s="18"/>
      <c r="Q1094" s="34"/>
      <c r="R1094" s="18"/>
      <c r="S1094" s="18"/>
      <c r="T1094" s="19" t="s">
        <v>1114</v>
      </c>
      <c r="U1094" s="9" t="str">
        <f t="shared" si="1"/>
        <v>NSE:ESABINDIA</v>
      </c>
      <c r="V1094" s="18"/>
      <c r="W1094" s="18"/>
      <c r="X1094" s="18"/>
    </row>
    <row r="1095">
      <c r="A1095" s="20"/>
      <c r="B1095" s="3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35"/>
      <c r="N1095" s="18"/>
      <c r="O1095" s="18"/>
      <c r="P1095" s="18"/>
      <c r="Q1095" s="34"/>
      <c r="R1095" s="18"/>
      <c r="S1095" s="18"/>
      <c r="T1095" s="19" t="s">
        <v>1115</v>
      </c>
      <c r="U1095" s="9" t="str">
        <f t="shared" si="1"/>
        <v>NSE:DYCL</v>
      </c>
      <c r="V1095" s="18"/>
      <c r="W1095" s="18"/>
      <c r="X1095" s="18"/>
    </row>
    <row r="1096">
      <c r="A1096" s="20"/>
      <c r="B1096" s="3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35"/>
      <c r="N1096" s="18"/>
      <c r="O1096" s="18"/>
      <c r="P1096" s="18"/>
      <c r="Q1096" s="34"/>
      <c r="R1096" s="18"/>
      <c r="S1096" s="18"/>
      <c r="T1096" s="19" t="s">
        <v>1116</v>
      </c>
      <c r="U1096" s="9" t="str">
        <f t="shared" si="1"/>
        <v>NSE:ORIENTPPR</v>
      </c>
      <c r="V1096" s="18"/>
      <c r="W1096" s="18"/>
      <c r="X1096" s="18"/>
    </row>
    <row r="1097">
      <c r="A1097" s="20"/>
      <c r="B1097" s="3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35"/>
      <c r="N1097" s="18"/>
      <c r="O1097" s="18"/>
      <c r="P1097" s="18"/>
      <c r="Q1097" s="34"/>
      <c r="R1097" s="18"/>
      <c r="S1097" s="18"/>
      <c r="T1097" s="19" t="s">
        <v>1117</v>
      </c>
      <c r="U1097" s="9" t="str">
        <f t="shared" si="1"/>
        <v>NSE:NRBBEARING</v>
      </c>
      <c r="V1097" s="18"/>
      <c r="W1097" s="18"/>
      <c r="X1097" s="18"/>
    </row>
    <row r="1098">
      <c r="A1098" s="20"/>
      <c r="B1098" s="3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35"/>
      <c r="N1098" s="18"/>
      <c r="O1098" s="18"/>
      <c r="P1098" s="18"/>
      <c r="Q1098" s="34"/>
      <c r="R1098" s="18"/>
      <c r="S1098" s="18"/>
      <c r="T1098" s="19" t="s">
        <v>1118</v>
      </c>
      <c r="U1098" s="9" t="str">
        <f t="shared" si="1"/>
        <v>NSE:TALBROAUTO</v>
      </c>
      <c r="V1098" s="18"/>
      <c r="W1098" s="18"/>
      <c r="X1098" s="18"/>
    </row>
    <row r="1099">
      <c r="A1099" s="20"/>
      <c r="B1099" s="3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35"/>
      <c r="N1099" s="18"/>
      <c r="O1099" s="18"/>
      <c r="P1099" s="18"/>
      <c r="Q1099" s="34"/>
      <c r="R1099" s="18"/>
      <c r="S1099" s="18"/>
      <c r="T1099" s="19" t="s">
        <v>1119</v>
      </c>
      <c r="U1099" s="9" t="str">
        <f t="shared" si="1"/>
        <v>NSE:GRINDWELL</v>
      </c>
      <c r="V1099" s="18"/>
      <c r="W1099" s="18"/>
      <c r="X1099" s="18"/>
    </row>
    <row r="1100">
      <c r="A1100" s="20"/>
      <c r="B1100" s="3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35"/>
      <c r="N1100" s="18"/>
      <c r="O1100" s="18"/>
      <c r="P1100" s="18"/>
      <c r="Q1100" s="34"/>
      <c r="R1100" s="18"/>
      <c r="S1100" s="18"/>
      <c r="T1100" s="19" t="s">
        <v>1120</v>
      </c>
      <c r="U1100" s="9" t="str">
        <f t="shared" si="1"/>
        <v>NSE:MANGCHEFER</v>
      </c>
      <c r="V1100" s="18"/>
      <c r="W1100" s="18"/>
      <c r="X1100" s="18"/>
    </row>
    <row r="1101">
      <c r="A1101" s="20"/>
      <c r="B1101" s="3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35"/>
      <c r="N1101" s="18"/>
      <c r="O1101" s="18"/>
      <c r="P1101" s="18"/>
      <c r="Q1101" s="34"/>
      <c r="R1101" s="18"/>
      <c r="S1101" s="18"/>
      <c r="T1101" s="19" t="s">
        <v>1121</v>
      </c>
      <c r="U1101" s="9" t="str">
        <f t="shared" si="1"/>
        <v>NSE:ALPL30IETF</v>
      </c>
      <c r="V1101" s="18"/>
      <c r="W1101" s="18"/>
      <c r="X1101" s="18"/>
    </row>
    <row r="1102">
      <c r="A1102" s="20"/>
      <c r="B1102" s="3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35"/>
      <c r="N1102" s="18"/>
      <c r="O1102" s="18"/>
      <c r="P1102" s="18"/>
      <c r="Q1102" s="34"/>
      <c r="R1102" s="18"/>
      <c r="S1102" s="18"/>
      <c r="T1102" s="19" t="s">
        <v>1122</v>
      </c>
      <c r="U1102" s="9" t="str">
        <f t="shared" si="1"/>
        <v>NSE:PSB</v>
      </c>
      <c r="V1102" s="18"/>
      <c r="W1102" s="18"/>
      <c r="X1102" s="18"/>
    </row>
    <row r="1103">
      <c r="A1103" s="20"/>
      <c r="B1103" s="3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35"/>
      <c r="N1103" s="18"/>
      <c r="O1103" s="18"/>
      <c r="P1103" s="18"/>
      <c r="Q1103" s="34"/>
      <c r="R1103" s="18"/>
      <c r="S1103" s="18"/>
      <c r="T1103" s="19" t="s">
        <v>1123</v>
      </c>
      <c r="U1103" s="9" t="str">
        <f t="shared" si="1"/>
        <v>NSE:UTTAMSUGAR</v>
      </c>
      <c r="V1103" s="18"/>
      <c r="W1103" s="18"/>
      <c r="X1103" s="18"/>
    </row>
    <row r="1104">
      <c r="A1104" s="20"/>
      <c r="B1104" s="3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35"/>
      <c r="N1104" s="18"/>
      <c r="O1104" s="18"/>
      <c r="P1104" s="18"/>
      <c r="Q1104" s="34"/>
      <c r="R1104" s="18"/>
      <c r="S1104" s="18"/>
      <c r="T1104" s="19" t="s">
        <v>1124</v>
      </c>
      <c r="U1104" s="9" t="str">
        <f t="shared" si="1"/>
        <v>NSE:NESCO</v>
      </c>
      <c r="V1104" s="18"/>
      <c r="W1104" s="18"/>
      <c r="X1104" s="18"/>
    </row>
    <row r="1105">
      <c r="A1105" s="20"/>
      <c r="B1105" s="3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35"/>
      <c r="N1105" s="18"/>
      <c r="O1105" s="18"/>
      <c r="P1105" s="18"/>
      <c r="Q1105" s="34"/>
      <c r="R1105" s="18"/>
      <c r="S1105" s="18"/>
      <c r="T1105" s="19" t="s">
        <v>1125</v>
      </c>
      <c r="U1105" s="9" t="str">
        <f t="shared" si="1"/>
        <v>NSE:ADFFOODS</v>
      </c>
      <c r="V1105" s="18"/>
      <c r="W1105" s="18"/>
      <c r="X1105" s="18"/>
    </row>
    <row r="1106">
      <c r="A1106" s="20"/>
      <c r="B1106" s="3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35"/>
      <c r="N1106" s="18"/>
      <c r="O1106" s="18"/>
      <c r="P1106" s="18"/>
      <c r="Q1106" s="34"/>
      <c r="R1106" s="18"/>
      <c r="S1106" s="18"/>
      <c r="T1106" s="19" t="s">
        <v>1126</v>
      </c>
      <c r="U1106" s="9" t="str">
        <f t="shared" si="1"/>
        <v>NSE:SIS</v>
      </c>
      <c r="V1106" s="18"/>
      <c r="W1106" s="18"/>
      <c r="X1106" s="18"/>
    </row>
    <row r="1107">
      <c r="A1107" s="20"/>
      <c r="B1107" s="3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35"/>
      <c r="N1107" s="18"/>
      <c r="O1107" s="18"/>
      <c r="P1107" s="18"/>
      <c r="Q1107" s="34"/>
      <c r="R1107" s="18"/>
      <c r="S1107" s="18"/>
      <c r="T1107" s="19" t="s">
        <v>1127</v>
      </c>
      <c r="U1107" s="9" t="str">
        <f t="shared" si="1"/>
        <v>NSE:VRAJ</v>
      </c>
      <c r="V1107" s="18"/>
      <c r="W1107" s="18"/>
      <c r="X1107" s="18"/>
    </row>
    <row r="1108">
      <c r="A1108" s="20"/>
      <c r="B1108" s="3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35"/>
      <c r="N1108" s="18"/>
      <c r="O1108" s="18"/>
      <c r="P1108" s="18"/>
      <c r="Q1108" s="34"/>
      <c r="R1108" s="18"/>
      <c r="S1108" s="18"/>
      <c r="T1108" s="19" t="s">
        <v>1128</v>
      </c>
      <c r="U1108" s="9" t="str">
        <f t="shared" si="1"/>
        <v>NSE:KICL</v>
      </c>
      <c r="V1108" s="18"/>
      <c r="W1108" s="18"/>
      <c r="X1108" s="18"/>
    </row>
    <row r="1109">
      <c r="A1109" s="20"/>
      <c r="B1109" s="3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35"/>
      <c r="N1109" s="18"/>
      <c r="O1109" s="18"/>
      <c r="P1109" s="18"/>
      <c r="Q1109" s="34"/>
      <c r="R1109" s="18"/>
      <c r="S1109" s="18"/>
      <c r="T1109" s="19" t="s">
        <v>1129</v>
      </c>
      <c r="U1109" s="9" t="str">
        <f t="shared" si="1"/>
        <v>NSE:ALEMBICLTD</v>
      </c>
      <c r="V1109" s="18"/>
      <c r="W1109" s="18"/>
      <c r="X1109" s="18"/>
    </row>
    <row r="1110">
      <c r="A1110" s="20"/>
      <c r="B1110" s="3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35"/>
      <c r="N1110" s="18"/>
      <c r="O1110" s="18"/>
      <c r="P1110" s="18"/>
      <c r="Q1110" s="34"/>
      <c r="R1110" s="18"/>
      <c r="S1110" s="18"/>
      <c r="T1110" s="19" t="s">
        <v>1130</v>
      </c>
      <c r="U1110" s="9" t="str">
        <f t="shared" si="1"/>
        <v>NSE:KROSS</v>
      </c>
      <c r="V1110" s="18"/>
      <c r="W1110" s="18"/>
      <c r="X1110" s="18"/>
    </row>
    <row r="1111">
      <c r="A1111" s="20"/>
      <c r="B1111" s="3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35"/>
      <c r="N1111" s="18"/>
      <c r="O1111" s="18"/>
      <c r="P1111" s="18"/>
      <c r="Q1111" s="34"/>
      <c r="R1111" s="18"/>
      <c r="S1111" s="18"/>
      <c r="T1111" s="19" t="s">
        <v>1131</v>
      </c>
      <c r="U1111" s="9" t="str">
        <f t="shared" si="1"/>
        <v>NSE:MUFTI</v>
      </c>
      <c r="V1111" s="18"/>
      <c r="W1111" s="18"/>
      <c r="X1111" s="18"/>
    </row>
    <row r="1112">
      <c r="A1112" s="20"/>
      <c r="B1112" s="3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35"/>
      <c r="N1112" s="18"/>
      <c r="O1112" s="18"/>
      <c r="P1112" s="18"/>
      <c r="Q1112" s="34"/>
      <c r="R1112" s="18"/>
      <c r="S1112" s="18"/>
      <c r="T1112" s="19" t="s">
        <v>1132</v>
      </c>
      <c r="U1112" s="9" t="str">
        <f t="shared" si="1"/>
        <v>NSE:RANEHOLDIN</v>
      </c>
      <c r="V1112" s="18"/>
      <c r="W1112" s="18"/>
      <c r="X1112" s="18"/>
    </row>
    <row r="1113">
      <c r="A1113" s="20"/>
      <c r="B1113" s="3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35"/>
      <c r="N1113" s="18"/>
      <c r="O1113" s="18"/>
      <c r="P1113" s="18"/>
      <c r="Q1113" s="34"/>
      <c r="R1113" s="18"/>
      <c r="S1113" s="18"/>
      <c r="T1113" s="19" t="s">
        <v>1133</v>
      </c>
      <c r="U1113" s="9" t="str">
        <f t="shared" si="1"/>
        <v>NSE:GARUDA</v>
      </c>
      <c r="V1113" s="18"/>
      <c r="W1113" s="18"/>
      <c r="X1113" s="18"/>
    </row>
    <row r="1114">
      <c r="A1114" s="20"/>
      <c r="B1114" s="3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35"/>
      <c r="N1114" s="18"/>
      <c r="O1114" s="18"/>
      <c r="P1114" s="18"/>
      <c r="Q1114" s="34"/>
      <c r="R1114" s="18"/>
      <c r="S1114" s="18"/>
      <c r="T1114" s="19" t="s">
        <v>1134</v>
      </c>
      <c r="U1114" s="9" t="str">
        <f t="shared" si="1"/>
        <v>NSE:SHALPAINTS</v>
      </c>
      <c r="V1114" s="18"/>
      <c r="W1114" s="18"/>
      <c r="X1114" s="18"/>
    </row>
    <row r="1115">
      <c r="A1115" s="20"/>
      <c r="B1115" s="3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35"/>
      <c r="N1115" s="18"/>
      <c r="O1115" s="18"/>
      <c r="P1115" s="18"/>
      <c r="Q1115" s="34"/>
      <c r="R1115" s="18"/>
      <c r="S1115" s="18"/>
      <c r="T1115" s="19" t="s">
        <v>1135</v>
      </c>
      <c r="U1115" s="9" t="str">
        <f t="shared" si="1"/>
        <v>NSE:MANBA</v>
      </c>
      <c r="V1115" s="18"/>
      <c r="W1115" s="18"/>
      <c r="X1115" s="18"/>
    </row>
    <row r="1116">
      <c r="A1116" s="20"/>
      <c r="B1116" s="3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35"/>
      <c r="N1116" s="18"/>
      <c r="O1116" s="18"/>
      <c r="P1116" s="18"/>
      <c r="Q1116" s="34"/>
      <c r="R1116" s="18"/>
      <c r="S1116" s="18"/>
      <c r="T1116" s="19" t="s">
        <v>1136</v>
      </c>
      <c r="U1116" s="9" t="str">
        <f t="shared" si="1"/>
        <v>NSE:VISHNU</v>
      </c>
      <c r="V1116" s="18"/>
      <c r="W1116" s="18"/>
      <c r="X1116" s="18"/>
    </row>
    <row r="1117">
      <c r="A1117" s="20"/>
      <c r="B1117" s="3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35"/>
      <c r="N1117" s="18"/>
      <c r="O1117" s="18"/>
      <c r="P1117" s="18"/>
      <c r="Q1117" s="34"/>
      <c r="R1117" s="18"/>
      <c r="S1117" s="18"/>
      <c r="T1117" s="19" t="s">
        <v>1137</v>
      </c>
      <c r="U1117" s="9" t="str">
        <f t="shared" si="1"/>
        <v>NSE:BODALCHEM</v>
      </c>
      <c r="V1117" s="18"/>
      <c r="W1117" s="18"/>
      <c r="X1117" s="18"/>
    </row>
    <row r="1118">
      <c r="A1118" s="20"/>
      <c r="B1118" s="3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35"/>
      <c r="N1118" s="18"/>
      <c r="O1118" s="18"/>
      <c r="P1118" s="18"/>
      <c r="Q1118" s="34"/>
      <c r="R1118" s="18"/>
      <c r="S1118" s="18"/>
      <c r="T1118" s="19" t="s">
        <v>1138</v>
      </c>
      <c r="U1118" s="9" t="str">
        <f t="shared" si="1"/>
        <v>NSE:HAPPYFORGE</v>
      </c>
      <c r="V1118" s="18"/>
      <c r="W1118" s="18"/>
      <c r="X1118" s="18"/>
    </row>
    <row r="1119">
      <c r="A1119" s="20"/>
      <c r="B1119" s="3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35"/>
      <c r="N1119" s="18"/>
      <c r="O1119" s="18"/>
      <c r="P1119" s="18"/>
      <c r="Q1119" s="34"/>
      <c r="R1119" s="18"/>
      <c r="S1119" s="18"/>
      <c r="T1119" s="19" t="s">
        <v>1139</v>
      </c>
      <c r="U1119" s="9" t="str">
        <f t="shared" si="1"/>
        <v>NSE:GEEKAYWIRE</v>
      </c>
      <c r="V1119" s="18"/>
      <c r="W1119" s="18"/>
      <c r="X1119" s="18"/>
    </row>
    <row r="1120">
      <c r="A1120" s="20"/>
      <c r="B1120" s="3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35"/>
      <c r="N1120" s="18"/>
      <c r="O1120" s="18"/>
      <c r="P1120" s="18"/>
      <c r="Q1120" s="34"/>
      <c r="R1120" s="18"/>
      <c r="S1120" s="18"/>
      <c r="T1120" s="19" t="s">
        <v>1140</v>
      </c>
      <c r="U1120" s="9" t="str">
        <f t="shared" si="1"/>
        <v>NSE:XPROINDIA</v>
      </c>
      <c r="V1120" s="18"/>
      <c r="W1120" s="18"/>
      <c r="X1120" s="18"/>
    </row>
    <row r="1121">
      <c r="A1121" s="20"/>
      <c r="B1121" s="3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35"/>
      <c r="N1121" s="18"/>
      <c r="O1121" s="18"/>
      <c r="P1121" s="18"/>
      <c r="Q1121" s="34"/>
      <c r="R1121" s="18"/>
      <c r="S1121" s="18"/>
      <c r="T1121" s="19" t="s">
        <v>1141</v>
      </c>
      <c r="U1121" s="9" t="str">
        <f t="shared" si="1"/>
        <v>NSE:NIVABUPA</v>
      </c>
      <c r="V1121" s="18"/>
      <c r="W1121" s="18"/>
      <c r="X1121" s="18"/>
    </row>
    <row r="1122">
      <c r="A1122" s="20"/>
      <c r="B1122" s="3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35"/>
      <c r="N1122" s="18"/>
      <c r="O1122" s="18"/>
      <c r="P1122" s="18"/>
      <c r="Q1122" s="34"/>
      <c r="R1122" s="18"/>
      <c r="S1122" s="18"/>
      <c r="T1122" s="19" t="s">
        <v>1142</v>
      </c>
      <c r="U1122" s="9" t="str">
        <f t="shared" si="1"/>
        <v>NSE:BAJAJELEC</v>
      </c>
      <c r="V1122" s="18"/>
      <c r="W1122" s="18"/>
      <c r="X1122" s="18"/>
    </row>
    <row r="1123">
      <c r="A1123" s="20"/>
      <c r="B1123" s="3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35"/>
      <c r="N1123" s="18"/>
      <c r="O1123" s="18"/>
      <c r="P1123" s="18"/>
      <c r="Q1123" s="34"/>
      <c r="R1123" s="18"/>
      <c r="S1123" s="18"/>
      <c r="T1123" s="19" t="s">
        <v>1143</v>
      </c>
      <c r="U1123" s="9" t="str">
        <f t="shared" si="1"/>
        <v>NSE:GOKULAGRO</v>
      </c>
      <c r="V1123" s="18"/>
      <c r="W1123" s="18"/>
      <c r="X1123" s="18"/>
    </row>
    <row r="1124">
      <c r="A1124" s="20"/>
      <c r="B1124" s="3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35"/>
      <c r="N1124" s="18"/>
      <c r="O1124" s="18"/>
      <c r="P1124" s="18"/>
      <c r="Q1124" s="34"/>
      <c r="R1124" s="18"/>
      <c r="S1124" s="18"/>
      <c r="T1124" s="19" t="s">
        <v>1144</v>
      </c>
      <c r="U1124" s="9" t="str">
        <f t="shared" si="1"/>
        <v>NSE:GICHSGFIN</v>
      </c>
      <c r="V1124" s="18"/>
      <c r="W1124" s="18"/>
      <c r="X1124" s="18"/>
    </row>
    <row r="1125">
      <c r="A1125" s="20"/>
      <c r="B1125" s="3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35"/>
      <c r="N1125" s="18"/>
      <c r="O1125" s="18"/>
      <c r="P1125" s="18"/>
      <c r="Q1125" s="34"/>
      <c r="R1125" s="18"/>
      <c r="S1125" s="18"/>
      <c r="T1125" s="19" t="s">
        <v>1145</v>
      </c>
      <c r="U1125" s="9" t="str">
        <f t="shared" si="1"/>
        <v>NSE:TREL</v>
      </c>
      <c r="V1125" s="18"/>
      <c r="W1125" s="18"/>
      <c r="X1125" s="18"/>
    </row>
    <row r="1126">
      <c r="A1126" s="20"/>
      <c r="B1126" s="3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35"/>
      <c r="N1126" s="18"/>
      <c r="O1126" s="18"/>
      <c r="P1126" s="18"/>
      <c r="Q1126" s="34"/>
      <c r="R1126" s="18"/>
      <c r="S1126" s="18"/>
      <c r="T1126" s="19" t="s">
        <v>1146</v>
      </c>
      <c r="U1126" s="9" t="str">
        <f t="shared" si="1"/>
        <v>NSE:GALAXYSURF</v>
      </c>
      <c r="V1126" s="18"/>
      <c r="W1126" s="18"/>
      <c r="X1126" s="18"/>
    </row>
    <row r="1127">
      <c r="A1127" s="20"/>
      <c r="B1127" s="3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35"/>
      <c r="N1127" s="18"/>
      <c r="O1127" s="18"/>
      <c r="P1127" s="18"/>
      <c r="Q1127" s="34"/>
      <c r="R1127" s="18"/>
      <c r="S1127" s="18"/>
      <c r="T1127" s="19" t="s">
        <v>1147</v>
      </c>
      <c r="U1127" s="9" t="str">
        <f t="shared" si="1"/>
        <v>NSE:NUVOCO</v>
      </c>
      <c r="V1127" s="18"/>
      <c r="W1127" s="18"/>
      <c r="X1127" s="18"/>
    </row>
    <row r="1128">
      <c r="A1128" s="20"/>
      <c r="B1128" s="3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35"/>
      <c r="N1128" s="18"/>
      <c r="O1128" s="18"/>
      <c r="P1128" s="18"/>
      <c r="Q1128" s="34"/>
      <c r="R1128" s="18"/>
      <c r="S1128" s="18"/>
      <c r="T1128" s="19" t="s">
        <v>1148</v>
      </c>
      <c r="U1128" s="9" t="str">
        <f t="shared" si="1"/>
        <v>NSE:RUSTOMJEE</v>
      </c>
      <c r="V1128" s="18"/>
      <c r="W1128" s="18"/>
      <c r="X1128" s="18"/>
    </row>
    <row r="1129">
      <c r="A1129" s="20"/>
      <c r="B1129" s="3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35"/>
      <c r="N1129" s="18"/>
      <c r="O1129" s="18"/>
      <c r="P1129" s="18"/>
      <c r="Q1129" s="34"/>
      <c r="R1129" s="18"/>
      <c r="S1129" s="18"/>
      <c r="T1129" s="19" t="s">
        <v>1149</v>
      </c>
      <c r="U1129" s="9" t="str">
        <f t="shared" si="1"/>
        <v>NSE:CLEDUCATE</v>
      </c>
      <c r="V1129" s="18"/>
      <c r="W1129" s="18"/>
      <c r="X1129" s="18"/>
    </row>
    <row r="1130">
      <c r="A1130" s="20"/>
      <c r="B1130" s="3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35"/>
      <c r="N1130" s="18"/>
      <c r="O1130" s="18"/>
      <c r="P1130" s="18"/>
      <c r="Q1130" s="34"/>
      <c r="R1130" s="18"/>
      <c r="S1130" s="18"/>
      <c r="T1130" s="19" t="s">
        <v>1150</v>
      </c>
      <c r="U1130" s="9" t="str">
        <f t="shared" si="1"/>
        <v>NSE:ICEMAKE</v>
      </c>
      <c r="V1130" s="18"/>
      <c r="W1130" s="18"/>
      <c r="X1130" s="18"/>
    </row>
    <row r="1131">
      <c r="A1131" s="20"/>
      <c r="B1131" s="3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35"/>
      <c r="N1131" s="18"/>
      <c r="O1131" s="18"/>
      <c r="P1131" s="18"/>
      <c r="Q1131" s="34"/>
      <c r="R1131" s="18"/>
      <c r="S1131" s="18"/>
      <c r="T1131" s="19" t="s">
        <v>1151</v>
      </c>
      <c r="U1131" s="9" t="str">
        <f t="shared" si="1"/>
        <v>NSE:TEXINFRA</v>
      </c>
      <c r="V1131" s="18"/>
      <c r="W1131" s="18"/>
      <c r="X1131" s="18"/>
    </row>
    <row r="1132">
      <c r="A1132" s="20"/>
      <c r="B1132" s="3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35"/>
      <c r="N1132" s="18"/>
      <c r="O1132" s="18"/>
      <c r="P1132" s="18"/>
      <c r="Q1132" s="34"/>
      <c r="R1132" s="18"/>
      <c r="S1132" s="18"/>
      <c r="T1132" s="19" t="s">
        <v>1152</v>
      </c>
      <c r="U1132" s="9" t="str">
        <f t="shared" si="1"/>
        <v>NSE:VISAKAIND</v>
      </c>
      <c r="V1132" s="18"/>
      <c r="W1132" s="18"/>
      <c r="X1132" s="18"/>
    </row>
    <row r="1133">
      <c r="A1133" s="20"/>
      <c r="B1133" s="3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35"/>
      <c r="N1133" s="18"/>
      <c r="O1133" s="18"/>
      <c r="P1133" s="18"/>
      <c r="Q1133" s="34"/>
      <c r="R1133" s="18"/>
      <c r="S1133" s="18"/>
      <c r="T1133" s="19" t="s">
        <v>1153</v>
      </c>
      <c r="U1133" s="9" t="str">
        <f t="shared" si="1"/>
        <v>NSE:DLINKINDIA</v>
      </c>
      <c r="V1133" s="18"/>
      <c r="W1133" s="18"/>
      <c r="X1133" s="18"/>
    </row>
    <row r="1134">
      <c r="A1134" s="20"/>
      <c r="B1134" s="3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35"/>
      <c r="N1134" s="18"/>
      <c r="O1134" s="18"/>
      <c r="P1134" s="18"/>
      <c r="Q1134" s="34"/>
      <c r="R1134" s="18"/>
      <c r="S1134" s="18"/>
      <c r="T1134" s="19" t="s">
        <v>1154</v>
      </c>
      <c r="U1134" s="9" t="str">
        <f t="shared" si="1"/>
        <v>NSE:ASHIANA</v>
      </c>
      <c r="V1134" s="18"/>
      <c r="W1134" s="18"/>
      <c r="X1134" s="18"/>
    </row>
    <row r="1135">
      <c r="A1135" s="20"/>
      <c r="B1135" s="3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35"/>
      <c r="N1135" s="18"/>
      <c r="O1135" s="18"/>
      <c r="P1135" s="18"/>
      <c r="Q1135" s="34"/>
      <c r="R1135" s="18"/>
      <c r="S1135" s="18"/>
      <c r="T1135" s="19" t="s">
        <v>1155</v>
      </c>
      <c r="U1135" s="9" t="str">
        <f t="shared" si="1"/>
        <v>NSE:AVADHSUGAR</v>
      </c>
      <c r="V1135" s="18"/>
      <c r="W1135" s="18"/>
      <c r="X1135" s="18"/>
    </row>
    <row r="1136">
      <c r="A1136" s="20"/>
      <c r="B1136" s="3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35"/>
      <c r="N1136" s="18"/>
      <c r="O1136" s="18"/>
      <c r="P1136" s="18"/>
      <c r="Q1136" s="34"/>
      <c r="R1136" s="18"/>
      <c r="S1136" s="18"/>
      <c r="T1136" s="19" t="s">
        <v>1156</v>
      </c>
      <c r="U1136" s="9" t="str">
        <f t="shared" si="1"/>
        <v>NSE:GROWWGOLD</v>
      </c>
      <c r="V1136" s="18"/>
      <c r="W1136" s="18"/>
      <c r="X1136" s="18"/>
    </row>
    <row r="1137">
      <c r="A1137" s="20"/>
      <c r="B1137" s="3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35"/>
      <c r="N1137" s="18"/>
      <c r="O1137" s="18"/>
      <c r="P1137" s="18"/>
      <c r="Q1137" s="34"/>
      <c r="R1137" s="18"/>
      <c r="S1137" s="18"/>
      <c r="T1137" s="19" t="s">
        <v>1157</v>
      </c>
      <c r="U1137" s="9" t="str">
        <f t="shared" si="1"/>
        <v>NSE:KKCL</v>
      </c>
      <c r="V1137" s="18"/>
      <c r="W1137" s="18"/>
      <c r="X1137" s="18"/>
    </row>
    <row r="1138">
      <c r="A1138" s="20"/>
      <c r="B1138" s="3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35"/>
      <c r="N1138" s="18"/>
      <c r="O1138" s="18"/>
      <c r="P1138" s="18"/>
      <c r="Q1138" s="34"/>
      <c r="R1138" s="18"/>
      <c r="S1138" s="18"/>
      <c r="T1138" s="19" t="s">
        <v>1158</v>
      </c>
      <c r="U1138" s="9" t="str">
        <f t="shared" si="1"/>
        <v>NSE:IGPL</v>
      </c>
      <c r="V1138" s="18"/>
      <c r="W1138" s="18"/>
      <c r="X1138" s="18"/>
    </row>
    <row r="1139">
      <c r="A1139" s="20"/>
      <c r="B1139" s="3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35"/>
      <c r="N1139" s="18"/>
      <c r="O1139" s="18"/>
      <c r="P1139" s="18"/>
      <c r="Q1139" s="34"/>
      <c r="R1139" s="18"/>
      <c r="S1139" s="18"/>
      <c r="T1139" s="19" t="s">
        <v>1159</v>
      </c>
      <c r="U1139" s="9" t="str">
        <f t="shared" si="1"/>
        <v>NSE:STERTOOLS</v>
      </c>
      <c r="V1139" s="18"/>
      <c r="W1139" s="18"/>
      <c r="X1139" s="18"/>
    </row>
    <row r="1140">
      <c r="A1140" s="20"/>
      <c r="B1140" s="3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35"/>
      <c r="N1140" s="18"/>
      <c r="O1140" s="18"/>
      <c r="P1140" s="18"/>
      <c r="Q1140" s="34"/>
      <c r="R1140" s="18"/>
      <c r="S1140" s="18"/>
      <c r="T1140" s="19" t="s">
        <v>1160</v>
      </c>
      <c r="U1140" s="9" t="str">
        <f t="shared" si="1"/>
        <v>NSE:MAITHANALL</v>
      </c>
      <c r="V1140" s="18"/>
      <c r="W1140" s="18"/>
      <c r="X1140" s="18"/>
    </row>
    <row r="1141">
      <c r="A1141" s="20"/>
      <c r="B1141" s="3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35"/>
      <c r="N1141" s="18"/>
      <c r="O1141" s="18"/>
      <c r="P1141" s="18"/>
      <c r="Q1141" s="34"/>
      <c r="R1141" s="18"/>
      <c r="S1141" s="18"/>
      <c r="T1141" s="19" t="s">
        <v>1161</v>
      </c>
      <c r="U1141" s="9" t="str">
        <f t="shared" si="1"/>
        <v>NSE:PNBGILTS</v>
      </c>
      <c r="V1141" s="18"/>
      <c r="W1141" s="18"/>
      <c r="X1141" s="18"/>
    </row>
    <row r="1142">
      <c r="A1142" s="20"/>
      <c r="B1142" s="3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35"/>
      <c r="N1142" s="18"/>
      <c r="O1142" s="18"/>
      <c r="P1142" s="18"/>
      <c r="Q1142" s="34"/>
      <c r="R1142" s="18"/>
      <c r="S1142" s="18"/>
      <c r="T1142" s="19" t="s">
        <v>1162</v>
      </c>
      <c r="U1142" s="9" t="str">
        <f t="shared" si="1"/>
        <v>NSE:TEGA</v>
      </c>
      <c r="V1142" s="18"/>
      <c r="W1142" s="18"/>
      <c r="X1142" s="18"/>
    </row>
    <row r="1143">
      <c r="A1143" s="20"/>
      <c r="B1143" s="3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35"/>
      <c r="N1143" s="18"/>
      <c r="O1143" s="18"/>
      <c r="P1143" s="18"/>
      <c r="Q1143" s="34"/>
      <c r="R1143" s="18"/>
      <c r="S1143" s="18"/>
      <c r="T1143" s="19" t="s">
        <v>1163</v>
      </c>
      <c r="U1143" s="9" t="str">
        <f t="shared" si="1"/>
        <v>NSE:ORIENTELEC</v>
      </c>
      <c r="V1143" s="18"/>
      <c r="W1143" s="18"/>
      <c r="X1143" s="18"/>
    </row>
    <row r="1144">
      <c r="A1144" s="20"/>
      <c r="B1144" s="3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35"/>
      <c r="N1144" s="18"/>
      <c r="O1144" s="18"/>
      <c r="P1144" s="18"/>
      <c r="Q1144" s="34"/>
      <c r="R1144" s="18"/>
      <c r="S1144" s="18"/>
      <c r="T1144" s="19" t="s">
        <v>1164</v>
      </c>
      <c r="U1144" s="9" t="str">
        <f t="shared" si="1"/>
        <v>NSE:LUMAXTECH</v>
      </c>
      <c r="V1144" s="18"/>
      <c r="W1144" s="18"/>
      <c r="X1144" s="18"/>
    </row>
    <row r="1145">
      <c r="A1145" s="20"/>
      <c r="B1145" s="3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35"/>
      <c r="N1145" s="18"/>
      <c r="O1145" s="18"/>
      <c r="P1145" s="18"/>
      <c r="Q1145" s="34"/>
      <c r="R1145" s="18"/>
      <c r="S1145" s="18"/>
      <c r="T1145" s="19" t="s">
        <v>1165</v>
      </c>
      <c r="U1145" s="9" t="str">
        <f t="shared" si="1"/>
        <v>NSE:TVSSRICHAK</v>
      </c>
      <c r="V1145" s="18"/>
      <c r="W1145" s="18"/>
      <c r="X1145" s="18"/>
    </row>
    <row r="1146">
      <c r="A1146" s="20"/>
      <c r="B1146" s="3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35"/>
      <c r="N1146" s="18"/>
      <c r="O1146" s="18"/>
      <c r="P1146" s="18"/>
      <c r="Q1146" s="34"/>
      <c r="R1146" s="18"/>
      <c r="S1146" s="18"/>
      <c r="T1146" s="19" t="s">
        <v>1166</v>
      </c>
      <c r="U1146" s="9" t="str">
        <f t="shared" si="1"/>
        <v>NSE:GREENPLY</v>
      </c>
      <c r="V1146" s="18"/>
      <c r="W1146" s="18"/>
      <c r="X1146" s="18"/>
    </row>
    <row r="1147">
      <c r="A1147" s="20"/>
      <c r="B1147" s="3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35"/>
      <c r="N1147" s="18"/>
      <c r="O1147" s="18"/>
      <c r="P1147" s="18"/>
      <c r="Q1147" s="34"/>
      <c r="R1147" s="18"/>
      <c r="S1147" s="18"/>
      <c r="T1147" s="19" t="s">
        <v>1167</v>
      </c>
      <c r="U1147" s="9" t="str">
        <f t="shared" si="1"/>
        <v>NSE:TARSONS</v>
      </c>
      <c r="V1147" s="18"/>
      <c r="W1147" s="18"/>
      <c r="X1147" s="18"/>
    </row>
    <row r="1148">
      <c r="A1148" s="20"/>
      <c r="B1148" s="3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35"/>
      <c r="N1148" s="18"/>
      <c r="O1148" s="18"/>
      <c r="P1148" s="18"/>
      <c r="Q1148" s="34"/>
      <c r="R1148" s="18"/>
      <c r="S1148" s="18"/>
      <c r="T1148" s="19" t="s">
        <v>1168</v>
      </c>
      <c r="U1148" s="9" t="str">
        <f t="shared" si="1"/>
        <v>NSE:RPTECH</v>
      </c>
      <c r="V1148" s="18"/>
      <c r="W1148" s="18"/>
      <c r="X1148" s="18"/>
    </row>
    <row r="1149">
      <c r="A1149" s="20"/>
      <c r="B1149" s="3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35"/>
      <c r="N1149" s="18"/>
      <c r="O1149" s="18"/>
      <c r="P1149" s="18"/>
      <c r="Q1149" s="34"/>
      <c r="R1149" s="18"/>
      <c r="S1149" s="18"/>
      <c r="T1149" s="19" t="s">
        <v>1169</v>
      </c>
      <c r="U1149" s="9" t="str">
        <f t="shared" si="1"/>
        <v>NSE:RESPONIND</v>
      </c>
      <c r="V1149" s="18"/>
      <c r="W1149" s="18"/>
      <c r="X1149" s="18"/>
    </row>
    <row r="1150">
      <c r="A1150" s="20"/>
      <c r="B1150" s="3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35"/>
      <c r="N1150" s="18"/>
      <c r="O1150" s="18"/>
      <c r="P1150" s="18"/>
      <c r="Q1150" s="34"/>
      <c r="R1150" s="18"/>
      <c r="S1150" s="18"/>
      <c r="T1150" s="19" t="s">
        <v>1170</v>
      </c>
      <c r="U1150" s="9" t="str">
        <f t="shared" si="1"/>
        <v>NSE:HGS</v>
      </c>
      <c r="V1150" s="18"/>
      <c r="W1150" s="18"/>
      <c r="X1150" s="18"/>
    </row>
    <row r="1151">
      <c r="A1151" s="20"/>
      <c r="B1151" s="3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35"/>
      <c r="N1151" s="18"/>
      <c r="O1151" s="18"/>
      <c r="P1151" s="18"/>
      <c r="Q1151" s="34"/>
      <c r="R1151" s="18"/>
      <c r="S1151" s="18"/>
      <c r="T1151" s="19" t="s">
        <v>1171</v>
      </c>
      <c r="U1151" s="9" t="str">
        <f t="shared" si="1"/>
        <v>NSE:BLACKBUCK</v>
      </c>
      <c r="V1151" s="18"/>
      <c r="W1151" s="18"/>
      <c r="X1151" s="18"/>
    </row>
    <row r="1152">
      <c r="A1152" s="20"/>
      <c r="B1152" s="3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35"/>
      <c r="N1152" s="18"/>
      <c r="O1152" s="18"/>
      <c r="P1152" s="18"/>
      <c r="Q1152" s="34"/>
      <c r="R1152" s="18"/>
      <c r="S1152" s="18"/>
      <c r="T1152" s="19" t="s">
        <v>1172</v>
      </c>
      <c r="U1152" s="9" t="str">
        <f t="shared" si="1"/>
        <v>NSE:KIOCL</v>
      </c>
      <c r="V1152" s="18"/>
      <c r="W1152" s="18"/>
      <c r="X1152" s="18"/>
    </row>
    <row r="1153">
      <c r="A1153" s="20"/>
      <c r="B1153" s="3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35"/>
      <c r="N1153" s="18"/>
      <c r="O1153" s="18"/>
      <c r="P1153" s="18"/>
      <c r="Q1153" s="34"/>
      <c r="R1153" s="18"/>
      <c r="S1153" s="18"/>
      <c r="T1153" s="19" t="s">
        <v>1173</v>
      </c>
      <c r="U1153" s="9" t="str">
        <f t="shared" si="1"/>
        <v>NSE:FDC</v>
      </c>
      <c r="V1153" s="18"/>
      <c r="W1153" s="18"/>
      <c r="X1153" s="18"/>
    </row>
    <row r="1154">
      <c r="A1154" s="20"/>
      <c r="B1154" s="3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35"/>
      <c r="N1154" s="18"/>
      <c r="O1154" s="18"/>
      <c r="P1154" s="18"/>
      <c r="Q1154" s="34"/>
      <c r="R1154" s="18"/>
      <c r="S1154" s="18"/>
      <c r="T1154" s="19" t="s">
        <v>1174</v>
      </c>
      <c r="U1154" s="9" t="str">
        <f t="shared" si="1"/>
        <v>NSE:WESTLIFE</v>
      </c>
      <c r="V1154" s="18"/>
      <c r="W1154" s="18"/>
      <c r="X1154" s="18"/>
    </row>
    <row r="1155">
      <c r="A1155" s="20"/>
      <c r="B1155" s="3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35"/>
      <c r="N1155" s="18"/>
      <c r="O1155" s="18"/>
      <c r="P1155" s="18"/>
      <c r="Q1155" s="34"/>
      <c r="R1155" s="18"/>
      <c r="S1155" s="18"/>
      <c r="T1155" s="19" t="s">
        <v>1175</v>
      </c>
      <c r="U1155" s="9" t="str">
        <f t="shared" si="1"/>
        <v>NSE:GPTHEALTH</v>
      </c>
      <c r="V1155" s="18"/>
      <c r="W1155" s="18"/>
      <c r="X1155" s="18"/>
    </row>
    <row r="1156">
      <c r="A1156" s="20"/>
      <c r="B1156" s="3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35"/>
      <c r="N1156" s="18"/>
      <c r="O1156" s="18"/>
      <c r="P1156" s="18"/>
      <c r="Q1156" s="34"/>
      <c r="R1156" s="18"/>
      <c r="S1156" s="18"/>
      <c r="T1156" s="19" t="s">
        <v>1176</v>
      </c>
      <c r="U1156" s="9" t="str">
        <f t="shared" si="1"/>
        <v>NSE:RICOAUTO</v>
      </c>
      <c r="V1156" s="18"/>
      <c r="W1156" s="18"/>
      <c r="X1156" s="18"/>
    </row>
    <row r="1157">
      <c r="A1157" s="20"/>
      <c r="B1157" s="3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35"/>
      <c r="N1157" s="18"/>
      <c r="O1157" s="18"/>
      <c r="P1157" s="18"/>
      <c r="Q1157" s="34"/>
      <c r="R1157" s="18"/>
      <c r="S1157" s="18"/>
      <c r="T1157" s="19" t="s">
        <v>1177</v>
      </c>
      <c r="U1157" s="9" t="str">
        <f t="shared" si="1"/>
        <v>NSE:SENSEXIETF</v>
      </c>
      <c r="V1157" s="18"/>
      <c r="W1157" s="18"/>
      <c r="X1157" s="18"/>
    </row>
    <row r="1158">
      <c r="A1158" s="20"/>
      <c r="B1158" s="3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35"/>
      <c r="N1158" s="18"/>
      <c r="O1158" s="18"/>
      <c r="P1158" s="18"/>
      <c r="Q1158" s="34"/>
      <c r="R1158" s="18"/>
      <c r="S1158" s="18"/>
      <c r="T1158" s="19" t="s">
        <v>1178</v>
      </c>
      <c r="U1158" s="9" t="str">
        <f t="shared" si="1"/>
        <v>NSE:LGBBROSLTD</v>
      </c>
      <c r="V1158" s="18"/>
      <c r="W1158" s="18"/>
      <c r="X1158" s="18"/>
    </row>
    <row r="1159">
      <c r="A1159" s="20"/>
      <c r="B1159" s="3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35"/>
      <c r="N1159" s="18"/>
      <c r="O1159" s="18"/>
      <c r="P1159" s="18"/>
      <c r="Q1159" s="34"/>
      <c r="R1159" s="18"/>
      <c r="S1159" s="18"/>
      <c r="T1159" s="19" t="s">
        <v>1179</v>
      </c>
      <c r="U1159" s="9" t="str">
        <f t="shared" si="1"/>
        <v>NSE:UNIVCABLES</v>
      </c>
      <c r="V1159" s="18"/>
      <c r="W1159" s="18"/>
      <c r="X1159" s="18"/>
    </row>
    <row r="1160">
      <c r="A1160" s="20"/>
      <c r="B1160" s="3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35"/>
      <c r="N1160" s="18"/>
      <c r="O1160" s="18"/>
      <c r="P1160" s="18"/>
      <c r="Q1160" s="34"/>
      <c r="R1160" s="18"/>
      <c r="S1160" s="18"/>
      <c r="T1160" s="19" t="s">
        <v>1180</v>
      </c>
      <c r="U1160" s="9" t="str">
        <f t="shared" si="1"/>
        <v>NSE:ESAFSFB</v>
      </c>
      <c r="V1160" s="18"/>
      <c r="W1160" s="18"/>
      <c r="X1160" s="18"/>
    </row>
    <row r="1161">
      <c r="A1161" s="20"/>
      <c r="B1161" s="3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35"/>
      <c r="N1161" s="18"/>
      <c r="O1161" s="18"/>
      <c r="P1161" s="18"/>
      <c r="Q1161" s="34"/>
      <c r="R1161" s="18"/>
      <c r="S1161" s="18"/>
      <c r="T1161" s="19" t="s">
        <v>1181</v>
      </c>
      <c r="U1161" s="9" t="str">
        <f t="shared" si="1"/>
        <v>NSE:ASAHIINDIA</v>
      </c>
      <c r="V1161" s="18"/>
      <c r="W1161" s="18"/>
      <c r="X1161" s="18"/>
    </row>
    <row r="1162">
      <c r="A1162" s="20"/>
      <c r="B1162" s="3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35"/>
      <c r="N1162" s="18"/>
      <c r="O1162" s="18"/>
      <c r="P1162" s="18"/>
      <c r="Q1162" s="34"/>
      <c r="R1162" s="18"/>
      <c r="S1162" s="18"/>
      <c r="T1162" s="19" t="s">
        <v>1182</v>
      </c>
      <c r="U1162" s="9" t="str">
        <f t="shared" si="1"/>
        <v>NSE:GUJALKALI</v>
      </c>
      <c r="V1162" s="18"/>
      <c r="W1162" s="18"/>
      <c r="X1162" s="18"/>
    </row>
    <row r="1163">
      <c r="A1163" s="20"/>
      <c r="B1163" s="3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35"/>
      <c r="N1163" s="18"/>
      <c r="O1163" s="18"/>
      <c r="P1163" s="18"/>
      <c r="Q1163" s="34"/>
      <c r="R1163" s="18"/>
      <c r="S1163" s="18"/>
      <c r="T1163" s="19" t="s">
        <v>1183</v>
      </c>
      <c r="U1163" s="9" t="str">
        <f t="shared" si="1"/>
        <v>NSE:OILIETF</v>
      </c>
      <c r="V1163" s="18"/>
      <c r="W1163" s="18"/>
      <c r="X1163" s="18"/>
    </row>
    <row r="1164">
      <c r="A1164" s="20"/>
      <c r="B1164" s="3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35"/>
      <c r="N1164" s="18"/>
      <c r="O1164" s="18"/>
      <c r="P1164" s="18"/>
      <c r="Q1164" s="34"/>
      <c r="R1164" s="18"/>
      <c r="S1164" s="18"/>
      <c r="T1164" s="19" t="s">
        <v>1184</v>
      </c>
      <c r="U1164" s="9" t="str">
        <f t="shared" si="1"/>
        <v>NSE:SATINDLTD</v>
      </c>
      <c r="V1164" s="18"/>
      <c r="W1164" s="18"/>
      <c r="X1164" s="18"/>
    </row>
    <row r="1165">
      <c r="A1165" s="20"/>
      <c r="B1165" s="3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35"/>
      <c r="N1165" s="18"/>
      <c r="O1165" s="18"/>
      <c r="P1165" s="18"/>
      <c r="Q1165" s="34"/>
      <c r="R1165" s="18"/>
      <c r="S1165" s="18"/>
      <c r="T1165" s="19" t="s">
        <v>1185</v>
      </c>
      <c r="U1165" s="9" t="str">
        <f t="shared" si="1"/>
        <v>NSE:LINCOLN</v>
      </c>
      <c r="V1165" s="18"/>
      <c r="W1165" s="18"/>
      <c r="X1165" s="18"/>
    </row>
    <row r="1166">
      <c r="A1166" s="20"/>
      <c r="B1166" s="3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35"/>
      <c r="N1166" s="18"/>
      <c r="O1166" s="18"/>
      <c r="P1166" s="18"/>
      <c r="Q1166" s="34"/>
      <c r="R1166" s="18"/>
      <c r="S1166" s="18"/>
      <c r="T1166" s="19" t="s">
        <v>1186</v>
      </c>
      <c r="U1166" s="9" t="str">
        <f t="shared" si="1"/>
        <v>NSE:HINDWAREAP</v>
      </c>
      <c r="V1166" s="18"/>
      <c r="W1166" s="18"/>
      <c r="X1166" s="18"/>
    </row>
    <row r="1167">
      <c r="A1167" s="20"/>
      <c r="B1167" s="3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35"/>
      <c r="N1167" s="18"/>
      <c r="O1167" s="18"/>
      <c r="P1167" s="18"/>
      <c r="Q1167" s="34"/>
      <c r="R1167" s="18"/>
      <c r="S1167" s="18"/>
      <c r="T1167" s="19" t="s">
        <v>1187</v>
      </c>
      <c r="U1167" s="9" t="str">
        <f t="shared" si="1"/>
        <v>NSE:SETFNN50</v>
      </c>
      <c r="V1167" s="18"/>
      <c r="W1167" s="18"/>
      <c r="X1167" s="18"/>
    </row>
    <row r="1168">
      <c r="A1168" s="20"/>
      <c r="B1168" s="3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35"/>
      <c r="N1168" s="18"/>
      <c r="O1168" s="18"/>
      <c r="P1168" s="18"/>
      <c r="Q1168" s="34"/>
      <c r="R1168" s="18"/>
      <c r="S1168" s="18"/>
      <c r="T1168" s="19" t="s">
        <v>1188</v>
      </c>
      <c r="U1168" s="9" t="str">
        <f t="shared" si="1"/>
        <v>NSE:PGHL</v>
      </c>
      <c r="V1168" s="18"/>
      <c r="W1168" s="18"/>
      <c r="X1168" s="18"/>
    </row>
    <row r="1169">
      <c r="A1169" s="20"/>
      <c r="B1169" s="3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35"/>
      <c r="N1169" s="18"/>
      <c r="O1169" s="18"/>
      <c r="P1169" s="18"/>
      <c r="Q1169" s="34"/>
      <c r="R1169" s="18"/>
      <c r="S1169" s="18"/>
      <c r="T1169" s="19" t="s">
        <v>1189</v>
      </c>
      <c r="U1169" s="9" t="str">
        <f t="shared" si="1"/>
        <v>NSE:KRYSTAL</v>
      </c>
      <c r="V1169" s="18"/>
      <c r="W1169" s="18"/>
      <c r="X1169" s="18"/>
    </row>
    <row r="1170">
      <c r="A1170" s="20"/>
      <c r="B1170" s="3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35"/>
      <c r="N1170" s="18"/>
      <c r="O1170" s="18"/>
      <c r="P1170" s="18"/>
      <c r="Q1170" s="34"/>
      <c r="R1170" s="18"/>
      <c r="S1170" s="18"/>
      <c r="T1170" s="19" t="s">
        <v>1190</v>
      </c>
      <c r="U1170" s="9" t="str">
        <f t="shared" si="1"/>
        <v>NSE:HNDFDS</v>
      </c>
      <c r="V1170" s="18"/>
      <c r="W1170" s="18"/>
      <c r="X1170" s="18"/>
    </row>
    <row r="1171">
      <c r="A1171" s="20"/>
      <c r="B1171" s="3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35"/>
      <c r="N1171" s="18"/>
      <c r="O1171" s="18"/>
      <c r="P1171" s="18"/>
      <c r="Q1171" s="34"/>
      <c r="R1171" s="18"/>
      <c r="S1171" s="18"/>
      <c r="T1171" s="19" t="s">
        <v>1191</v>
      </c>
      <c r="U1171" s="9" t="str">
        <f t="shared" si="1"/>
        <v>NSE:CENTRUM</v>
      </c>
      <c r="V1171" s="18"/>
      <c r="W1171" s="18"/>
      <c r="X1171" s="18"/>
    </row>
    <row r="1172">
      <c r="A1172" s="20"/>
      <c r="B1172" s="3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35"/>
      <c r="N1172" s="18"/>
      <c r="O1172" s="18"/>
      <c r="P1172" s="18"/>
      <c r="Q1172" s="34"/>
      <c r="R1172" s="18"/>
      <c r="S1172" s="18"/>
      <c r="T1172" s="19" t="s">
        <v>1192</v>
      </c>
      <c r="U1172" s="9" t="str">
        <f t="shared" si="1"/>
        <v>NSE:SHOPERSTOP</v>
      </c>
      <c r="V1172" s="18"/>
      <c r="W1172" s="18"/>
      <c r="X1172" s="18"/>
    </row>
    <row r="1173">
      <c r="A1173" s="20"/>
      <c r="B1173" s="3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35"/>
      <c r="N1173" s="18"/>
      <c r="O1173" s="18"/>
      <c r="P1173" s="18"/>
      <c r="Q1173" s="34"/>
      <c r="R1173" s="18"/>
      <c r="S1173" s="18"/>
      <c r="T1173" s="19" t="s">
        <v>1193</v>
      </c>
      <c r="U1173" s="9" t="str">
        <f t="shared" si="1"/>
        <v>NSE:PANAMAPET</v>
      </c>
      <c r="V1173" s="18"/>
      <c r="W1173" s="18"/>
      <c r="X1173" s="18"/>
    </row>
    <row r="1174">
      <c r="A1174" s="20"/>
      <c r="B1174" s="3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35"/>
      <c r="N1174" s="18"/>
      <c r="O1174" s="18"/>
      <c r="P1174" s="18"/>
      <c r="Q1174" s="34"/>
      <c r="R1174" s="18"/>
      <c r="S1174" s="18"/>
      <c r="T1174" s="19" t="s">
        <v>1194</v>
      </c>
      <c r="U1174" s="9" t="str">
        <f t="shared" si="1"/>
        <v>NSE:JUBLCPL</v>
      </c>
      <c r="V1174" s="18"/>
      <c r="W1174" s="18"/>
      <c r="X1174" s="18"/>
    </row>
    <row r="1175">
      <c r="A1175" s="20"/>
      <c r="B1175" s="3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35"/>
      <c r="N1175" s="18"/>
      <c r="O1175" s="18"/>
      <c r="P1175" s="18"/>
      <c r="Q1175" s="34"/>
      <c r="R1175" s="18"/>
      <c r="S1175" s="18"/>
      <c r="T1175" s="19" t="s">
        <v>1195</v>
      </c>
      <c r="U1175" s="9" t="str">
        <f t="shared" si="1"/>
        <v>NSE:SPLPETRO</v>
      </c>
      <c r="V1175" s="18"/>
      <c r="W1175" s="18"/>
      <c r="X1175" s="18"/>
    </row>
    <row r="1176">
      <c r="A1176" s="20"/>
      <c r="B1176" s="3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35"/>
      <c r="N1176" s="18"/>
      <c r="O1176" s="18"/>
      <c r="P1176" s="18"/>
      <c r="Q1176" s="34"/>
      <c r="R1176" s="18"/>
      <c r="S1176" s="18"/>
      <c r="T1176" s="19" t="s">
        <v>1196</v>
      </c>
      <c r="U1176" s="9" t="str">
        <f t="shared" si="1"/>
        <v>NSE:BHARATWIRE</v>
      </c>
      <c r="V1176" s="18"/>
      <c r="W1176" s="18"/>
      <c r="X1176" s="18"/>
    </row>
    <row r="1177">
      <c r="A1177" s="20"/>
      <c r="B1177" s="3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35"/>
      <c r="N1177" s="18"/>
      <c r="O1177" s="18"/>
      <c r="P1177" s="18"/>
      <c r="Q1177" s="34"/>
      <c r="R1177" s="18"/>
      <c r="S1177" s="18"/>
      <c r="T1177" s="19" t="s">
        <v>1197</v>
      </c>
      <c r="U1177" s="9" t="str">
        <f t="shared" si="1"/>
        <v>NSE:WANBURY</v>
      </c>
      <c r="V1177" s="18"/>
      <c r="W1177" s="18"/>
      <c r="X1177" s="18"/>
    </row>
    <row r="1178">
      <c r="A1178" s="20"/>
      <c r="B1178" s="3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35"/>
      <c r="N1178" s="18"/>
      <c r="O1178" s="18"/>
      <c r="P1178" s="18"/>
      <c r="Q1178" s="34"/>
      <c r="R1178" s="18"/>
      <c r="S1178" s="18"/>
      <c r="T1178" s="19" t="s">
        <v>1198</v>
      </c>
      <c r="U1178" s="9" t="str">
        <f t="shared" si="1"/>
        <v>NSE:MOM100</v>
      </c>
      <c r="V1178" s="18"/>
      <c r="W1178" s="18"/>
      <c r="X1178" s="18"/>
    </row>
    <row r="1179">
      <c r="A1179" s="20"/>
      <c r="B1179" s="3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35"/>
      <c r="N1179" s="18"/>
      <c r="O1179" s="18"/>
      <c r="P1179" s="18"/>
      <c r="Q1179" s="34"/>
      <c r="R1179" s="18"/>
      <c r="S1179" s="18"/>
      <c r="T1179" s="19" t="s">
        <v>1199</v>
      </c>
      <c r="U1179" s="9" t="str">
        <f t="shared" si="1"/>
        <v>NSE:INDOCO</v>
      </c>
      <c r="V1179" s="18"/>
      <c r="W1179" s="18"/>
      <c r="X1179" s="18"/>
    </row>
    <row r="1180">
      <c r="A1180" s="20"/>
      <c r="B1180" s="3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35"/>
      <c r="N1180" s="18"/>
      <c r="O1180" s="18"/>
      <c r="P1180" s="18"/>
      <c r="Q1180" s="34"/>
      <c r="R1180" s="18"/>
      <c r="S1180" s="18"/>
      <c r="T1180" s="19" t="s">
        <v>1200</v>
      </c>
      <c r="U1180" s="9" t="str">
        <f t="shared" si="1"/>
        <v>NSE:RPGLIFE</v>
      </c>
      <c r="V1180" s="18"/>
      <c r="W1180" s="18"/>
      <c r="X1180" s="18"/>
    </row>
    <row r="1181">
      <c r="A1181" s="20"/>
      <c r="B1181" s="3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35"/>
      <c r="N1181" s="18"/>
      <c r="O1181" s="18"/>
      <c r="P1181" s="18"/>
      <c r="Q1181" s="34"/>
      <c r="R1181" s="18"/>
      <c r="S1181" s="18"/>
      <c r="T1181" s="19" t="s">
        <v>1201</v>
      </c>
      <c r="U1181" s="9" t="str">
        <f t="shared" si="1"/>
        <v>NSE:TRANSWORLD</v>
      </c>
      <c r="V1181" s="18"/>
      <c r="W1181" s="18"/>
      <c r="X1181" s="18"/>
    </row>
    <row r="1182">
      <c r="A1182" s="20"/>
      <c r="B1182" s="3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35"/>
      <c r="N1182" s="18"/>
      <c r="O1182" s="18"/>
      <c r="P1182" s="18"/>
      <c r="Q1182" s="34"/>
      <c r="R1182" s="18"/>
      <c r="S1182" s="18"/>
      <c r="T1182" s="19" t="s">
        <v>1202</v>
      </c>
      <c r="U1182" s="9" t="str">
        <f t="shared" si="1"/>
        <v>NSE:BPL</v>
      </c>
      <c r="V1182" s="18"/>
      <c r="W1182" s="18"/>
      <c r="X1182" s="18"/>
    </row>
    <row r="1183">
      <c r="A1183" s="20"/>
      <c r="B1183" s="3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35"/>
      <c r="N1183" s="18"/>
      <c r="O1183" s="18"/>
      <c r="P1183" s="18"/>
      <c r="Q1183" s="34"/>
      <c r="R1183" s="18"/>
      <c r="S1183" s="18"/>
      <c r="T1183" s="19" t="s">
        <v>1203</v>
      </c>
      <c r="U1183" s="9" t="str">
        <f t="shared" si="1"/>
        <v>NSE:CREST</v>
      </c>
      <c r="V1183" s="18"/>
      <c r="W1183" s="18"/>
      <c r="X1183" s="18"/>
    </row>
    <row r="1184">
      <c r="A1184" s="20"/>
      <c r="B1184" s="3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35"/>
      <c r="N1184" s="18"/>
      <c r="O1184" s="18"/>
      <c r="P1184" s="18"/>
      <c r="Q1184" s="34"/>
      <c r="R1184" s="18"/>
      <c r="S1184" s="18"/>
      <c r="T1184" s="19" t="s">
        <v>1204</v>
      </c>
      <c r="U1184" s="9" t="str">
        <f t="shared" si="1"/>
        <v>NSE:SESHAPAPER</v>
      </c>
      <c r="V1184" s="18"/>
      <c r="W1184" s="18"/>
      <c r="X1184" s="18"/>
    </row>
    <row r="1185">
      <c r="A1185" s="20"/>
      <c r="B1185" s="3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35"/>
      <c r="N1185" s="18"/>
      <c r="O1185" s="18"/>
      <c r="P1185" s="18"/>
      <c r="Q1185" s="34"/>
      <c r="R1185" s="18"/>
      <c r="S1185" s="18"/>
      <c r="T1185" s="19" t="s">
        <v>1205</v>
      </c>
      <c r="U1185" s="9" t="str">
        <f t="shared" si="1"/>
        <v>NSE:EIHAHOTELS</v>
      </c>
      <c r="V1185" s="18"/>
      <c r="W1185" s="18"/>
      <c r="X1185" s="18"/>
    </row>
    <row r="1186">
      <c r="A1186" s="20"/>
      <c r="B1186" s="3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35"/>
      <c r="N1186" s="18"/>
      <c r="O1186" s="18"/>
      <c r="P1186" s="18"/>
      <c r="Q1186" s="34"/>
      <c r="R1186" s="18"/>
      <c r="S1186" s="18"/>
      <c r="T1186" s="19" t="s">
        <v>1206</v>
      </c>
      <c r="U1186" s="9" t="str">
        <f t="shared" si="1"/>
        <v>NSE:GOLDSHARE</v>
      </c>
      <c r="V1186" s="18"/>
      <c r="W1186" s="18"/>
      <c r="X1186" s="18"/>
    </row>
    <row r="1187">
      <c r="A1187" s="20"/>
      <c r="B1187" s="3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35"/>
      <c r="N1187" s="18"/>
      <c r="O1187" s="18"/>
      <c r="P1187" s="18"/>
      <c r="Q1187" s="34"/>
      <c r="R1187" s="18"/>
      <c r="S1187" s="18"/>
      <c r="T1187" s="19" t="s">
        <v>1207</v>
      </c>
      <c r="U1187" s="9" t="str">
        <f t="shared" si="1"/>
        <v>NSE:JNKINDIA</v>
      </c>
      <c r="V1187" s="18"/>
      <c r="W1187" s="18"/>
      <c r="X1187" s="18"/>
    </row>
    <row r="1188">
      <c r="A1188" s="20"/>
      <c r="B1188" s="3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35"/>
      <c r="N1188" s="18"/>
      <c r="O1188" s="18"/>
      <c r="P1188" s="18"/>
      <c r="Q1188" s="34"/>
      <c r="R1188" s="18"/>
      <c r="S1188" s="18"/>
      <c r="T1188" s="19" t="s">
        <v>1208</v>
      </c>
      <c r="U1188" s="9" t="str">
        <f t="shared" si="1"/>
        <v>NSE:SILVER</v>
      </c>
      <c r="V1188" s="18"/>
      <c r="W1188" s="18"/>
      <c r="X1188" s="18"/>
    </row>
    <row r="1189">
      <c r="A1189" s="20"/>
      <c r="B1189" s="3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35"/>
      <c r="N1189" s="18"/>
      <c r="O1189" s="18"/>
      <c r="P1189" s="18"/>
      <c r="Q1189" s="34"/>
      <c r="R1189" s="18"/>
      <c r="S1189" s="18"/>
      <c r="T1189" s="19" t="s">
        <v>1209</v>
      </c>
      <c r="U1189" s="9" t="str">
        <f t="shared" si="1"/>
        <v>NSE:DSSL</v>
      </c>
      <c r="V1189" s="18"/>
      <c r="W1189" s="18"/>
      <c r="X1189" s="18"/>
    </row>
    <row r="1190">
      <c r="A1190" s="20"/>
      <c r="B1190" s="3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35"/>
      <c r="N1190" s="18"/>
      <c r="O1190" s="18"/>
      <c r="P1190" s="18"/>
      <c r="Q1190" s="34"/>
      <c r="R1190" s="18"/>
      <c r="S1190" s="18"/>
      <c r="T1190" s="19" t="s">
        <v>1210</v>
      </c>
      <c r="U1190" s="9" t="str">
        <f t="shared" si="1"/>
        <v>NSE:ORIENTHOT</v>
      </c>
      <c r="V1190" s="18"/>
      <c r="W1190" s="18"/>
      <c r="X1190" s="18"/>
    </row>
    <row r="1191">
      <c r="A1191" s="20"/>
      <c r="B1191" s="3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35"/>
      <c r="N1191" s="18"/>
      <c r="O1191" s="18"/>
      <c r="P1191" s="18"/>
      <c r="Q1191" s="34"/>
      <c r="R1191" s="18"/>
      <c r="S1191" s="18"/>
      <c r="T1191" s="19" t="s">
        <v>1211</v>
      </c>
      <c r="U1191" s="9" t="str">
        <f t="shared" si="1"/>
        <v>NSE:TOP10ADD</v>
      </c>
      <c r="V1191" s="18"/>
      <c r="W1191" s="18"/>
      <c r="X1191" s="18"/>
    </row>
    <row r="1192">
      <c r="A1192" s="20"/>
      <c r="B1192" s="3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35"/>
      <c r="N1192" s="18"/>
      <c r="O1192" s="18"/>
      <c r="P1192" s="18"/>
      <c r="Q1192" s="34"/>
      <c r="R1192" s="18"/>
      <c r="S1192" s="18"/>
      <c r="T1192" s="19" t="s">
        <v>1212</v>
      </c>
      <c r="U1192" s="9" t="str">
        <f t="shared" si="1"/>
        <v>NSE:HLVLTD</v>
      </c>
      <c r="V1192" s="18"/>
      <c r="W1192" s="18"/>
      <c r="X1192" s="18"/>
    </row>
    <row r="1193">
      <c r="A1193" s="20"/>
      <c r="B1193" s="3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35"/>
      <c r="N1193" s="18"/>
      <c r="O1193" s="18"/>
      <c r="P1193" s="18"/>
      <c r="Q1193" s="34"/>
      <c r="R1193" s="18"/>
      <c r="S1193" s="18"/>
      <c r="T1193" s="19" t="s">
        <v>1213</v>
      </c>
      <c r="U1193" s="9" t="str">
        <f t="shared" si="1"/>
        <v>NSE:ECOSMOBLTY</v>
      </c>
      <c r="V1193" s="18"/>
      <c r="W1193" s="18"/>
      <c r="X1193" s="18"/>
    </row>
    <row r="1194">
      <c r="A1194" s="20"/>
      <c r="B1194" s="3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35"/>
      <c r="N1194" s="18"/>
      <c r="O1194" s="18"/>
      <c r="P1194" s="18"/>
      <c r="Q1194" s="34"/>
      <c r="R1194" s="18"/>
      <c r="S1194" s="18"/>
      <c r="T1194" s="19" t="s">
        <v>1214</v>
      </c>
      <c r="U1194" s="9" t="str">
        <f t="shared" si="1"/>
        <v>NSE:AUTOAXLES</v>
      </c>
      <c r="V1194" s="18"/>
      <c r="W1194" s="18"/>
      <c r="X1194" s="18"/>
    </row>
    <row r="1195">
      <c r="A1195" s="20"/>
      <c r="B1195" s="3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35"/>
      <c r="N1195" s="18"/>
      <c r="O1195" s="18"/>
      <c r="P1195" s="18"/>
      <c r="Q1195" s="34"/>
      <c r="R1195" s="18"/>
      <c r="S1195" s="18"/>
      <c r="T1195" s="19" t="s">
        <v>1215</v>
      </c>
      <c r="U1195" s="9" t="str">
        <f t="shared" si="1"/>
        <v>NSE:DECCANCE</v>
      </c>
      <c r="V1195" s="18"/>
      <c r="W1195" s="18"/>
      <c r="X1195" s="18"/>
    </row>
    <row r="1196">
      <c r="A1196" s="20"/>
      <c r="B1196" s="3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35"/>
      <c r="N1196" s="18"/>
      <c r="O1196" s="18"/>
      <c r="P1196" s="18"/>
      <c r="Q1196" s="34"/>
      <c r="R1196" s="18"/>
      <c r="S1196" s="18"/>
      <c r="T1196" s="19" t="s">
        <v>1216</v>
      </c>
      <c r="U1196" s="9" t="str">
        <f t="shared" si="1"/>
        <v>NSE:SYNCOMF</v>
      </c>
      <c r="V1196" s="18"/>
      <c r="W1196" s="18"/>
      <c r="X1196" s="18"/>
    </row>
    <row r="1197">
      <c r="A1197" s="20"/>
      <c r="B1197" s="3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35"/>
      <c r="N1197" s="18"/>
      <c r="O1197" s="18"/>
      <c r="P1197" s="18"/>
      <c r="Q1197" s="34"/>
      <c r="R1197" s="18"/>
      <c r="S1197" s="18"/>
      <c r="T1197" s="19" t="s">
        <v>1217</v>
      </c>
      <c r="U1197" s="9" t="str">
        <f t="shared" si="1"/>
        <v>NSE:GREENLAM</v>
      </c>
      <c r="V1197" s="18"/>
      <c r="W1197" s="18"/>
      <c r="X1197" s="18"/>
    </row>
    <row r="1198">
      <c r="A1198" s="20"/>
      <c r="B1198" s="3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35"/>
      <c r="N1198" s="18"/>
      <c r="O1198" s="18"/>
      <c r="P1198" s="18"/>
      <c r="Q1198" s="34"/>
      <c r="R1198" s="18"/>
      <c r="S1198" s="18"/>
      <c r="T1198" s="19" t="s">
        <v>1218</v>
      </c>
      <c r="U1198" s="9" t="str">
        <f t="shared" si="1"/>
        <v>NSE:ATALREAL</v>
      </c>
      <c r="V1198" s="18"/>
      <c r="W1198" s="18"/>
      <c r="X1198" s="18"/>
    </row>
    <row r="1199">
      <c r="A1199" s="20"/>
      <c r="B1199" s="3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35"/>
      <c r="N1199" s="18"/>
      <c r="O1199" s="18"/>
      <c r="P1199" s="18"/>
      <c r="Q1199" s="34"/>
      <c r="R1199" s="18"/>
      <c r="S1199" s="18"/>
      <c r="T1199" s="19" t="s">
        <v>1219</v>
      </c>
      <c r="U1199" s="9" t="str">
        <f t="shared" si="1"/>
        <v>NSE:TCI</v>
      </c>
      <c r="V1199" s="18"/>
      <c r="W1199" s="18"/>
      <c r="X1199" s="18"/>
    </row>
    <row r="1200">
      <c r="A1200" s="20"/>
      <c r="B1200" s="3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35"/>
      <c r="N1200" s="18"/>
      <c r="O1200" s="18"/>
      <c r="P1200" s="18"/>
      <c r="Q1200" s="34"/>
      <c r="R1200" s="18"/>
      <c r="S1200" s="18"/>
      <c r="T1200" s="19" t="s">
        <v>1220</v>
      </c>
      <c r="U1200" s="9" t="str">
        <f t="shared" si="1"/>
        <v>NSE:MMFL</v>
      </c>
      <c r="V1200" s="18"/>
      <c r="W1200" s="18"/>
      <c r="X1200" s="18"/>
    </row>
    <row r="1201">
      <c r="A1201" s="20"/>
      <c r="B1201" s="3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35"/>
      <c r="N1201" s="18"/>
      <c r="O1201" s="18"/>
      <c r="P1201" s="18"/>
      <c r="Q1201" s="34"/>
      <c r="R1201" s="18"/>
      <c r="S1201" s="18"/>
      <c r="T1201" s="19" t="s">
        <v>1221</v>
      </c>
      <c r="U1201" s="9" t="str">
        <f t="shared" si="1"/>
        <v>NSE:MSPL</v>
      </c>
      <c r="V1201" s="18"/>
      <c r="W1201" s="18"/>
      <c r="X1201" s="18"/>
    </row>
    <row r="1202">
      <c r="A1202" s="20"/>
      <c r="B1202" s="3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35"/>
      <c r="N1202" s="18"/>
      <c r="O1202" s="18"/>
      <c r="P1202" s="18"/>
      <c r="Q1202" s="34"/>
      <c r="R1202" s="18"/>
      <c r="S1202" s="18"/>
      <c r="T1202" s="19" t="s">
        <v>1222</v>
      </c>
      <c r="U1202" s="9" t="str">
        <f t="shared" si="1"/>
        <v>NSE:DENORA</v>
      </c>
      <c r="V1202" s="18"/>
      <c r="W1202" s="18"/>
      <c r="X1202" s="18"/>
    </row>
    <row r="1203">
      <c r="A1203" s="20"/>
      <c r="B1203" s="3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35"/>
      <c r="N1203" s="18"/>
      <c r="O1203" s="18"/>
      <c r="P1203" s="18"/>
      <c r="Q1203" s="34"/>
      <c r="R1203" s="18"/>
      <c r="S1203" s="18"/>
      <c r="T1203" s="19" t="s">
        <v>1223</v>
      </c>
      <c r="U1203" s="9" t="str">
        <f t="shared" si="1"/>
        <v>NSE:JINDALPOLY</v>
      </c>
      <c r="V1203" s="18"/>
      <c r="W1203" s="18"/>
      <c r="X1203" s="18"/>
    </row>
    <row r="1204">
      <c r="A1204" s="20"/>
      <c r="B1204" s="3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35"/>
      <c r="N1204" s="18"/>
      <c r="O1204" s="18"/>
      <c r="P1204" s="18"/>
      <c r="Q1204" s="34"/>
      <c r="R1204" s="18"/>
      <c r="S1204" s="18"/>
      <c r="T1204" s="19" t="s">
        <v>1224</v>
      </c>
      <c r="U1204" s="9" t="str">
        <f t="shared" si="1"/>
        <v>NSE:PSPPROJECT</v>
      </c>
      <c r="V1204" s="18"/>
      <c r="W1204" s="18"/>
      <c r="X1204" s="18"/>
    </row>
    <row r="1205">
      <c r="A1205" s="20"/>
      <c r="B1205" s="3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35"/>
      <c r="N1205" s="18"/>
      <c r="O1205" s="18"/>
      <c r="P1205" s="18"/>
      <c r="Q1205" s="34"/>
      <c r="R1205" s="18"/>
      <c r="S1205" s="18"/>
      <c r="T1205" s="19" t="s">
        <v>1225</v>
      </c>
      <c r="U1205" s="9" t="str">
        <f t="shared" si="1"/>
        <v>NSE:WCIL</v>
      </c>
      <c r="V1205" s="18"/>
      <c r="W1205" s="18"/>
      <c r="X1205" s="18"/>
    </row>
    <row r="1206">
      <c r="A1206" s="20"/>
      <c r="B1206" s="3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35"/>
      <c r="N1206" s="18"/>
      <c r="O1206" s="18"/>
      <c r="P1206" s="18"/>
      <c r="Q1206" s="34"/>
      <c r="R1206" s="18"/>
      <c r="S1206" s="18"/>
      <c r="T1206" s="19" t="s">
        <v>1226</v>
      </c>
      <c r="U1206" s="9" t="str">
        <f t="shared" si="1"/>
        <v>NSE:ALMONDZ</v>
      </c>
      <c r="V1206" s="18"/>
      <c r="W1206" s="18"/>
      <c r="X1206" s="18"/>
    </row>
    <row r="1207">
      <c r="A1207" s="20"/>
      <c r="B1207" s="3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35"/>
      <c r="N1207" s="18"/>
      <c r="O1207" s="18"/>
      <c r="P1207" s="18"/>
      <c r="Q1207" s="34"/>
      <c r="R1207" s="18"/>
      <c r="S1207" s="18"/>
      <c r="T1207" s="19" t="s">
        <v>1227</v>
      </c>
      <c r="U1207" s="9" t="str">
        <f t="shared" si="1"/>
        <v>NSE:APEX</v>
      </c>
      <c r="V1207" s="18"/>
      <c r="W1207" s="18"/>
      <c r="X1207" s="18"/>
    </row>
    <row r="1208">
      <c r="A1208" s="20"/>
      <c r="B1208" s="3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35"/>
      <c r="N1208" s="18"/>
      <c r="O1208" s="18"/>
      <c r="P1208" s="18"/>
      <c r="Q1208" s="34"/>
      <c r="R1208" s="18"/>
      <c r="S1208" s="18"/>
      <c r="T1208" s="19" t="s">
        <v>1228</v>
      </c>
      <c r="U1208" s="9" t="str">
        <f t="shared" si="1"/>
        <v>NSE:FOCUS</v>
      </c>
      <c r="V1208" s="18"/>
      <c r="W1208" s="18"/>
      <c r="X1208" s="18"/>
    </row>
    <row r="1209">
      <c r="A1209" s="20"/>
      <c r="B1209" s="3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35"/>
      <c r="N1209" s="18"/>
      <c r="O1209" s="18"/>
      <c r="P1209" s="18"/>
      <c r="Q1209" s="34"/>
      <c r="R1209" s="18"/>
      <c r="S1209" s="18"/>
      <c r="T1209" s="19" t="s">
        <v>1229</v>
      </c>
      <c r="U1209" s="9" t="str">
        <f t="shared" si="1"/>
        <v>NSE:TNPETRO</v>
      </c>
      <c r="V1209" s="18"/>
      <c r="W1209" s="18"/>
      <c r="X1209" s="18"/>
    </row>
    <row r="1210">
      <c r="A1210" s="20"/>
      <c r="B1210" s="3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35"/>
      <c r="N1210" s="18"/>
      <c r="O1210" s="18"/>
      <c r="P1210" s="18"/>
      <c r="Q1210" s="34"/>
      <c r="R1210" s="18"/>
      <c r="S1210" s="18"/>
      <c r="T1210" s="19" t="s">
        <v>1230</v>
      </c>
      <c r="U1210" s="9" t="str">
        <f t="shared" si="1"/>
        <v>NSE:BASML</v>
      </c>
      <c r="V1210" s="18"/>
      <c r="W1210" s="18"/>
      <c r="X1210" s="18"/>
    </row>
    <row r="1211">
      <c r="A1211" s="20"/>
      <c r="B1211" s="3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35"/>
      <c r="N1211" s="18"/>
      <c r="O1211" s="18"/>
      <c r="P1211" s="18"/>
      <c r="Q1211" s="34"/>
      <c r="R1211" s="18"/>
      <c r="S1211" s="18"/>
      <c r="T1211" s="19" t="s">
        <v>1231</v>
      </c>
      <c r="U1211" s="9" t="str">
        <f t="shared" si="1"/>
        <v>NSE:APCOTEXIND</v>
      </c>
      <c r="V1211" s="18"/>
      <c r="W1211" s="18"/>
      <c r="X1211" s="18"/>
    </row>
    <row r="1212">
      <c r="A1212" s="20"/>
      <c r="B1212" s="3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35"/>
      <c r="N1212" s="18"/>
      <c r="O1212" s="18"/>
      <c r="P1212" s="18"/>
      <c r="Q1212" s="34"/>
      <c r="R1212" s="18"/>
      <c r="S1212" s="18"/>
      <c r="T1212" s="19" t="s">
        <v>1232</v>
      </c>
      <c r="U1212" s="9" t="str">
        <f t="shared" si="1"/>
        <v>NSE:VMART</v>
      </c>
      <c r="V1212" s="18"/>
      <c r="W1212" s="18"/>
      <c r="X1212" s="18"/>
    </row>
    <row r="1213">
      <c r="A1213" s="20"/>
      <c r="B1213" s="3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35"/>
      <c r="N1213" s="18"/>
      <c r="O1213" s="18"/>
      <c r="P1213" s="18"/>
      <c r="Q1213" s="34"/>
      <c r="R1213" s="18"/>
      <c r="S1213" s="18"/>
      <c r="T1213" s="19" t="s">
        <v>1233</v>
      </c>
      <c r="U1213" s="9" t="str">
        <f t="shared" si="1"/>
        <v>NSE:GUFICBIO</v>
      </c>
      <c r="V1213" s="18"/>
      <c r="W1213" s="18"/>
      <c r="X1213" s="18"/>
    </row>
    <row r="1214">
      <c r="A1214" s="20"/>
      <c r="B1214" s="3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35"/>
      <c r="N1214" s="18"/>
      <c r="O1214" s="18"/>
      <c r="P1214" s="18"/>
      <c r="Q1214" s="34"/>
      <c r="R1214" s="18"/>
      <c r="S1214" s="18"/>
      <c r="T1214" s="19" t="s">
        <v>1234</v>
      </c>
      <c r="U1214" s="9" t="str">
        <f t="shared" si="1"/>
        <v>NSE:SUPRAJIT</v>
      </c>
      <c r="V1214" s="18"/>
      <c r="W1214" s="18"/>
      <c r="X1214" s="18"/>
    </row>
    <row r="1215">
      <c r="A1215" s="20"/>
      <c r="B1215" s="3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35"/>
      <c r="N1215" s="18"/>
      <c r="O1215" s="18"/>
      <c r="P1215" s="18"/>
      <c r="Q1215" s="34"/>
      <c r="R1215" s="18"/>
      <c r="S1215" s="18"/>
      <c r="T1215" s="19" t="s">
        <v>1235</v>
      </c>
      <c r="U1215" s="9" t="str">
        <f t="shared" si="1"/>
        <v>NSE:LIQUIDSHRI</v>
      </c>
      <c r="V1215" s="18"/>
      <c r="W1215" s="18"/>
      <c r="X1215" s="18"/>
    </row>
    <row r="1216">
      <c r="A1216" s="20"/>
      <c r="B1216" s="3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35"/>
      <c r="N1216" s="18"/>
      <c r="O1216" s="18"/>
      <c r="P1216" s="18"/>
      <c r="Q1216" s="34"/>
      <c r="R1216" s="18"/>
      <c r="S1216" s="18"/>
      <c r="T1216" s="19" t="s">
        <v>1236</v>
      </c>
      <c r="U1216" s="9" t="str">
        <f t="shared" si="1"/>
        <v>NSE:STANLEY</v>
      </c>
      <c r="V1216" s="18"/>
      <c r="W1216" s="18"/>
      <c r="X1216" s="18"/>
    </row>
    <row r="1217">
      <c r="A1217" s="20"/>
      <c r="B1217" s="3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35"/>
      <c r="N1217" s="18"/>
      <c r="O1217" s="18"/>
      <c r="P1217" s="18"/>
      <c r="Q1217" s="34"/>
      <c r="R1217" s="18"/>
      <c r="S1217" s="18"/>
      <c r="T1217" s="19" t="s">
        <v>1237</v>
      </c>
      <c r="U1217" s="9" t="str">
        <f t="shared" si="1"/>
        <v>NSE:GILT5YBEES</v>
      </c>
      <c r="V1217" s="18"/>
      <c r="W1217" s="18"/>
      <c r="X1217" s="18"/>
    </row>
    <row r="1218">
      <c r="A1218" s="20"/>
      <c r="B1218" s="3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35"/>
      <c r="N1218" s="18"/>
      <c r="O1218" s="18"/>
      <c r="P1218" s="18"/>
      <c r="Q1218" s="34"/>
      <c r="R1218" s="18"/>
      <c r="S1218" s="18"/>
      <c r="T1218" s="19" t="s">
        <v>1238</v>
      </c>
      <c r="U1218" s="9" t="str">
        <f t="shared" si="1"/>
        <v>NSE:JLHL</v>
      </c>
      <c r="V1218" s="18"/>
      <c r="W1218" s="18"/>
      <c r="X1218" s="18"/>
    </row>
    <row r="1219">
      <c r="A1219" s="20"/>
      <c r="B1219" s="3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35"/>
      <c r="N1219" s="18"/>
      <c r="O1219" s="18"/>
      <c r="P1219" s="18"/>
      <c r="Q1219" s="34"/>
      <c r="R1219" s="18"/>
      <c r="S1219" s="18"/>
      <c r="T1219" s="19" t="s">
        <v>1239</v>
      </c>
      <c r="U1219" s="9" t="str">
        <f t="shared" si="1"/>
        <v>NSE:SUNCLAY</v>
      </c>
      <c r="V1219" s="18"/>
      <c r="W1219" s="18"/>
      <c r="X1219" s="18"/>
    </row>
    <row r="1220">
      <c r="A1220" s="20"/>
      <c r="B1220" s="3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35"/>
      <c r="N1220" s="18"/>
      <c r="O1220" s="18"/>
      <c r="P1220" s="18"/>
      <c r="Q1220" s="34"/>
      <c r="R1220" s="18"/>
      <c r="S1220" s="18"/>
      <c r="T1220" s="19" t="s">
        <v>1240</v>
      </c>
      <c r="U1220" s="9" t="str">
        <f t="shared" si="1"/>
        <v>NSE:ROTO</v>
      </c>
      <c r="V1220" s="18"/>
      <c r="W1220" s="18"/>
      <c r="X1220" s="18"/>
    </row>
    <row r="1221">
      <c r="A1221" s="20"/>
      <c r="B1221" s="3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35"/>
      <c r="N1221" s="18"/>
      <c r="O1221" s="18"/>
      <c r="P1221" s="18"/>
      <c r="Q1221" s="34"/>
      <c r="R1221" s="18"/>
      <c r="S1221" s="18"/>
      <c r="T1221" s="19" t="s">
        <v>1241</v>
      </c>
      <c r="U1221" s="9" t="str">
        <f t="shared" si="1"/>
        <v>NSE:PURVA</v>
      </c>
      <c r="V1221" s="18"/>
      <c r="W1221" s="18"/>
      <c r="X1221" s="18"/>
    </row>
    <row r="1222">
      <c r="A1222" s="20"/>
      <c r="B1222" s="3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35"/>
      <c r="N1222" s="18"/>
      <c r="O1222" s="18"/>
      <c r="P1222" s="18"/>
      <c r="Q1222" s="34"/>
      <c r="R1222" s="18"/>
      <c r="S1222" s="18"/>
      <c r="T1222" s="19" t="s">
        <v>1242</v>
      </c>
      <c r="U1222" s="9" t="str">
        <f t="shared" si="1"/>
        <v>NSE:TVTODAY</v>
      </c>
      <c r="V1222" s="18"/>
      <c r="W1222" s="18"/>
      <c r="X1222" s="18"/>
    </row>
    <row r="1223">
      <c r="A1223" s="20"/>
      <c r="B1223" s="3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35"/>
      <c r="N1223" s="18"/>
      <c r="O1223" s="18"/>
      <c r="P1223" s="18"/>
      <c r="Q1223" s="34"/>
      <c r="R1223" s="18"/>
      <c r="S1223" s="18"/>
      <c r="T1223" s="19" t="s">
        <v>1243</v>
      </c>
      <c r="U1223" s="9" t="str">
        <f t="shared" si="1"/>
        <v>NSE:DOLATALGO</v>
      </c>
      <c r="V1223" s="18"/>
      <c r="W1223" s="18"/>
      <c r="X1223" s="18"/>
    </row>
    <row r="1224">
      <c r="A1224" s="20"/>
      <c r="B1224" s="3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35"/>
      <c r="N1224" s="18"/>
      <c r="O1224" s="18"/>
      <c r="P1224" s="18"/>
      <c r="Q1224" s="34"/>
      <c r="R1224" s="18"/>
      <c r="S1224" s="18"/>
      <c r="T1224" s="19" t="s">
        <v>1244</v>
      </c>
      <c r="U1224" s="9" t="str">
        <f t="shared" si="1"/>
        <v>NSE:EBBETF0433</v>
      </c>
      <c r="V1224" s="18"/>
      <c r="W1224" s="18"/>
      <c r="X1224" s="18"/>
    </row>
    <row r="1225">
      <c r="A1225" s="20"/>
      <c r="B1225" s="3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35"/>
      <c r="N1225" s="18"/>
      <c r="O1225" s="18"/>
      <c r="P1225" s="18"/>
      <c r="Q1225" s="34"/>
      <c r="R1225" s="18"/>
      <c r="S1225" s="18"/>
      <c r="T1225" s="19" t="s">
        <v>1245</v>
      </c>
      <c r="U1225" s="9" t="str">
        <f t="shared" si="1"/>
        <v>NSE:CARRARO</v>
      </c>
      <c r="V1225" s="18"/>
      <c r="W1225" s="18"/>
      <c r="X1225" s="18"/>
    </row>
    <row r="1226">
      <c r="A1226" s="20"/>
      <c r="B1226" s="3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35"/>
      <c r="N1226" s="18"/>
      <c r="O1226" s="18"/>
      <c r="P1226" s="18"/>
      <c r="Q1226" s="34"/>
      <c r="R1226" s="18"/>
      <c r="S1226" s="18"/>
      <c r="T1226" s="19" t="s">
        <v>1246</v>
      </c>
      <c r="U1226" s="9" t="str">
        <f t="shared" si="1"/>
        <v>NSE:SUNDARMHLD</v>
      </c>
      <c r="V1226" s="18"/>
      <c r="W1226" s="18"/>
      <c r="X1226" s="18"/>
    </row>
    <row r="1227">
      <c r="A1227" s="20"/>
      <c r="B1227" s="3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35"/>
      <c r="N1227" s="18"/>
      <c r="O1227" s="18"/>
      <c r="P1227" s="18"/>
      <c r="Q1227" s="34"/>
      <c r="R1227" s="18"/>
      <c r="S1227" s="18"/>
      <c r="T1227" s="19" t="s">
        <v>1247</v>
      </c>
      <c r="U1227" s="9" t="str">
        <f t="shared" si="1"/>
        <v>NSE:MOMENTUM50</v>
      </c>
      <c r="V1227" s="18"/>
      <c r="W1227" s="18"/>
      <c r="X1227" s="18"/>
    </row>
    <row r="1228">
      <c r="A1228" s="20"/>
      <c r="B1228" s="3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35"/>
      <c r="N1228" s="18"/>
      <c r="O1228" s="18"/>
      <c r="P1228" s="18"/>
      <c r="Q1228" s="34"/>
      <c r="R1228" s="18"/>
      <c r="S1228" s="18"/>
      <c r="T1228" s="19" t="s">
        <v>1248</v>
      </c>
      <c r="U1228" s="9" t="str">
        <f t="shared" si="1"/>
        <v>NSE:INDSWFTLAB</v>
      </c>
      <c r="V1228" s="18"/>
      <c r="W1228" s="18"/>
      <c r="X1228" s="18"/>
    </row>
    <row r="1229">
      <c r="A1229" s="20"/>
      <c r="B1229" s="3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35"/>
      <c r="N1229" s="18"/>
      <c r="O1229" s="18"/>
      <c r="P1229" s="18"/>
      <c r="Q1229" s="34"/>
      <c r="R1229" s="18"/>
      <c r="S1229" s="18"/>
      <c r="T1229" s="19" t="s">
        <v>1249</v>
      </c>
      <c r="U1229" s="9" t="str">
        <f t="shared" si="1"/>
        <v>NSE:ABSLBANETF</v>
      </c>
      <c r="V1229" s="18"/>
      <c r="W1229" s="18"/>
      <c r="X1229" s="18"/>
    </row>
    <row r="1230">
      <c r="A1230" s="20"/>
      <c r="B1230" s="3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35"/>
      <c r="N1230" s="18"/>
      <c r="O1230" s="18"/>
      <c r="P1230" s="18"/>
      <c r="Q1230" s="34"/>
      <c r="R1230" s="18"/>
      <c r="S1230" s="18"/>
      <c r="T1230" s="19" t="s">
        <v>1250</v>
      </c>
      <c r="U1230" s="9" t="str">
        <f t="shared" si="1"/>
        <v>NSE:APOLLOPIPE</v>
      </c>
      <c r="V1230" s="18"/>
      <c r="W1230" s="18"/>
      <c r="X1230" s="18"/>
    </row>
    <row r="1231">
      <c r="A1231" s="20"/>
      <c r="B1231" s="3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35"/>
      <c r="N1231" s="18"/>
      <c r="O1231" s="18"/>
      <c r="P1231" s="18"/>
      <c r="Q1231" s="34"/>
      <c r="R1231" s="18"/>
      <c r="S1231" s="18"/>
      <c r="T1231" s="19" t="s">
        <v>1251</v>
      </c>
      <c r="U1231" s="9" t="str">
        <f t="shared" si="1"/>
        <v>NSE:GOLDCASE</v>
      </c>
      <c r="V1231" s="18"/>
      <c r="W1231" s="18"/>
      <c r="X1231" s="18"/>
    </row>
    <row r="1232">
      <c r="A1232" s="20"/>
      <c r="B1232" s="3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35"/>
      <c r="N1232" s="18"/>
      <c r="O1232" s="18"/>
      <c r="P1232" s="18"/>
      <c r="Q1232" s="34"/>
      <c r="R1232" s="18"/>
      <c r="S1232" s="18"/>
      <c r="T1232" s="19" t="s">
        <v>1252</v>
      </c>
      <c r="U1232" s="9" t="str">
        <f t="shared" si="1"/>
        <v>NSE:PPL</v>
      </c>
      <c r="V1232" s="18"/>
      <c r="W1232" s="18"/>
      <c r="X1232" s="18"/>
    </row>
    <row r="1233">
      <c r="A1233" s="20"/>
      <c r="B1233" s="3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35"/>
      <c r="N1233" s="18"/>
      <c r="O1233" s="18"/>
      <c r="P1233" s="18"/>
      <c r="Q1233" s="34"/>
      <c r="R1233" s="18"/>
      <c r="S1233" s="18"/>
      <c r="T1233" s="19" t="s">
        <v>1253</v>
      </c>
      <c r="U1233" s="9" t="str">
        <f t="shared" si="1"/>
        <v>NSE:VALIANTORG</v>
      </c>
      <c r="V1233" s="18"/>
      <c r="W1233" s="18"/>
      <c r="X1233" s="18"/>
    </row>
    <row r="1234">
      <c r="A1234" s="20"/>
      <c r="B1234" s="3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35"/>
      <c r="N1234" s="18"/>
      <c r="O1234" s="18"/>
      <c r="P1234" s="18"/>
      <c r="Q1234" s="34"/>
      <c r="R1234" s="18"/>
      <c r="S1234" s="18"/>
      <c r="T1234" s="19" t="s">
        <v>1254</v>
      </c>
      <c r="U1234" s="9" t="str">
        <f t="shared" si="1"/>
        <v>NSE:TMB</v>
      </c>
      <c r="V1234" s="18"/>
      <c r="W1234" s="18"/>
      <c r="X1234" s="18"/>
    </row>
    <row r="1235">
      <c r="A1235" s="20"/>
      <c r="B1235" s="3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35"/>
      <c r="N1235" s="18"/>
      <c r="O1235" s="18"/>
      <c r="P1235" s="18"/>
      <c r="Q1235" s="34"/>
      <c r="R1235" s="18"/>
      <c r="S1235" s="18"/>
      <c r="T1235" s="19" t="s">
        <v>1255</v>
      </c>
      <c r="U1235" s="9" t="str">
        <f t="shared" si="1"/>
        <v>NSE:LYKALABS</v>
      </c>
      <c r="V1235" s="18"/>
      <c r="W1235" s="18"/>
      <c r="X1235" s="18"/>
    </row>
    <row r="1236">
      <c r="A1236" s="20"/>
      <c r="B1236" s="3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35"/>
      <c r="N1236" s="18"/>
      <c r="O1236" s="18"/>
      <c r="P1236" s="18"/>
      <c r="Q1236" s="34"/>
      <c r="R1236" s="18"/>
      <c r="S1236" s="18"/>
      <c r="T1236" s="19" t="s">
        <v>1256</v>
      </c>
      <c r="U1236" s="9" t="str">
        <f t="shared" si="1"/>
        <v>NSE:GPTINFRA</v>
      </c>
      <c r="V1236" s="18"/>
      <c r="W1236" s="18"/>
      <c r="X1236" s="18"/>
    </row>
    <row r="1237">
      <c r="A1237" s="20"/>
      <c r="B1237" s="3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35"/>
      <c r="N1237" s="18"/>
      <c r="O1237" s="18"/>
      <c r="P1237" s="18"/>
      <c r="Q1237" s="34"/>
      <c r="R1237" s="18"/>
      <c r="S1237" s="18"/>
      <c r="T1237" s="19" t="s">
        <v>1257</v>
      </c>
      <c r="U1237" s="9" t="str">
        <f t="shared" si="1"/>
        <v>NSE:DIVOPPBEES</v>
      </c>
      <c r="V1237" s="18"/>
      <c r="W1237" s="18"/>
      <c r="X1237" s="18"/>
    </row>
    <row r="1238">
      <c r="A1238" s="20"/>
      <c r="B1238" s="3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35"/>
      <c r="N1238" s="18"/>
      <c r="O1238" s="18"/>
      <c r="P1238" s="18"/>
      <c r="Q1238" s="34"/>
      <c r="R1238" s="18"/>
      <c r="S1238" s="18"/>
      <c r="T1238" s="19" t="s">
        <v>1258</v>
      </c>
      <c r="U1238" s="9" t="str">
        <f t="shared" si="1"/>
        <v>NSE:GANESHBE</v>
      </c>
      <c r="V1238" s="18"/>
      <c r="W1238" s="18"/>
      <c r="X1238" s="18"/>
    </row>
    <row r="1239">
      <c r="A1239" s="20"/>
      <c r="B1239" s="3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35"/>
      <c r="N1239" s="18"/>
      <c r="O1239" s="18"/>
      <c r="P1239" s="18"/>
      <c r="Q1239" s="34"/>
      <c r="R1239" s="18"/>
      <c r="S1239" s="18"/>
      <c r="T1239" s="19" t="s">
        <v>1259</v>
      </c>
      <c r="U1239" s="9" t="str">
        <f t="shared" si="1"/>
        <v>NSE:ANDHRSUGAR</v>
      </c>
      <c r="V1239" s="18"/>
      <c r="W1239" s="18"/>
      <c r="X1239" s="18"/>
    </row>
    <row r="1240">
      <c r="A1240" s="20"/>
      <c r="B1240" s="3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35"/>
      <c r="N1240" s="18"/>
      <c r="O1240" s="18"/>
      <c r="P1240" s="18"/>
      <c r="Q1240" s="34"/>
      <c r="R1240" s="18"/>
      <c r="S1240" s="18"/>
      <c r="T1240" s="19" t="s">
        <v>1260</v>
      </c>
      <c r="U1240" s="9" t="str">
        <f t="shared" si="1"/>
        <v>NSE:AURUM</v>
      </c>
      <c r="V1240" s="18"/>
      <c r="W1240" s="18"/>
      <c r="X1240" s="18"/>
    </row>
    <row r="1241">
      <c r="A1241" s="20"/>
      <c r="B1241" s="3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35"/>
      <c r="N1241" s="18"/>
      <c r="O1241" s="18"/>
      <c r="P1241" s="18"/>
      <c r="Q1241" s="34"/>
      <c r="R1241" s="18"/>
      <c r="S1241" s="18"/>
      <c r="T1241" s="19" t="s">
        <v>1261</v>
      </c>
      <c r="U1241" s="9" t="str">
        <f t="shared" si="1"/>
        <v>NSE:GNA</v>
      </c>
      <c r="V1241" s="18"/>
      <c r="W1241" s="18"/>
      <c r="X1241" s="18"/>
    </row>
    <row r="1242">
      <c r="A1242" s="20"/>
      <c r="B1242" s="3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35"/>
      <c r="N1242" s="18"/>
      <c r="O1242" s="18"/>
      <c r="P1242" s="18"/>
      <c r="Q1242" s="34"/>
      <c r="R1242" s="18"/>
      <c r="S1242" s="18"/>
      <c r="T1242" s="19" t="s">
        <v>1262</v>
      </c>
      <c r="U1242" s="9" t="str">
        <f t="shared" si="1"/>
        <v>NSE:SUBROS</v>
      </c>
      <c r="V1242" s="18"/>
      <c r="W1242" s="18"/>
      <c r="X1242" s="18"/>
    </row>
    <row r="1243">
      <c r="A1243" s="20"/>
      <c r="B1243" s="3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35"/>
      <c r="N1243" s="18"/>
      <c r="O1243" s="18"/>
      <c r="P1243" s="18"/>
      <c r="Q1243" s="34"/>
      <c r="R1243" s="18"/>
      <c r="S1243" s="18"/>
      <c r="T1243" s="19" t="s">
        <v>1263</v>
      </c>
      <c r="U1243" s="9" t="str">
        <f t="shared" si="1"/>
        <v>NSE:DBCORP</v>
      </c>
      <c r="V1243" s="18"/>
      <c r="W1243" s="18"/>
      <c r="X1243" s="18"/>
    </row>
    <row r="1244">
      <c r="A1244" s="20"/>
      <c r="B1244" s="3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35"/>
      <c r="N1244" s="18"/>
      <c r="O1244" s="18"/>
      <c r="P1244" s="18"/>
      <c r="Q1244" s="34"/>
      <c r="R1244" s="18"/>
      <c r="S1244" s="18"/>
      <c r="T1244" s="19" t="s">
        <v>1264</v>
      </c>
      <c r="U1244" s="9" t="str">
        <f t="shared" si="1"/>
        <v>NSE:SHREDIGCEM</v>
      </c>
      <c r="V1244" s="18"/>
      <c r="W1244" s="18"/>
      <c r="X1244" s="18"/>
    </row>
    <row r="1245">
      <c r="A1245" s="20"/>
      <c r="B1245" s="3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35"/>
      <c r="N1245" s="18"/>
      <c r="O1245" s="18"/>
      <c r="P1245" s="18"/>
      <c r="Q1245" s="34"/>
      <c r="R1245" s="18"/>
      <c r="S1245" s="18"/>
      <c r="T1245" s="19" t="s">
        <v>1265</v>
      </c>
      <c r="U1245" s="9" t="str">
        <f t="shared" si="1"/>
        <v>NSE:THEMISMED</v>
      </c>
      <c r="V1245" s="18"/>
      <c r="W1245" s="18"/>
      <c r="X1245" s="18"/>
    </row>
    <row r="1246">
      <c r="A1246" s="20"/>
      <c r="B1246" s="3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35"/>
      <c r="N1246" s="18"/>
      <c r="O1246" s="18"/>
      <c r="P1246" s="18"/>
      <c r="Q1246" s="34"/>
      <c r="R1246" s="18"/>
      <c r="S1246" s="18"/>
      <c r="T1246" s="19" t="s">
        <v>1266</v>
      </c>
      <c r="U1246" s="9" t="str">
        <f t="shared" si="1"/>
        <v>NSE:ASIANENE</v>
      </c>
      <c r="V1246" s="18"/>
      <c r="W1246" s="18"/>
      <c r="X1246" s="18"/>
    </row>
    <row r="1247">
      <c r="A1247" s="20"/>
      <c r="B1247" s="3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35"/>
      <c r="N1247" s="18"/>
      <c r="O1247" s="18"/>
      <c r="P1247" s="18"/>
      <c r="Q1247" s="34"/>
      <c r="R1247" s="18"/>
      <c r="S1247" s="18"/>
      <c r="T1247" s="19" t="s">
        <v>1267</v>
      </c>
      <c r="U1247" s="9" t="str">
        <f t="shared" si="1"/>
        <v>NSE:CONTROLPR</v>
      </c>
      <c r="V1247" s="18"/>
      <c r="W1247" s="18"/>
      <c r="X1247" s="18"/>
    </row>
    <row r="1248">
      <c r="A1248" s="20"/>
      <c r="B1248" s="3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35"/>
      <c r="N1248" s="18"/>
      <c r="O1248" s="18"/>
      <c r="P1248" s="18"/>
      <c r="Q1248" s="34"/>
      <c r="R1248" s="18"/>
      <c r="S1248" s="18"/>
      <c r="T1248" s="19" t="s">
        <v>1268</v>
      </c>
      <c r="U1248" s="9" t="str">
        <f t="shared" si="1"/>
        <v>NSE:MONQ50</v>
      </c>
      <c r="V1248" s="18"/>
      <c r="W1248" s="18"/>
      <c r="X1248" s="18"/>
    </row>
    <row r="1249">
      <c r="A1249" s="20"/>
      <c r="B1249" s="3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35"/>
      <c r="N1249" s="18"/>
      <c r="O1249" s="18"/>
      <c r="P1249" s="18"/>
      <c r="Q1249" s="34"/>
      <c r="R1249" s="18"/>
      <c r="S1249" s="18"/>
      <c r="T1249" s="19" t="s">
        <v>1269</v>
      </c>
      <c r="U1249" s="9" t="str">
        <f t="shared" si="1"/>
        <v>NSE:SASTASUNDR</v>
      </c>
      <c r="V1249" s="18"/>
      <c r="W1249" s="18"/>
      <c r="X1249" s="18"/>
    </row>
    <row r="1250">
      <c r="A1250" s="20"/>
      <c r="B1250" s="3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35"/>
      <c r="N1250" s="18"/>
      <c r="O1250" s="18"/>
      <c r="P1250" s="18"/>
      <c r="Q1250" s="34"/>
      <c r="R1250" s="18"/>
      <c r="S1250" s="18"/>
      <c r="T1250" s="19" t="s">
        <v>1270</v>
      </c>
      <c r="U1250" s="9" t="str">
        <f t="shared" si="1"/>
        <v>NSE:NUCLEUS</v>
      </c>
      <c r="V1250" s="18"/>
      <c r="W1250" s="18"/>
      <c r="X1250" s="18"/>
    </row>
    <row r="1251">
      <c r="A1251" s="20"/>
      <c r="B1251" s="3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35"/>
      <c r="N1251" s="18"/>
      <c r="O1251" s="18"/>
      <c r="P1251" s="18"/>
      <c r="Q1251" s="34"/>
      <c r="R1251" s="18"/>
      <c r="S1251" s="18"/>
      <c r="T1251" s="19" t="s">
        <v>1271</v>
      </c>
      <c r="U1251" s="9" t="str">
        <f t="shared" si="1"/>
        <v>NSE:MOREALTY</v>
      </c>
      <c r="V1251" s="18"/>
      <c r="W1251" s="18"/>
      <c r="X1251" s="18"/>
    </row>
    <row r="1252">
      <c r="A1252" s="20"/>
      <c r="B1252" s="3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35"/>
      <c r="N1252" s="18"/>
      <c r="O1252" s="18"/>
      <c r="P1252" s="18"/>
      <c r="Q1252" s="34"/>
      <c r="R1252" s="18"/>
      <c r="S1252" s="18"/>
      <c r="T1252" s="19" t="s">
        <v>1272</v>
      </c>
      <c r="U1252" s="9" t="str">
        <f t="shared" si="1"/>
        <v>NSE:SPECIALITY</v>
      </c>
      <c r="V1252" s="18"/>
      <c r="W1252" s="18"/>
      <c r="X1252" s="18"/>
    </row>
    <row r="1253">
      <c r="A1253" s="20"/>
      <c r="B1253" s="3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35"/>
      <c r="N1253" s="18"/>
      <c r="O1253" s="18"/>
      <c r="P1253" s="18"/>
      <c r="Q1253" s="34"/>
      <c r="R1253" s="18"/>
      <c r="S1253" s="18"/>
      <c r="T1253" s="19" t="s">
        <v>1273</v>
      </c>
      <c r="U1253" s="9" t="str">
        <f t="shared" si="1"/>
        <v>NSE:ZUARI</v>
      </c>
      <c r="V1253" s="18"/>
      <c r="W1253" s="18"/>
      <c r="X1253" s="18"/>
    </row>
    <row r="1254">
      <c r="A1254" s="20"/>
      <c r="B1254" s="3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35"/>
      <c r="N1254" s="18"/>
      <c r="O1254" s="18"/>
      <c r="P1254" s="18"/>
      <c r="Q1254" s="34"/>
      <c r="R1254" s="18"/>
      <c r="S1254" s="18"/>
      <c r="T1254" s="19" t="s">
        <v>1274</v>
      </c>
      <c r="U1254" s="9" t="str">
        <f t="shared" si="1"/>
        <v>NSE:VEEDOL</v>
      </c>
      <c r="V1254" s="18"/>
      <c r="W1254" s="18"/>
      <c r="X1254" s="18"/>
    </row>
    <row r="1255">
      <c r="A1255" s="20"/>
      <c r="B1255" s="3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35"/>
      <c r="N1255" s="18"/>
      <c r="O1255" s="18"/>
      <c r="P1255" s="18"/>
      <c r="Q1255" s="34"/>
      <c r="R1255" s="18"/>
      <c r="S1255" s="18"/>
      <c r="T1255" s="19" t="s">
        <v>1275</v>
      </c>
      <c r="U1255" s="9" t="str">
        <f t="shared" si="1"/>
        <v>NSE:RKSWAMY</v>
      </c>
      <c r="V1255" s="18"/>
      <c r="W1255" s="18"/>
      <c r="X1255" s="18"/>
    </row>
    <row r="1256">
      <c r="A1256" s="20"/>
      <c r="B1256" s="3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35"/>
      <c r="N1256" s="18"/>
      <c r="O1256" s="18"/>
      <c r="P1256" s="18"/>
      <c r="Q1256" s="34"/>
      <c r="R1256" s="18"/>
      <c r="S1256" s="18"/>
      <c r="T1256" s="19" t="s">
        <v>1276</v>
      </c>
      <c r="U1256" s="9" t="str">
        <f t="shared" si="1"/>
        <v>NSE:OMAXE</v>
      </c>
      <c r="V1256" s="18"/>
      <c r="W1256" s="18"/>
      <c r="X1256" s="18"/>
    </row>
    <row r="1257">
      <c r="A1257" s="20"/>
      <c r="B1257" s="3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35"/>
      <c r="N1257" s="18"/>
      <c r="O1257" s="18"/>
      <c r="P1257" s="18"/>
      <c r="Q1257" s="34"/>
      <c r="R1257" s="18"/>
      <c r="S1257" s="18"/>
      <c r="T1257" s="19" t="s">
        <v>1277</v>
      </c>
      <c r="U1257" s="9" t="str">
        <f t="shared" si="1"/>
        <v>NSE:DAVANGERE</v>
      </c>
      <c r="V1257" s="18"/>
      <c r="W1257" s="18"/>
      <c r="X1257" s="18"/>
    </row>
    <row r="1258">
      <c r="A1258" s="20"/>
      <c r="B1258" s="3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35"/>
      <c r="N1258" s="18"/>
      <c r="O1258" s="18"/>
      <c r="P1258" s="18"/>
      <c r="Q1258" s="34"/>
      <c r="R1258" s="18"/>
      <c r="S1258" s="18"/>
      <c r="T1258" s="19" t="s">
        <v>1278</v>
      </c>
      <c r="U1258" s="9" t="str">
        <f t="shared" si="1"/>
        <v>NSE:MANALIPETC</v>
      </c>
      <c r="V1258" s="18"/>
      <c r="W1258" s="18"/>
      <c r="X1258" s="18"/>
    </row>
    <row r="1259">
      <c r="A1259" s="20"/>
      <c r="B1259" s="3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35"/>
      <c r="N1259" s="18"/>
      <c r="O1259" s="18"/>
      <c r="P1259" s="18"/>
      <c r="Q1259" s="34"/>
      <c r="R1259" s="18"/>
      <c r="S1259" s="18"/>
      <c r="T1259" s="19" t="s">
        <v>1279</v>
      </c>
      <c r="U1259" s="9" t="str">
        <f t="shared" si="1"/>
        <v>NSE:STOVEKRAFT</v>
      </c>
      <c r="V1259" s="18"/>
      <c r="W1259" s="18"/>
      <c r="X1259" s="18"/>
    </row>
    <row r="1260">
      <c r="A1260" s="20"/>
      <c r="B1260" s="3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35"/>
      <c r="N1260" s="18"/>
      <c r="O1260" s="18"/>
      <c r="P1260" s="18"/>
      <c r="Q1260" s="34"/>
      <c r="R1260" s="18"/>
      <c r="S1260" s="18"/>
      <c r="T1260" s="19" t="s">
        <v>1280</v>
      </c>
      <c r="U1260" s="9" t="str">
        <f t="shared" si="1"/>
        <v>NSE:FEDFINA</v>
      </c>
      <c r="V1260" s="18"/>
      <c r="W1260" s="18"/>
      <c r="X1260" s="18"/>
    </row>
    <row r="1261">
      <c r="A1261" s="20"/>
      <c r="B1261" s="3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35"/>
      <c r="N1261" s="18"/>
      <c r="O1261" s="18"/>
      <c r="P1261" s="18"/>
      <c r="Q1261" s="34"/>
      <c r="R1261" s="18"/>
      <c r="S1261" s="18"/>
      <c r="T1261" s="19" t="s">
        <v>1281</v>
      </c>
      <c r="U1261" s="9" t="str">
        <f t="shared" si="1"/>
        <v>NSE:SPENCERS</v>
      </c>
      <c r="V1261" s="18"/>
      <c r="W1261" s="18"/>
      <c r="X1261" s="18"/>
    </row>
    <row r="1262">
      <c r="A1262" s="20"/>
      <c r="B1262" s="3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35"/>
      <c r="N1262" s="18"/>
      <c r="O1262" s="18"/>
      <c r="P1262" s="18"/>
      <c r="Q1262" s="34"/>
      <c r="R1262" s="18"/>
      <c r="S1262" s="18"/>
      <c r="T1262" s="19" t="s">
        <v>1282</v>
      </c>
      <c r="U1262" s="9" t="str">
        <f t="shared" si="1"/>
        <v>NSE:AFIL</v>
      </c>
      <c r="V1262" s="18"/>
      <c r="W1262" s="18"/>
      <c r="X1262" s="18"/>
    </row>
    <row r="1263">
      <c r="A1263" s="20"/>
      <c r="B1263" s="3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35"/>
      <c r="N1263" s="18"/>
      <c r="O1263" s="18"/>
      <c r="P1263" s="18"/>
      <c r="Q1263" s="34"/>
      <c r="R1263" s="18"/>
      <c r="S1263" s="18"/>
      <c r="T1263" s="19" t="s">
        <v>1283</v>
      </c>
      <c r="U1263" s="9" t="str">
        <f t="shared" si="1"/>
        <v>NSE:RBZJEWEL</v>
      </c>
      <c r="V1263" s="18"/>
      <c r="W1263" s="18"/>
      <c r="X1263" s="18"/>
    </row>
    <row r="1264">
      <c r="A1264" s="20"/>
      <c r="B1264" s="3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35"/>
      <c r="N1264" s="18"/>
      <c r="O1264" s="18"/>
      <c r="P1264" s="18"/>
      <c r="Q1264" s="34"/>
      <c r="R1264" s="18"/>
      <c r="S1264" s="18"/>
      <c r="T1264" s="19" t="s">
        <v>1284</v>
      </c>
      <c r="U1264" s="9" t="str">
        <f t="shared" si="1"/>
        <v>NSE:GRPLTD</v>
      </c>
      <c r="V1264" s="18"/>
      <c r="W1264" s="18"/>
      <c r="X1264" s="18"/>
    </row>
    <row r="1265">
      <c r="A1265" s="20"/>
      <c r="B1265" s="3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35"/>
      <c r="N1265" s="18"/>
      <c r="O1265" s="18"/>
      <c r="P1265" s="18"/>
      <c r="Q1265" s="34"/>
      <c r="R1265" s="18"/>
      <c r="S1265" s="18"/>
      <c r="T1265" s="19" t="s">
        <v>1285</v>
      </c>
      <c r="U1265" s="9" t="str">
        <f t="shared" si="1"/>
        <v>NSE:SOMANYCERA</v>
      </c>
      <c r="V1265" s="18"/>
      <c r="W1265" s="18"/>
      <c r="X1265" s="18"/>
    </row>
    <row r="1266">
      <c r="A1266" s="20"/>
      <c r="B1266" s="3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35"/>
      <c r="N1266" s="18"/>
      <c r="O1266" s="18"/>
      <c r="P1266" s="18"/>
      <c r="Q1266" s="34"/>
      <c r="R1266" s="18"/>
      <c r="S1266" s="18"/>
      <c r="T1266" s="19" t="s">
        <v>1286</v>
      </c>
      <c r="U1266" s="9" t="str">
        <f t="shared" si="1"/>
        <v>NSE:SHREEPUSHK</v>
      </c>
      <c r="V1266" s="18"/>
      <c r="W1266" s="18"/>
      <c r="X1266" s="18"/>
    </row>
    <row r="1267">
      <c r="A1267" s="20"/>
      <c r="B1267" s="3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35"/>
      <c r="N1267" s="18"/>
      <c r="O1267" s="18"/>
      <c r="P1267" s="18"/>
      <c r="Q1267" s="34"/>
      <c r="R1267" s="18"/>
      <c r="S1267" s="18"/>
      <c r="T1267" s="19" t="s">
        <v>1287</v>
      </c>
      <c r="U1267" s="9" t="str">
        <f t="shared" si="1"/>
        <v>NSE:KABRAEXTRU</v>
      </c>
      <c r="V1267" s="18"/>
      <c r="W1267" s="18"/>
      <c r="X1267" s="18"/>
    </row>
    <row r="1268">
      <c r="A1268" s="20"/>
      <c r="B1268" s="3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35"/>
      <c r="N1268" s="18"/>
      <c r="O1268" s="18"/>
      <c r="P1268" s="18"/>
      <c r="Q1268" s="34"/>
      <c r="R1268" s="18"/>
      <c r="S1268" s="18"/>
      <c r="T1268" s="19" t="s">
        <v>1288</v>
      </c>
      <c r="U1268" s="9" t="str">
        <f t="shared" si="1"/>
        <v>NSE:BHARATRAS</v>
      </c>
      <c r="V1268" s="18"/>
      <c r="W1268" s="18"/>
      <c r="X1268" s="18"/>
    </row>
    <row r="1269">
      <c r="A1269" s="20"/>
      <c r="B1269" s="3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35"/>
      <c r="N1269" s="18"/>
      <c r="O1269" s="18"/>
      <c r="P1269" s="18"/>
      <c r="Q1269" s="34"/>
      <c r="R1269" s="18"/>
      <c r="S1269" s="18"/>
      <c r="T1269" s="19" t="s">
        <v>1289</v>
      </c>
      <c r="U1269" s="9" t="str">
        <f t="shared" si="1"/>
        <v>NSE:RPEL</v>
      </c>
      <c r="V1269" s="18"/>
      <c r="W1269" s="18"/>
      <c r="X1269" s="18"/>
    </row>
    <row r="1270">
      <c r="A1270" s="20"/>
      <c r="B1270" s="3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35"/>
      <c r="N1270" s="18"/>
      <c r="O1270" s="18"/>
      <c r="P1270" s="18"/>
      <c r="Q1270" s="34"/>
      <c r="R1270" s="18"/>
      <c r="S1270" s="18"/>
      <c r="T1270" s="19" t="s">
        <v>1290</v>
      </c>
      <c r="U1270" s="9" t="str">
        <f t="shared" si="1"/>
        <v>NSE:SETFNIFBK</v>
      </c>
      <c r="V1270" s="18"/>
      <c r="W1270" s="18"/>
      <c r="X1270" s="18"/>
    </row>
    <row r="1271">
      <c r="A1271" s="20"/>
      <c r="B1271" s="3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35"/>
      <c r="N1271" s="18"/>
      <c r="O1271" s="18"/>
      <c r="P1271" s="18"/>
      <c r="Q1271" s="34"/>
      <c r="R1271" s="18"/>
      <c r="S1271" s="18"/>
      <c r="T1271" s="19" t="s">
        <v>1291</v>
      </c>
      <c r="U1271" s="9" t="str">
        <f t="shared" si="1"/>
        <v>NSE:MUFIN</v>
      </c>
      <c r="V1271" s="18"/>
      <c r="W1271" s="18"/>
      <c r="X1271" s="18"/>
    </row>
    <row r="1272">
      <c r="A1272" s="20"/>
      <c r="B1272" s="3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35"/>
      <c r="N1272" s="18"/>
      <c r="O1272" s="18"/>
      <c r="P1272" s="18"/>
      <c r="Q1272" s="34"/>
      <c r="R1272" s="18"/>
      <c r="S1272" s="18"/>
      <c r="T1272" s="19" t="s">
        <v>1292</v>
      </c>
      <c r="U1272" s="9" t="str">
        <f t="shared" si="1"/>
        <v>NSE:RUSHIL</v>
      </c>
      <c r="V1272" s="18"/>
      <c r="W1272" s="18"/>
      <c r="X1272" s="18"/>
    </row>
    <row r="1273">
      <c r="A1273" s="20"/>
      <c r="B1273" s="3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35"/>
      <c r="N1273" s="18"/>
      <c r="O1273" s="18"/>
      <c r="P1273" s="18"/>
      <c r="Q1273" s="34"/>
      <c r="R1273" s="18"/>
      <c r="S1273" s="18"/>
      <c r="T1273" s="19" t="s">
        <v>1293</v>
      </c>
      <c r="U1273" s="9" t="str">
        <f t="shared" si="1"/>
        <v>NSE:SUMMITSEC</v>
      </c>
      <c r="V1273" s="18"/>
      <c r="W1273" s="18"/>
      <c r="X1273" s="18"/>
    </row>
    <row r="1274">
      <c r="A1274" s="20"/>
      <c r="B1274" s="3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35"/>
      <c r="N1274" s="18"/>
      <c r="O1274" s="18"/>
      <c r="P1274" s="18"/>
      <c r="Q1274" s="34"/>
      <c r="R1274" s="18"/>
      <c r="S1274" s="18"/>
      <c r="T1274" s="19" t="s">
        <v>1294</v>
      </c>
      <c r="U1274" s="9" t="str">
        <f t="shared" si="1"/>
        <v>NSE:PYRAMID</v>
      </c>
      <c r="V1274" s="18"/>
      <c r="W1274" s="18"/>
      <c r="X1274" s="18"/>
    </row>
    <row r="1275">
      <c r="A1275" s="20"/>
      <c r="B1275" s="3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35"/>
      <c r="N1275" s="18"/>
      <c r="O1275" s="18"/>
      <c r="P1275" s="18"/>
      <c r="Q1275" s="34"/>
      <c r="R1275" s="18"/>
      <c r="S1275" s="18"/>
      <c r="T1275" s="19" t="s">
        <v>1295</v>
      </c>
      <c r="U1275" s="9" t="str">
        <f t="shared" si="1"/>
        <v>NSE:EBBETF0430</v>
      </c>
      <c r="V1275" s="18"/>
      <c r="W1275" s="18"/>
      <c r="X1275" s="18"/>
    </row>
    <row r="1276">
      <c r="A1276" s="20"/>
      <c r="B1276" s="3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35"/>
      <c r="N1276" s="18"/>
      <c r="O1276" s="18"/>
      <c r="P1276" s="18"/>
      <c r="Q1276" s="34"/>
      <c r="R1276" s="18"/>
      <c r="S1276" s="18"/>
      <c r="T1276" s="19" t="s">
        <v>1296</v>
      </c>
      <c r="U1276" s="9" t="str">
        <f t="shared" si="1"/>
        <v>NSE:KIRLOSIND</v>
      </c>
      <c r="V1276" s="18"/>
      <c r="W1276" s="18"/>
      <c r="X1276" s="18"/>
    </row>
    <row r="1277">
      <c r="A1277" s="20"/>
      <c r="B1277" s="3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35"/>
      <c r="N1277" s="18"/>
      <c r="O1277" s="18"/>
      <c r="P1277" s="18"/>
      <c r="Q1277" s="34"/>
      <c r="R1277" s="18"/>
      <c r="S1277" s="18"/>
      <c r="T1277" s="19" t="s">
        <v>1297</v>
      </c>
      <c r="U1277" s="9" t="str">
        <f t="shared" si="1"/>
        <v>NSE:CHEMBOND</v>
      </c>
      <c r="V1277" s="18"/>
      <c r="W1277" s="18"/>
      <c r="X1277" s="18"/>
    </row>
    <row r="1278">
      <c r="A1278" s="20"/>
      <c r="B1278" s="3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35"/>
      <c r="N1278" s="18"/>
      <c r="O1278" s="18"/>
      <c r="P1278" s="18"/>
      <c r="Q1278" s="34"/>
      <c r="R1278" s="18"/>
      <c r="S1278" s="18"/>
      <c r="T1278" s="19" t="s">
        <v>1298</v>
      </c>
      <c r="U1278" s="9" t="str">
        <f t="shared" si="1"/>
        <v>NSE:VSTTILLERS</v>
      </c>
      <c r="V1278" s="18"/>
      <c r="W1278" s="18"/>
      <c r="X1278" s="18"/>
    </row>
    <row r="1279">
      <c r="A1279" s="20"/>
      <c r="B1279" s="3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35"/>
      <c r="N1279" s="18"/>
      <c r="O1279" s="18"/>
      <c r="P1279" s="18"/>
      <c r="Q1279" s="34"/>
      <c r="R1279" s="18"/>
      <c r="S1279" s="18"/>
      <c r="T1279" s="19" t="s">
        <v>1299</v>
      </c>
      <c r="U1279" s="9" t="str">
        <f t="shared" si="1"/>
        <v>NSE:FLAIR</v>
      </c>
      <c r="V1279" s="18"/>
      <c r="W1279" s="18"/>
      <c r="X1279" s="18"/>
    </row>
    <row r="1280">
      <c r="A1280" s="20"/>
      <c r="B1280" s="3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35"/>
      <c r="N1280" s="18"/>
      <c r="O1280" s="18"/>
      <c r="P1280" s="18"/>
      <c r="Q1280" s="34"/>
      <c r="R1280" s="18"/>
      <c r="S1280" s="18"/>
      <c r="T1280" s="19" t="s">
        <v>1300</v>
      </c>
      <c r="U1280" s="9" t="str">
        <f t="shared" si="1"/>
        <v>NSE:VSSL</v>
      </c>
      <c r="V1280" s="18"/>
      <c r="W1280" s="18"/>
      <c r="X1280" s="18"/>
    </row>
    <row r="1281">
      <c r="A1281" s="20"/>
      <c r="B1281" s="3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35"/>
      <c r="N1281" s="18"/>
      <c r="O1281" s="18"/>
      <c r="P1281" s="18"/>
      <c r="Q1281" s="34"/>
      <c r="R1281" s="18"/>
      <c r="S1281" s="18"/>
      <c r="T1281" s="19" t="s">
        <v>1301</v>
      </c>
      <c r="U1281" s="9" t="str">
        <f t="shared" si="1"/>
        <v>NSE:ARTEMISMED</v>
      </c>
      <c r="V1281" s="18"/>
      <c r="W1281" s="18"/>
      <c r="X1281" s="18"/>
    </row>
    <row r="1282">
      <c r="A1282" s="20"/>
      <c r="B1282" s="3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35"/>
      <c r="N1282" s="18"/>
      <c r="O1282" s="18"/>
      <c r="P1282" s="18"/>
      <c r="Q1282" s="34"/>
      <c r="R1282" s="18"/>
      <c r="S1282" s="18"/>
      <c r="T1282" s="19" t="s">
        <v>1302</v>
      </c>
      <c r="U1282" s="9" t="str">
        <f t="shared" si="1"/>
        <v>NSE:INFRABEES</v>
      </c>
      <c r="V1282" s="18"/>
      <c r="W1282" s="18"/>
      <c r="X1282" s="18"/>
    </row>
    <row r="1283">
      <c r="A1283" s="20"/>
      <c r="B1283" s="3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35"/>
      <c r="N1283" s="18"/>
      <c r="O1283" s="18"/>
      <c r="P1283" s="18"/>
      <c r="Q1283" s="34"/>
      <c r="R1283" s="18"/>
      <c r="S1283" s="18"/>
      <c r="T1283" s="19" t="s">
        <v>1303</v>
      </c>
      <c r="U1283" s="9" t="str">
        <f t="shared" si="1"/>
        <v>NSE:HARSHA</v>
      </c>
      <c r="V1283" s="18"/>
      <c r="W1283" s="18"/>
      <c r="X1283" s="18"/>
    </row>
    <row r="1284">
      <c r="A1284" s="20"/>
      <c r="B1284" s="3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35"/>
      <c r="N1284" s="18"/>
      <c r="O1284" s="18"/>
      <c r="P1284" s="18"/>
      <c r="Q1284" s="34"/>
      <c r="R1284" s="18"/>
      <c r="S1284" s="18"/>
      <c r="T1284" s="19" t="s">
        <v>1304</v>
      </c>
      <c r="U1284" s="9" t="str">
        <f t="shared" si="1"/>
        <v>NSE:KECL</v>
      </c>
      <c r="V1284" s="18"/>
      <c r="W1284" s="18"/>
      <c r="X1284" s="18"/>
    </row>
    <row r="1285">
      <c r="A1285" s="20"/>
      <c r="B1285" s="3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35"/>
      <c r="N1285" s="18"/>
      <c r="O1285" s="18"/>
      <c r="P1285" s="18"/>
      <c r="Q1285" s="34"/>
      <c r="R1285" s="18"/>
      <c r="S1285" s="18"/>
      <c r="T1285" s="19" t="s">
        <v>1305</v>
      </c>
      <c r="U1285" s="9" t="str">
        <f t="shared" si="1"/>
        <v>NSE:TTKHLTCARE</v>
      </c>
      <c r="V1285" s="18"/>
      <c r="W1285" s="18"/>
      <c r="X1285" s="18"/>
    </row>
    <row r="1286">
      <c r="A1286" s="20"/>
      <c r="B1286" s="3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35"/>
      <c r="N1286" s="18"/>
      <c r="O1286" s="18"/>
      <c r="P1286" s="18"/>
      <c r="Q1286" s="34"/>
      <c r="R1286" s="18"/>
      <c r="S1286" s="18"/>
      <c r="T1286" s="19" t="s">
        <v>1306</v>
      </c>
      <c r="U1286" s="9" t="str">
        <f t="shared" si="1"/>
        <v>NSE:NDL</v>
      </c>
      <c r="V1286" s="18"/>
      <c r="W1286" s="18"/>
      <c r="X1286" s="18"/>
    </row>
    <row r="1287">
      <c r="A1287" s="20"/>
      <c r="B1287" s="3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35"/>
      <c r="N1287" s="18"/>
      <c r="O1287" s="18"/>
      <c r="P1287" s="18"/>
      <c r="Q1287" s="34"/>
      <c r="R1287" s="18"/>
      <c r="S1287" s="18"/>
      <c r="T1287" s="19" t="s">
        <v>1307</v>
      </c>
      <c r="U1287" s="9" t="str">
        <f t="shared" si="1"/>
        <v>NSE:MOSMALL250</v>
      </c>
      <c r="V1287" s="18"/>
      <c r="W1287" s="18"/>
      <c r="X1287" s="18"/>
    </row>
    <row r="1288">
      <c r="A1288" s="20"/>
      <c r="B1288" s="3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35"/>
      <c r="N1288" s="18"/>
      <c r="O1288" s="18"/>
      <c r="P1288" s="18"/>
      <c r="Q1288" s="34"/>
      <c r="R1288" s="18"/>
      <c r="S1288" s="18"/>
      <c r="T1288" s="19" t="s">
        <v>1308</v>
      </c>
      <c r="U1288" s="9" t="str">
        <f t="shared" si="1"/>
        <v>NSE:JAGSNPHARM</v>
      </c>
      <c r="V1288" s="18"/>
      <c r="W1288" s="18"/>
      <c r="X1288" s="18"/>
    </row>
    <row r="1289">
      <c r="A1289" s="20"/>
      <c r="B1289" s="3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35"/>
      <c r="N1289" s="18"/>
      <c r="O1289" s="18"/>
      <c r="P1289" s="18"/>
      <c r="Q1289" s="34"/>
      <c r="R1289" s="18"/>
      <c r="S1289" s="18"/>
      <c r="T1289" s="19" t="s">
        <v>1309</v>
      </c>
      <c r="U1289" s="9" t="str">
        <f t="shared" si="1"/>
        <v>NSE:XCHANGING</v>
      </c>
      <c r="V1289" s="18"/>
      <c r="W1289" s="18"/>
      <c r="X1289" s="18"/>
    </row>
    <row r="1290">
      <c r="A1290" s="20"/>
      <c r="B1290" s="3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35"/>
      <c r="N1290" s="18"/>
      <c r="O1290" s="18"/>
      <c r="P1290" s="18"/>
      <c r="Q1290" s="34"/>
      <c r="R1290" s="18"/>
      <c r="S1290" s="18"/>
      <c r="T1290" s="19" t="s">
        <v>1310</v>
      </c>
      <c r="U1290" s="9" t="str">
        <f t="shared" si="1"/>
        <v>NSE:BANSALWIRE</v>
      </c>
      <c r="V1290" s="18"/>
      <c r="W1290" s="18"/>
      <c r="X1290" s="18"/>
    </row>
    <row r="1291">
      <c r="A1291" s="20"/>
      <c r="B1291" s="3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35"/>
      <c r="N1291" s="18"/>
      <c r="O1291" s="18"/>
      <c r="P1291" s="18"/>
      <c r="Q1291" s="34"/>
      <c r="R1291" s="18"/>
      <c r="S1291" s="18"/>
      <c r="T1291" s="19" t="s">
        <v>1311</v>
      </c>
      <c r="U1291" s="9" t="str">
        <f t="shared" si="1"/>
        <v>NSE:RAMCOIND</v>
      </c>
      <c r="V1291" s="18"/>
      <c r="W1291" s="18"/>
      <c r="X1291" s="18"/>
    </row>
    <row r="1292">
      <c r="A1292" s="20"/>
      <c r="B1292" s="3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35"/>
      <c r="N1292" s="18"/>
      <c r="O1292" s="18"/>
      <c r="P1292" s="18"/>
      <c r="Q1292" s="34"/>
      <c r="R1292" s="18"/>
      <c r="S1292" s="18"/>
      <c r="T1292" s="19" t="s">
        <v>1312</v>
      </c>
      <c r="U1292" s="9" t="str">
        <f t="shared" si="1"/>
        <v>NSE:ONMOBILE</v>
      </c>
      <c r="V1292" s="18"/>
      <c r="W1292" s="18"/>
      <c r="X1292" s="18"/>
    </row>
    <row r="1293">
      <c r="A1293" s="20"/>
      <c r="B1293" s="3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35"/>
      <c r="N1293" s="18"/>
      <c r="O1293" s="18"/>
      <c r="P1293" s="18"/>
      <c r="Q1293" s="34"/>
      <c r="R1293" s="18"/>
      <c r="S1293" s="18"/>
      <c r="T1293" s="19" t="s">
        <v>1313</v>
      </c>
      <c r="U1293" s="9" t="str">
        <f t="shared" si="1"/>
        <v>NSE:INDOAMIN</v>
      </c>
      <c r="V1293" s="18"/>
      <c r="W1293" s="18"/>
      <c r="X1293" s="18"/>
    </row>
    <row r="1294">
      <c r="A1294" s="20"/>
      <c r="B1294" s="3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35"/>
      <c r="N1294" s="18"/>
      <c r="O1294" s="18"/>
      <c r="P1294" s="18"/>
      <c r="Q1294" s="34"/>
      <c r="R1294" s="18"/>
      <c r="S1294" s="18"/>
      <c r="T1294" s="19" t="s">
        <v>1314</v>
      </c>
      <c r="U1294" s="9" t="str">
        <f t="shared" si="1"/>
        <v>NSE:PILANIINVS</v>
      </c>
      <c r="V1294" s="18"/>
      <c r="W1294" s="18"/>
      <c r="X1294" s="18"/>
    </row>
    <row r="1295">
      <c r="A1295" s="20"/>
      <c r="B1295" s="3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35"/>
      <c r="N1295" s="18"/>
      <c r="O1295" s="18"/>
      <c r="P1295" s="18"/>
      <c r="Q1295" s="34"/>
      <c r="R1295" s="18"/>
      <c r="S1295" s="18"/>
      <c r="T1295" s="19" t="s">
        <v>1315</v>
      </c>
      <c r="U1295" s="9" t="str">
        <f t="shared" si="1"/>
        <v>NSE:BIRLACABLE</v>
      </c>
      <c r="V1295" s="18"/>
      <c r="W1295" s="18"/>
      <c r="X1295" s="18"/>
    </row>
    <row r="1296">
      <c r="A1296" s="20"/>
      <c r="B1296" s="3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35"/>
      <c r="N1296" s="18"/>
      <c r="O1296" s="18"/>
      <c r="P1296" s="18"/>
      <c r="Q1296" s="34"/>
      <c r="R1296" s="18"/>
      <c r="S1296" s="18"/>
      <c r="T1296" s="19" t="s">
        <v>1316</v>
      </c>
      <c r="U1296" s="9" t="str">
        <f t="shared" si="1"/>
        <v>NSE:HMAAGRO</v>
      </c>
      <c r="V1296" s="18"/>
      <c r="W1296" s="18"/>
      <c r="X1296" s="18"/>
    </row>
    <row r="1297">
      <c r="A1297" s="20"/>
      <c r="B1297" s="3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35"/>
      <c r="N1297" s="18"/>
      <c r="O1297" s="18"/>
      <c r="P1297" s="18"/>
      <c r="Q1297" s="34"/>
      <c r="R1297" s="18"/>
      <c r="S1297" s="18"/>
      <c r="T1297" s="19" t="s">
        <v>1317</v>
      </c>
      <c r="U1297" s="9" t="str">
        <f t="shared" si="1"/>
        <v>NSE:NDRAUTO</v>
      </c>
      <c r="V1297" s="18"/>
      <c r="W1297" s="18"/>
      <c r="X1297" s="18"/>
    </row>
    <row r="1298">
      <c r="A1298" s="20"/>
      <c r="B1298" s="3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35"/>
      <c r="N1298" s="18"/>
      <c r="O1298" s="18"/>
      <c r="P1298" s="18"/>
      <c r="Q1298" s="34"/>
      <c r="R1298" s="18"/>
      <c r="S1298" s="18"/>
      <c r="T1298" s="19" t="s">
        <v>1318</v>
      </c>
      <c r="U1298" s="9" t="str">
        <f t="shared" si="1"/>
        <v>NSE:ABSLLIQUID</v>
      </c>
      <c r="V1298" s="18"/>
      <c r="W1298" s="18"/>
      <c r="X1298" s="18"/>
    </row>
    <row r="1299">
      <c r="A1299" s="20"/>
      <c r="B1299" s="3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35"/>
      <c r="N1299" s="18"/>
      <c r="O1299" s="18"/>
      <c r="P1299" s="18"/>
      <c r="Q1299" s="34"/>
      <c r="R1299" s="18"/>
      <c r="S1299" s="18"/>
      <c r="T1299" s="19" t="s">
        <v>1319</v>
      </c>
      <c r="U1299" s="9" t="str">
        <f t="shared" si="1"/>
        <v>NSE:RISHABH</v>
      </c>
      <c r="V1299" s="18"/>
      <c r="W1299" s="18"/>
      <c r="X1299" s="18"/>
    </row>
    <row r="1300">
      <c r="A1300" s="20"/>
      <c r="B1300" s="3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35"/>
      <c r="N1300" s="18"/>
      <c r="O1300" s="18"/>
      <c r="P1300" s="18"/>
      <c r="Q1300" s="34"/>
      <c r="R1300" s="18"/>
      <c r="S1300" s="18"/>
      <c r="T1300" s="19" t="s">
        <v>1320</v>
      </c>
      <c r="U1300" s="9" t="str">
        <f t="shared" si="1"/>
        <v>NSE:USK</v>
      </c>
      <c r="V1300" s="18"/>
      <c r="W1300" s="18"/>
      <c r="X1300" s="18"/>
    </row>
    <row r="1301">
      <c r="A1301" s="20"/>
      <c r="B1301" s="3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35"/>
      <c r="N1301" s="18"/>
      <c r="O1301" s="18"/>
      <c r="P1301" s="18"/>
      <c r="Q1301" s="34"/>
      <c r="R1301" s="18"/>
      <c r="S1301" s="18"/>
      <c r="T1301" s="19" t="s">
        <v>1321</v>
      </c>
      <c r="U1301" s="9" t="str">
        <f t="shared" si="1"/>
        <v>NSE:TTKPRESTIG</v>
      </c>
      <c r="V1301" s="18"/>
      <c r="W1301" s="18"/>
      <c r="X1301" s="18"/>
    </row>
    <row r="1302">
      <c r="A1302" s="20"/>
      <c r="B1302" s="3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35"/>
      <c r="N1302" s="18"/>
      <c r="O1302" s="18"/>
      <c r="P1302" s="18"/>
      <c r="Q1302" s="34"/>
      <c r="R1302" s="18"/>
      <c r="S1302" s="18"/>
      <c r="T1302" s="19" t="s">
        <v>1322</v>
      </c>
      <c r="U1302" s="9" t="str">
        <f t="shared" si="1"/>
        <v>NSE:EXCELINDUS</v>
      </c>
      <c r="V1302" s="18"/>
      <c r="W1302" s="18"/>
      <c r="X1302" s="18"/>
    </row>
    <row r="1303">
      <c r="A1303" s="20"/>
      <c r="B1303" s="3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35"/>
      <c r="N1303" s="18"/>
      <c r="O1303" s="18"/>
      <c r="P1303" s="18"/>
      <c r="Q1303" s="34"/>
      <c r="R1303" s="18"/>
      <c r="S1303" s="18"/>
      <c r="T1303" s="19" t="s">
        <v>1323</v>
      </c>
      <c r="U1303" s="9" t="str">
        <f t="shared" si="1"/>
        <v>NSE:AXITA</v>
      </c>
      <c r="V1303" s="18"/>
      <c r="W1303" s="18"/>
      <c r="X1303" s="18"/>
    </row>
    <row r="1304">
      <c r="A1304" s="20"/>
      <c r="B1304" s="3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35"/>
      <c r="N1304" s="18"/>
      <c r="O1304" s="18"/>
      <c r="P1304" s="18"/>
      <c r="Q1304" s="34"/>
      <c r="R1304" s="18"/>
      <c r="S1304" s="18"/>
      <c r="T1304" s="19" t="s">
        <v>1324</v>
      </c>
      <c r="U1304" s="9" t="str">
        <f t="shared" si="1"/>
        <v>NSE:SAKSOFT</v>
      </c>
      <c r="V1304" s="18"/>
      <c r="W1304" s="18"/>
      <c r="X1304" s="18"/>
    </row>
    <row r="1305">
      <c r="A1305" s="20"/>
      <c r="B1305" s="3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35"/>
      <c r="N1305" s="18"/>
      <c r="O1305" s="18"/>
      <c r="P1305" s="18"/>
      <c r="Q1305" s="34"/>
      <c r="R1305" s="18"/>
      <c r="S1305" s="18"/>
      <c r="T1305" s="19" t="s">
        <v>1325</v>
      </c>
      <c r="U1305" s="9" t="str">
        <f t="shared" si="1"/>
        <v>NSE:MOLDTECH</v>
      </c>
      <c r="V1305" s="18"/>
      <c r="W1305" s="18"/>
      <c r="X1305" s="18"/>
    </row>
    <row r="1306">
      <c r="A1306" s="20"/>
      <c r="B1306" s="3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35"/>
      <c r="N1306" s="18"/>
      <c r="O1306" s="18"/>
      <c r="P1306" s="18"/>
      <c r="Q1306" s="34"/>
      <c r="R1306" s="18"/>
      <c r="S1306" s="18"/>
      <c r="T1306" s="19" t="s">
        <v>1326</v>
      </c>
      <c r="U1306" s="9" t="str">
        <f t="shared" si="1"/>
        <v>NSE:SBISILVER</v>
      </c>
      <c r="V1306" s="18"/>
      <c r="W1306" s="18"/>
      <c r="X1306" s="18"/>
    </row>
    <row r="1307">
      <c r="A1307" s="20"/>
      <c r="B1307" s="3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35"/>
      <c r="N1307" s="18"/>
      <c r="O1307" s="18"/>
      <c r="P1307" s="18"/>
      <c r="Q1307" s="34"/>
      <c r="R1307" s="18"/>
      <c r="S1307" s="18"/>
      <c r="T1307" s="19" t="s">
        <v>1327</v>
      </c>
      <c r="U1307" s="9" t="str">
        <f t="shared" si="1"/>
        <v>NSE:UGARSUGAR</v>
      </c>
      <c r="V1307" s="18"/>
      <c r="W1307" s="18"/>
      <c r="X1307" s="18"/>
    </row>
    <row r="1308">
      <c r="A1308" s="20"/>
      <c r="B1308" s="3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35"/>
      <c r="N1308" s="18"/>
      <c r="O1308" s="18"/>
      <c r="P1308" s="18"/>
      <c r="Q1308" s="34"/>
      <c r="R1308" s="18"/>
      <c r="S1308" s="18"/>
      <c r="T1308" s="19" t="s">
        <v>1328</v>
      </c>
      <c r="U1308" s="9" t="str">
        <f t="shared" si="1"/>
        <v>NSE:TRF</v>
      </c>
      <c r="V1308" s="18"/>
      <c r="W1308" s="18"/>
      <c r="X1308" s="18"/>
    </row>
    <row r="1309">
      <c r="A1309" s="20"/>
      <c r="B1309" s="3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35"/>
      <c r="N1309" s="18"/>
      <c r="O1309" s="18"/>
      <c r="P1309" s="18"/>
      <c r="Q1309" s="34"/>
      <c r="R1309" s="18"/>
      <c r="S1309" s="18"/>
      <c r="T1309" s="19" t="s">
        <v>1329</v>
      </c>
      <c r="U1309" s="9" t="str">
        <f t="shared" si="1"/>
        <v>NSE:BALAJEE</v>
      </c>
      <c r="V1309" s="18"/>
      <c r="W1309" s="18"/>
      <c r="X1309" s="18"/>
    </row>
    <row r="1310">
      <c r="A1310" s="20"/>
      <c r="B1310" s="3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35"/>
      <c r="N1310" s="18"/>
      <c r="O1310" s="18"/>
      <c r="P1310" s="18"/>
      <c r="Q1310" s="34"/>
      <c r="R1310" s="18"/>
      <c r="S1310" s="18"/>
      <c r="T1310" s="19" t="s">
        <v>1330</v>
      </c>
      <c r="U1310" s="9" t="str">
        <f t="shared" si="1"/>
        <v>NSE:INTLCONV</v>
      </c>
      <c r="V1310" s="18"/>
      <c r="W1310" s="18"/>
      <c r="X1310" s="18"/>
    </row>
    <row r="1311">
      <c r="A1311" s="20"/>
      <c r="B1311" s="3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35"/>
      <c r="N1311" s="18"/>
      <c r="O1311" s="18"/>
      <c r="P1311" s="18"/>
      <c r="Q1311" s="34"/>
      <c r="R1311" s="18"/>
      <c r="S1311" s="18"/>
      <c r="T1311" s="19" t="s">
        <v>1331</v>
      </c>
      <c r="U1311" s="9" t="str">
        <f t="shared" si="1"/>
        <v>NSE:MONTECARLO</v>
      </c>
      <c r="V1311" s="18"/>
      <c r="W1311" s="18"/>
      <c r="X1311" s="18"/>
    </row>
    <row r="1312">
      <c r="A1312" s="20"/>
      <c r="B1312" s="3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35"/>
      <c r="N1312" s="18"/>
      <c r="O1312" s="18"/>
      <c r="P1312" s="18"/>
      <c r="Q1312" s="34"/>
      <c r="R1312" s="18"/>
      <c r="S1312" s="18"/>
      <c r="T1312" s="19" t="s">
        <v>1332</v>
      </c>
      <c r="U1312" s="9" t="str">
        <f t="shared" si="1"/>
        <v>NSE:MATRIMONY</v>
      </c>
      <c r="V1312" s="18"/>
      <c r="W1312" s="18"/>
      <c r="X1312" s="18"/>
    </row>
    <row r="1313">
      <c r="A1313" s="20"/>
      <c r="B1313" s="3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35"/>
      <c r="N1313" s="18"/>
      <c r="O1313" s="18"/>
      <c r="P1313" s="18"/>
      <c r="Q1313" s="34"/>
      <c r="R1313" s="18"/>
      <c r="S1313" s="18"/>
      <c r="T1313" s="19" t="s">
        <v>1333</v>
      </c>
      <c r="U1313" s="9" t="str">
        <f t="shared" si="1"/>
        <v>NSE:ASAL</v>
      </c>
      <c r="V1313" s="18"/>
      <c r="W1313" s="18"/>
      <c r="X1313" s="18"/>
    </row>
    <row r="1314">
      <c r="A1314" s="20"/>
      <c r="B1314" s="3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35"/>
      <c r="N1314" s="18"/>
      <c r="O1314" s="18"/>
      <c r="P1314" s="18"/>
      <c r="Q1314" s="34"/>
      <c r="R1314" s="18"/>
      <c r="S1314" s="18"/>
      <c r="T1314" s="19" t="s">
        <v>1334</v>
      </c>
      <c r="U1314" s="9" t="str">
        <f t="shared" si="1"/>
        <v>NSE:ICICIB22</v>
      </c>
      <c r="V1314" s="18"/>
      <c r="W1314" s="18"/>
      <c r="X1314" s="18"/>
    </row>
    <row r="1315">
      <c r="A1315" s="20"/>
      <c r="B1315" s="3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35"/>
      <c r="N1315" s="18"/>
      <c r="O1315" s="18"/>
      <c r="P1315" s="18"/>
      <c r="Q1315" s="34"/>
      <c r="R1315" s="18"/>
      <c r="S1315" s="18"/>
      <c r="T1315" s="19" t="s">
        <v>1335</v>
      </c>
      <c r="U1315" s="9" t="str">
        <f t="shared" si="1"/>
        <v>NSE:NDTV</v>
      </c>
      <c r="V1315" s="18"/>
      <c r="W1315" s="18"/>
      <c r="X1315" s="18"/>
    </row>
    <row r="1316">
      <c r="A1316" s="20"/>
      <c r="B1316" s="3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35"/>
      <c r="N1316" s="18"/>
      <c r="O1316" s="18"/>
      <c r="P1316" s="18"/>
      <c r="Q1316" s="34"/>
      <c r="R1316" s="18"/>
      <c r="S1316" s="18"/>
      <c r="T1316" s="19" t="s">
        <v>1336</v>
      </c>
      <c r="U1316" s="9" t="str">
        <f t="shared" si="1"/>
        <v>NSE:APOLSINHOT</v>
      </c>
      <c r="V1316" s="18"/>
      <c r="W1316" s="18"/>
      <c r="X1316" s="18"/>
    </row>
    <row r="1317">
      <c r="A1317" s="20"/>
      <c r="B1317" s="3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35"/>
      <c r="N1317" s="18"/>
      <c r="O1317" s="18"/>
      <c r="P1317" s="18"/>
      <c r="Q1317" s="34"/>
      <c r="R1317" s="18"/>
      <c r="S1317" s="18"/>
      <c r="T1317" s="19" t="s">
        <v>1337</v>
      </c>
      <c r="U1317" s="9" t="str">
        <f t="shared" si="1"/>
        <v>NSE:TBZ</v>
      </c>
      <c r="V1317" s="18"/>
      <c r="W1317" s="18"/>
      <c r="X1317" s="18"/>
    </row>
    <row r="1318">
      <c r="A1318" s="20"/>
      <c r="B1318" s="3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35"/>
      <c r="N1318" s="18"/>
      <c r="O1318" s="18"/>
      <c r="P1318" s="18"/>
      <c r="Q1318" s="34"/>
      <c r="R1318" s="18"/>
      <c r="S1318" s="18"/>
      <c r="T1318" s="19" t="s">
        <v>1338</v>
      </c>
      <c r="U1318" s="9" t="str">
        <f t="shared" si="1"/>
        <v>NSE:MBLINFRA</v>
      </c>
      <c r="V1318" s="18"/>
      <c r="W1318" s="18"/>
      <c r="X1318" s="18"/>
    </row>
    <row r="1319">
      <c r="A1319" s="20"/>
      <c r="B1319" s="3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35"/>
      <c r="N1319" s="18"/>
      <c r="O1319" s="18"/>
      <c r="P1319" s="18"/>
      <c r="Q1319" s="34"/>
      <c r="R1319" s="18"/>
      <c r="S1319" s="18"/>
      <c r="T1319" s="19" t="s">
        <v>1339</v>
      </c>
      <c r="U1319" s="9" t="str">
        <f t="shared" si="1"/>
        <v>NSE:KINGFA</v>
      </c>
      <c r="V1319" s="18"/>
      <c r="W1319" s="18"/>
      <c r="X1319" s="18"/>
    </row>
    <row r="1320">
      <c r="A1320" s="20"/>
      <c r="B1320" s="3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35"/>
      <c r="N1320" s="18"/>
      <c r="O1320" s="18"/>
      <c r="P1320" s="18"/>
      <c r="Q1320" s="34"/>
      <c r="R1320" s="18"/>
      <c r="S1320" s="18"/>
      <c r="T1320" s="19" t="s">
        <v>1340</v>
      </c>
      <c r="U1320" s="9" t="str">
        <f t="shared" si="1"/>
        <v>NSE:AMBIKCO</v>
      </c>
      <c r="V1320" s="18"/>
      <c r="W1320" s="18"/>
      <c r="X1320" s="18"/>
    </row>
    <row r="1321">
      <c r="A1321" s="20"/>
      <c r="B1321" s="3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35"/>
      <c r="N1321" s="18"/>
      <c r="O1321" s="18"/>
      <c r="P1321" s="18"/>
      <c r="Q1321" s="34"/>
      <c r="R1321" s="18"/>
      <c r="S1321" s="18"/>
      <c r="T1321" s="19" t="s">
        <v>1341</v>
      </c>
      <c r="U1321" s="9" t="str">
        <f t="shared" si="1"/>
        <v>NSE:STEELXIND</v>
      </c>
      <c r="V1321" s="18"/>
      <c r="W1321" s="18"/>
      <c r="X1321" s="18"/>
    </row>
    <row r="1322">
      <c r="A1322" s="20"/>
      <c r="B1322" s="3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35"/>
      <c r="N1322" s="18"/>
      <c r="O1322" s="18"/>
      <c r="P1322" s="18"/>
      <c r="Q1322" s="34"/>
      <c r="R1322" s="18"/>
      <c r="S1322" s="18"/>
      <c r="T1322" s="19" t="s">
        <v>1342</v>
      </c>
      <c r="U1322" s="9" t="str">
        <f t="shared" si="1"/>
        <v>NSE:LIBERTSHOE</v>
      </c>
      <c r="V1322" s="18"/>
      <c r="W1322" s="18"/>
      <c r="X1322" s="18"/>
    </row>
    <row r="1323">
      <c r="A1323" s="20"/>
      <c r="B1323" s="3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35"/>
      <c r="N1323" s="18"/>
      <c r="O1323" s="18"/>
      <c r="P1323" s="18"/>
      <c r="Q1323" s="34"/>
      <c r="R1323" s="18"/>
      <c r="S1323" s="18"/>
      <c r="T1323" s="19" t="s">
        <v>1343</v>
      </c>
      <c r="U1323" s="9" t="str">
        <f t="shared" si="1"/>
        <v>NSE:ANDHRAPAP</v>
      </c>
      <c r="V1323" s="18"/>
      <c r="W1323" s="18"/>
      <c r="X1323" s="18"/>
    </row>
    <row r="1324">
      <c r="A1324" s="20"/>
      <c r="B1324" s="3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35"/>
      <c r="N1324" s="18"/>
      <c r="O1324" s="18"/>
      <c r="P1324" s="18"/>
      <c r="Q1324" s="34"/>
      <c r="R1324" s="18"/>
      <c r="S1324" s="18"/>
      <c r="T1324" s="19" t="s">
        <v>1344</v>
      </c>
      <c r="U1324" s="9" t="str">
        <f t="shared" si="1"/>
        <v>NSE:3IINFOLTD</v>
      </c>
      <c r="V1324" s="18"/>
      <c r="W1324" s="18"/>
      <c r="X1324" s="18"/>
    </row>
    <row r="1325">
      <c r="A1325" s="20"/>
      <c r="B1325" s="3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35"/>
      <c r="N1325" s="18"/>
      <c r="O1325" s="18"/>
      <c r="P1325" s="18"/>
      <c r="Q1325" s="34"/>
      <c r="R1325" s="18"/>
      <c r="S1325" s="18"/>
      <c r="T1325" s="19" t="s">
        <v>1345</v>
      </c>
      <c r="U1325" s="9" t="str">
        <f t="shared" si="1"/>
        <v>NSE:FOSECOIND</v>
      </c>
      <c r="V1325" s="18"/>
      <c r="W1325" s="18"/>
      <c r="X1325" s="18"/>
    </row>
    <row r="1326">
      <c r="A1326" s="20"/>
      <c r="B1326" s="3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35"/>
      <c r="N1326" s="18"/>
      <c r="O1326" s="18"/>
      <c r="P1326" s="18"/>
      <c r="Q1326" s="34"/>
      <c r="R1326" s="18"/>
      <c r="S1326" s="18"/>
      <c r="T1326" s="19" t="s">
        <v>1346</v>
      </c>
      <c r="U1326" s="9" t="str">
        <f t="shared" si="1"/>
        <v>NSE:KAYA</v>
      </c>
      <c r="V1326" s="18"/>
      <c r="W1326" s="18"/>
      <c r="X1326" s="18"/>
    </row>
    <row r="1327">
      <c r="A1327" s="20"/>
      <c r="B1327" s="3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35"/>
      <c r="N1327" s="18"/>
      <c r="O1327" s="18"/>
      <c r="P1327" s="18"/>
      <c r="Q1327" s="34"/>
      <c r="R1327" s="18"/>
      <c r="S1327" s="18"/>
      <c r="T1327" s="19" t="s">
        <v>1347</v>
      </c>
      <c r="U1327" s="9" t="str">
        <f t="shared" si="1"/>
        <v>NSE:EGOLD</v>
      </c>
      <c r="V1327" s="18"/>
      <c r="W1327" s="18"/>
      <c r="X1327" s="18"/>
    </row>
    <row r="1328">
      <c r="A1328" s="20"/>
      <c r="B1328" s="3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35"/>
      <c r="N1328" s="18"/>
      <c r="O1328" s="18"/>
      <c r="P1328" s="18"/>
      <c r="Q1328" s="34"/>
      <c r="R1328" s="18"/>
      <c r="S1328" s="18"/>
      <c r="T1328" s="19" t="s">
        <v>1348</v>
      </c>
      <c r="U1328" s="9" t="str">
        <f t="shared" si="1"/>
        <v>NSE:MASFIN</v>
      </c>
      <c r="V1328" s="18"/>
      <c r="W1328" s="18"/>
      <c r="X1328" s="18"/>
    </row>
    <row r="1329">
      <c r="A1329" s="20"/>
      <c r="B1329" s="3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35"/>
      <c r="N1329" s="18"/>
      <c r="O1329" s="18"/>
      <c r="P1329" s="18"/>
      <c r="Q1329" s="34"/>
      <c r="R1329" s="18"/>
      <c r="S1329" s="18"/>
      <c r="T1329" s="19" t="s">
        <v>1349</v>
      </c>
      <c r="U1329" s="9" t="str">
        <f t="shared" si="1"/>
        <v>NSE:NAVNETEDUL</v>
      </c>
      <c r="V1329" s="18"/>
      <c r="W1329" s="18"/>
      <c r="X1329" s="18"/>
    </row>
    <row r="1330">
      <c r="A1330" s="20"/>
      <c r="B1330" s="3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35"/>
      <c r="N1330" s="18"/>
      <c r="O1330" s="18"/>
      <c r="P1330" s="18"/>
      <c r="Q1330" s="34"/>
      <c r="R1330" s="18"/>
      <c r="S1330" s="18"/>
      <c r="T1330" s="19" t="s">
        <v>1350</v>
      </c>
      <c r="U1330" s="9" t="str">
        <f t="shared" si="1"/>
        <v>NSE:LIKHITHA</v>
      </c>
      <c r="V1330" s="18"/>
      <c r="W1330" s="18"/>
      <c r="X1330" s="18"/>
    </row>
    <row r="1331">
      <c r="A1331" s="20"/>
      <c r="B1331" s="3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35"/>
      <c r="N1331" s="18"/>
      <c r="O1331" s="18"/>
      <c r="P1331" s="18"/>
      <c r="Q1331" s="34"/>
      <c r="R1331" s="18"/>
      <c r="S1331" s="18"/>
      <c r="T1331" s="19" t="s">
        <v>1351</v>
      </c>
      <c r="U1331" s="9" t="str">
        <f t="shared" si="1"/>
        <v>NSE:HILTON</v>
      </c>
      <c r="V1331" s="18"/>
      <c r="W1331" s="18"/>
      <c r="X1331" s="18"/>
    </row>
    <row r="1332">
      <c r="A1332" s="20"/>
      <c r="B1332" s="3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35"/>
      <c r="N1332" s="18"/>
      <c r="O1332" s="18"/>
      <c r="P1332" s="18"/>
      <c r="Q1332" s="34"/>
      <c r="R1332" s="18"/>
      <c r="S1332" s="18"/>
      <c r="T1332" s="19" t="s">
        <v>1352</v>
      </c>
      <c r="U1332" s="9" t="str">
        <f t="shared" si="1"/>
        <v>NSE:SARVESHWAR</v>
      </c>
      <c r="V1332" s="18"/>
      <c r="W1332" s="18"/>
      <c r="X1332" s="18"/>
    </row>
    <row r="1333">
      <c r="A1333" s="20"/>
      <c r="B1333" s="3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35"/>
      <c r="N1333" s="18"/>
      <c r="O1333" s="18"/>
      <c r="P1333" s="18"/>
      <c r="Q1333" s="34"/>
      <c r="R1333" s="18"/>
      <c r="S1333" s="18"/>
      <c r="T1333" s="19" t="s">
        <v>1353</v>
      </c>
      <c r="U1333" s="9" t="str">
        <f t="shared" si="1"/>
        <v>NSE:ICRA</v>
      </c>
      <c r="V1333" s="18"/>
      <c r="W1333" s="18"/>
      <c r="X1333" s="18"/>
    </row>
    <row r="1334">
      <c r="A1334" s="20"/>
      <c r="B1334" s="3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35"/>
      <c r="N1334" s="18"/>
      <c r="O1334" s="18"/>
      <c r="P1334" s="18"/>
      <c r="Q1334" s="34"/>
      <c r="R1334" s="18"/>
      <c r="S1334" s="18"/>
      <c r="T1334" s="19" t="s">
        <v>1354</v>
      </c>
      <c r="U1334" s="9" t="str">
        <f t="shared" si="1"/>
        <v>NSE:ORIENTALTL</v>
      </c>
      <c r="V1334" s="18"/>
      <c r="W1334" s="18"/>
      <c r="X1334" s="18"/>
    </row>
    <row r="1335">
      <c r="A1335" s="20"/>
      <c r="B1335" s="3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35"/>
      <c r="N1335" s="18"/>
      <c r="O1335" s="18"/>
      <c r="P1335" s="18"/>
      <c r="Q1335" s="34"/>
      <c r="R1335" s="18"/>
      <c r="S1335" s="18"/>
      <c r="T1335" s="19" t="s">
        <v>1355</v>
      </c>
      <c r="U1335" s="9" t="str">
        <f t="shared" si="1"/>
        <v>NSE:HEIDELBERG</v>
      </c>
      <c r="V1335" s="18"/>
      <c r="W1335" s="18"/>
      <c r="X1335" s="18"/>
    </row>
    <row r="1336">
      <c r="A1336" s="20"/>
      <c r="B1336" s="3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35"/>
      <c r="N1336" s="18"/>
      <c r="O1336" s="18"/>
      <c r="P1336" s="18"/>
      <c r="Q1336" s="34"/>
      <c r="R1336" s="18"/>
      <c r="S1336" s="18"/>
      <c r="T1336" s="19" t="s">
        <v>1356</v>
      </c>
      <c r="U1336" s="9" t="str">
        <f t="shared" si="1"/>
        <v>NSE:WINDMACHIN</v>
      </c>
      <c r="V1336" s="18"/>
      <c r="W1336" s="18"/>
      <c r="X1336" s="18"/>
    </row>
    <row r="1337">
      <c r="A1337" s="20"/>
      <c r="B1337" s="3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35"/>
      <c r="N1337" s="18"/>
      <c r="O1337" s="18"/>
      <c r="P1337" s="18"/>
      <c r="Q1337" s="34"/>
      <c r="R1337" s="18"/>
      <c r="S1337" s="18"/>
      <c r="T1337" s="19" t="s">
        <v>1357</v>
      </c>
      <c r="U1337" s="9" t="str">
        <f t="shared" si="1"/>
        <v>NSE:MIDCAPIETF</v>
      </c>
      <c r="V1337" s="18"/>
      <c r="W1337" s="18"/>
      <c r="X1337" s="18"/>
    </row>
    <row r="1338">
      <c r="A1338" s="20"/>
      <c r="B1338" s="3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35"/>
      <c r="N1338" s="18"/>
      <c r="O1338" s="18"/>
      <c r="P1338" s="18"/>
      <c r="Q1338" s="34"/>
      <c r="R1338" s="18"/>
      <c r="S1338" s="18"/>
      <c r="T1338" s="19" t="s">
        <v>1358</v>
      </c>
      <c r="U1338" s="9" t="str">
        <f t="shared" si="1"/>
        <v>NSE:HEUBACHIND</v>
      </c>
      <c r="V1338" s="18"/>
      <c r="W1338" s="18"/>
      <c r="X1338" s="18"/>
    </row>
    <row r="1339">
      <c r="A1339" s="20"/>
      <c r="B1339" s="3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35"/>
      <c r="N1339" s="18"/>
      <c r="O1339" s="18"/>
      <c r="P1339" s="18"/>
      <c r="Q1339" s="34"/>
      <c r="R1339" s="18"/>
      <c r="S1339" s="18"/>
      <c r="T1339" s="19" t="s">
        <v>1359</v>
      </c>
      <c r="U1339" s="9" t="str">
        <f t="shared" si="1"/>
        <v>NSE:NOVAAGRI</v>
      </c>
      <c r="V1339" s="18"/>
      <c r="W1339" s="18"/>
      <c r="X1339" s="18"/>
    </row>
    <row r="1340">
      <c r="A1340" s="20"/>
      <c r="B1340" s="3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35"/>
      <c r="N1340" s="18"/>
      <c r="O1340" s="18"/>
      <c r="P1340" s="18"/>
      <c r="Q1340" s="34"/>
      <c r="R1340" s="18"/>
      <c r="S1340" s="18"/>
      <c r="T1340" s="19" t="s">
        <v>1360</v>
      </c>
      <c r="U1340" s="9" t="str">
        <f t="shared" si="1"/>
        <v>NSE:GOACARBON</v>
      </c>
      <c r="V1340" s="18"/>
      <c r="W1340" s="18"/>
      <c r="X1340" s="18"/>
    </row>
    <row r="1341">
      <c r="A1341" s="20"/>
      <c r="B1341" s="3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35"/>
      <c r="N1341" s="18"/>
      <c r="O1341" s="18"/>
      <c r="P1341" s="18"/>
      <c r="Q1341" s="34"/>
      <c r="R1341" s="18"/>
      <c r="S1341" s="18"/>
      <c r="T1341" s="19" t="s">
        <v>1361</v>
      </c>
      <c r="U1341" s="9" t="str">
        <f t="shared" si="1"/>
        <v>NSE:SUMIT</v>
      </c>
      <c r="V1341" s="18"/>
      <c r="W1341" s="18"/>
      <c r="X1341" s="18"/>
    </row>
    <row r="1342">
      <c r="A1342" s="20"/>
      <c r="B1342" s="3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35"/>
      <c r="N1342" s="18"/>
      <c r="O1342" s="18"/>
      <c r="P1342" s="18"/>
      <c r="Q1342" s="34"/>
      <c r="R1342" s="18"/>
      <c r="S1342" s="18"/>
      <c r="T1342" s="19" t="s">
        <v>1362</v>
      </c>
      <c r="U1342" s="9" t="str">
        <f t="shared" si="1"/>
        <v>NSE:MOMOMENTUM</v>
      </c>
      <c r="V1342" s="18"/>
      <c r="W1342" s="18"/>
      <c r="X1342" s="18"/>
    </row>
    <row r="1343">
      <c r="A1343" s="20"/>
      <c r="B1343" s="3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35"/>
      <c r="N1343" s="18"/>
      <c r="O1343" s="18"/>
      <c r="P1343" s="18"/>
      <c r="Q1343" s="34"/>
      <c r="R1343" s="18"/>
      <c r="S1343" s="18"/>
      <c r="T1343" s="19" t="s">
        <v>1363</v>
      </c>
      <c r="U1343" s="9" t="str">
        <f t="shared" si="1"/>
        <v>NSE:WENDT</v>
      </c>
      <c r="V1343" s="18"/>
      <c r="W1343" s="18"/>
      <c r="X1343" s="18"/>
    </row>
    <row r="1344">
      <c r="A1344" s="20"/>
      <c r="B1344" s="3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35"/>
      <c r="N1344" s="18"/>
      <c r="O1344" s="18"/>
      <c r="P1344" s="18"/>
      <c r="Q1344" s="34"/>
      <c r="R1344" s="18"/>
      <c r="S1344" s="18"/>
      <c r="T1344" s="19" t="s">
        <v>1364</v>
      </c>
      <c r="U1344" s="9" t="str">
        <f t="shared" si="1"/>
        <v>NSE:RITCO</v>
      </c>
      <c r="V1344" s="18"/>
      <c r="W1344" s="18"/>
      <c r="X1344" s="18"/>
    </row>
    <row r="1345">
      <c r="A1345" s="20"/>
      <c r="B1345" s="3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35"/>
      <c r="N1345" s="18"/>
      <c r="O1345" s="18"/>
      <c r="P1345" s="18"/>
      <c r="Q1345" s="34"/>
      <c r="R1345" s="18"/>
      <c r="S1345" s="18"/>
      <c r="T1345" s="19" t="s">
        <v>1365</v>
      </c>
      <c r="U1345" s="9" t="str">
        <f t="shared" si="1"/>
        <v>NSE:SEAMECLTD</v>
      </c>
      <c r="V1345" s="18"/>
      <c r="W1345" s="18"/>
      <c r="X1345" s="18"/>
    </row>
    <row r="1346">
      <c r="A1346" s="20"/>
      <c r="B1346" s="3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35"/>
      <c r="N1346" s="18"/>
      <c r="O1346" s="18"/>
      <c r="P1346" s="18"/>
      <c r="Q1346" s="34"/>
      <c r="R1346" s="18"/>
      <c r="S1346" s="18"/>
      <c r="T1346" s="19" t="s">
        <v>1366</v>
      </c>
      <c r="U1346" s="9" t="str">
        <f t="shared" si="1"/>
        <v>NSE:NRL</v>
      </c>
      <c r="V1346" s="18"/>
      <c r="W1346" s="18"/>
      <c r="X1346" s="18"/>
    </row>
    <row r="1347">
      <c r="A1347" s="20"/>
      <c r="B1347" s="3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35"/>
      <c r="N1347" s="18"/>
      <c r="O1347" s="18"/>
      <c r="P1347" s="18"/>
      <c r="Q1347" s="34"/>
      <c r="R1347" s="18"/>
      <c r="S1347" s="18"/>
      <c r="T1347" s="19" t="s">
        <v>1367</v>
      </c>
      <c r="U1347" s="9" t="str">
        <f t="shared" si="1"/>
        <v>NSE:MIDCAPETF</v>
      </c>
      <c r="V1347" s="18"/>
      <c r="W1347" s="18"/>
      <c r="X1347" s="18"/>
    </row>
    <row r="1348">
      <c r="A1348" s="20"/>
      <c r="B1348" s="3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35"/>
      <c r="N1348" s="18"/>
      <c r="O1348" s="18"/>
      <c r="P1348" s="18"/>
      <c r="Q1348" s="34"/>
      <c r="R1348" s="18"/>
      <c r="S1348" s="18"/>
      <c r="T1348" s="19" t="s">
        <v>1368</v>
      </c>
      <c r="U1348" s="9" t="str">
        <f t="shared" si="1"/>
        <v>NSE:TATSILV</v>
      </c>
      <c r="V1348" s="18"/>
      <c r="W1348" s="18"/>
      <c r="X1348" s="18"/>
    </row>
    <row r="1349">
      <c r="A1349" s="20"/>
      <c r="B1349" s="3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35"/>
      <c r="N1349" s="18"/>
      <c r="O1349" s="18"/>
      <c r="P1349" s="18"/>
      <c r="Q1349" s="34"/>
      <c r="R1349" s="18"/>
      <c r="S1349" s="18"/>
      <c r="T1349" s="19" t="s">
        <v>1369</v>
      </c>
      <c r="U1349" s="9" t="str">
        <f t="shared" si="1"/>
        <v>NSE:INSECTICID</v>
      </c>
      <c r="V1349" s="18"/>
      <c r="W1349" s="18"/>
      <c r="X1349" s="18"/>
    </row>
    <row r="1350">
      <c r="A1350" s="20"/>
      <c r="B1350" s="3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35"/>
      <c r="N1350" s="18"/>
      <c r="O1350" s="18"/>
      <c r="P1350" s="18"/>
      <c r="Q1350" s="34"/>
      <c r="R1350" s="18"/>
      <c r="S1350" s="18"/>
      <c r="T1350" s="19" t="s">
        <v>1370</v>
      </c>
      <c r="U1350" s="9" t="str">
        <f t="shared" si="1"/>
        <v>NSE:CYBERTECH</v>
      </c>
      <c r="V1350" s="18"/>
      <c r="W1350" s="18"/>
      <c r="X1350" s="18"/>
    </row>
    <row r="1351">
      <c r="A1351" s="20"/>
      <c r="B1351" s="3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35"/>
      <c r="N1351" s="18"/>
      <c r="O1351" s="18"/>
      <c r="P1351" s="18"/>
      <c r="Q1351" s="34"/>
      <c r="R1351" s="18"/>
      <c r="S1351" s="18"/>
      <c r="T1351" s="19" t="s">
        <v>1371</v>
      </c>
      <c r="U1351" s="9" t="str">
        <f t="shared" si="1"/>
        <v>NSE:SATIA</v>
      </c>
      <c r="V1351" s="18"/>
      <c r="W1351" s="18"/>
      <c r="X1351" s="18"/>
    </row>
    <row r="1352">
      <c r="A1352" s="20"/>
      <c r="B1352" s="3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35"/>
      <c r="N1352" s="18"/>
      <c r="O1352" s="18"/>
      <c r="P1352" s="18"/>
      <c r="Q1352" s="34"/>
      <c r="R1352" s="18"/>
      <c r="S1352" s="18"/>
      <c r="T1352" s="19" t="s">
        <v>1372</v>
      </c>
      <c r="U1352" s="9" t="str">
        <f t="shared" si="1"/>
        <v>NSE:RADHIKAJWE</v>
      </c>
      <c r="V1352" s="18"/>
      <c r="W1352" s="18"/>
      <c r="X1352" s="18"/>
    </row>
    <row r="1353">
      <c r="A1353" s="20"/>
      <c r="B1353" s="3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35"/>
      <c r="N1353" s="18"/>
      <c r="O1353" s="18"/>
      <c r="P1353" s="18"/>
      <c r="Q1353" s="34"/>
      <c r="R1353" s="18"/>
      <c r="S1353" s="18"/>
      <c r="T1353" s="19" t="s">
        <v>1373</v>
      </c>
      <c r="U1353" s="9" t="str">
        <f t="shared" si="1"/>
        <v>NSE:ATL</v>
      </c>
      <c r="V1353" s="18"/>
      <c r="W1353" s="18"/>
      <c r="X1353" s="18"/>
    </row>
    <row r="1354">
      <c r="A1354" s="20"/>
      <c r="B1354" s="3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35"/>
      <c r="N1354" s="18"/>
      <c r="O1354" s="18"/>
      <c r="P1354" s="18"/>
      <c r="Q1354" s="34"/>
      <c r="R1354" s="18"/>
      <c r="S1354" s="18"/>
      <c r="T1354" s="19" t="s">
        <v>1374</v>
      </c>
      <c r="U1354" s="9" t="str">
        <f t="shared" si="1"/>
        <v>NSE:SPORTKING</v>
      </c>
      <c r="V1354" s="18"/>
      <c r="W1354" s="18"/>
      <c r="X1354" s="18"/>
    </row>
    <row r="1355">
      <c r="A1355" s="20"/>
      <c r="B1355" s="3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35"/>
      <c r="N1355" s="18"/>
      <c r="O1355" s="18"/>
      <c r="P1355" s="18"/>
      <c r="Q1355" s="34"/>
      <c r="R1355" s="18"/>
      <c r="S1355" s="18"/>
      <c r="T1355" s="19" t="s">
        <v>1375</v>
      </c>
      <c r="U1355" s="9" t="str">
        <f t="shared" si="1"/>
        <v>NSE:VISHWARAJ</v>
      </c>
      <c r="V1355" s="18"/>
      <c r="W1355" s="18"/>
      <c r="X1355" s="18"/>
    </row>
    <row r="1356">
      <c r="A1356" s="20"/>
      <c r="B1356" s="3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35"/>
      <c r="N1356" s="18"/>
      <c r="O1356" s="18"/>
      <c r="P1356" s="18"/>
      <c r="Q1356" s="34"/>
      <c r="R1356" s="18"/>
      <c r="S1356" s="18"/>
      <c r="T1356" s="19" t="s">
        <v>1376</v>
      </c>
      <c r="U1356" s="9" t="str">
        <f t="shared" si="1"/>
        <v>NSE:CLSEL</v>
      </c>
      <c r="V1356" s="18"/>
      <c r="W1356" s="18"/>
      <c r="X1356" s="18"/>
    </row>
    <row r="1357">
      <c r="A1357" s="20"/>
      <c r="B1357" s="3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35"/>
      <c r="N1357" s="18"/>
      <c r="O1357" s="18"/>
      <c r="P1357" s="18"/>
      <c r="Q1357" s="34"/>
      <c r="R1357" s="18"/>
      <c r="S1357" s="18"/>
      <c r="T1357" s="19" t="s">
        <v>1377</v>
      </c>
      <c r="U1357" s="9" t="str">
        <f t="shared" si="1"/>
        <v>NSE:SMCGLOBAL</v>
      </c>
      <c r="V1357" s="18"/>
      <c r="W1357" s="18"/>
      <c r="X1357" s="18"/>
    </row>
    <row r="1358">
      <c r="A1358" s="20"/>
      <c r="B1358" s="3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35"/>
      <c r="N1358" s="18"/>
      <c r="O1358" s="18"/>
      <c r="P1358" s="18"/>
      <c r="Q1358" s="34"/>
      <c r="R1358" s="18"/>
      <c r="S1358" s="18"/>
      <c r="T1358" s="19" t="s">
        <v>1378</v>
      </c>
      <c r="U1358" s="9" t="str">
        <f t="shared" si="1"/>
        <v>NSE:KANORICHEM</v>
      </c>
      <c r="V1358" s="18"/>
      <c r="W1358" s="18"/>
      <c r="X1358" s="18"/>
    </row>
    <row r="1359">
      <c r="A1359" s="20"/>
      <c r="B1359" s="3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35"/>
      <c r="N1359" s="18"/>
      <c r="O1359" s="18"/>
      <c r="P1359" s="18"/>
      <c r="Q1359" s="34"/>
      <c r="R1359" s="18"/>
      <c r="S1359" s="18"/>
      <c r="T1359" s="19" t="s">
        <v>1379</v>
      </c>
      <c r="U1359" s="9" t="str">
        <f t="shared" si="1"/>
        <v>NSE:ORICONENT</v>
      </c>
      <c r="V1359" s="18"/>
      <c r="W1359" s="18"/>
      <c r="X1359" s="18"/>
    </row>
    <row r="1360">
      <c r="A1360" s="20"/>
      <c r="B1360" s="3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35"/>
      <c r="N1360" s="18"/>
      <c r="O1360" s="18"/>
      <c r="P1360" s="18"/>
      <c r="Q1360" s="34"/>
      <c r="R1360" s="18"/>
      <c r="S1360" s="18"/>
      <c r="T1360" s="19" t="s">
        <v>1380</v>
      </c>
      <c r="U1360" s="9" t="str">
        <f t="shared" si="1"/>
        <v>NSE:UNICHEMLAB</v>
      </c>
      <c r="V1360" s="18"/>
      <c r="W1360" s="18"/>
      <c r="X1360" s="18"/>
    </row>
    <row r="1361">
      <c r="A1361" s="20"/>
      <c r="B1361" s="3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35"/>
      <c r="N1361" s="18"/>
      <c r="O1361" s="18"/>
      <c r="P1361" s="18"/>
      <c r="Q1361" s="34"/>
      <c r="R1361" s="18"/>
      <c r="S1361" s="18"/>
      <c r="T1361" s="19" t="s">
        <v>1381</v>
      </c>
      <c r="U1361" s="9" t="str">
        <f t="shared" si="1"/>
        <v>NSE:SILVERETF</v>
      </c>
      <c r="V1361" s="18"/>
      <c r="W1361" s="18"/>
      <c r="X1361" s="18"/>
    </row>
    <row r="1362">
      <c r="A1362" s="20"/>
      <c r="B1362" s="3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35"/>
      <c r="N1362" s="18"/>
      <c r="O1362" s="18"/>
      <c r="P1362" s="18"/>
      <c r="Q1362" s="34"/>
      <c r="R1362" s="18"/>
      <c r="S1362" s="18"/>
      <c r="T1362" s="19" t="s">
        <v>1382</v>
      </c>
      <c r="U1362" s="9" t="str">
        <f t="shared" si="1"/>
        <v>NSE:AVL</v>
      </c>
      <c r="V1362" s="18"/>
      <c r="W1362" s="18"/>
      <c r="X1362" s="18"/>
    </row>
    <row r="1363">
      <c r="A1363" s="20"/>
      <c r="B1363" s="3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35"/>
      <c r="N1363" s="18"/>
      <c r="O1363" s="18"/>
      <c r="P1363" s="18"/>
      <c r="Q1363" s="34"/>
      <c r="R1363" s="18"/>
      <c r="S1363" s="18"/>
      <c r="T1363" s="19" t="s">
        <v>1383</v>
      </c>
      <c r="U1363" s="9" t="str">
        <f t="shared" si="1"/>
        <v>NSE:MEDICAMEQ</v>
      </c>
      <c r="V1363" s="18"/>
      <c r="W1363" s="18"/>
      <c r="X1363" s="18"/>
    </row>
    <row r="1364">
      <c r="A1364" s="20"/>
      <c r="B1364" s="3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35"/>
      <c r="N1364" s="18"/>
      <c r="O1364" s="18"/>
      <c r="P1364" s="18"/>
      <c r="Q1364" s="34"/>
      <c r="R1364" s="18"/>
      <c r="S1364" s="18"/>
      <c r="T1364" s="19" t="s">
        <v>1384</v>
      </c>
      <c r="U1364" s="9" t="str">
        <f t="shared" si="1"/>
        <v>NSE:YUKEN</v>
      </c>
      <c r="V1364" s="18"/>
      <c r="W1364" s="18"/>
      <c r="X1364" s="18"/>
    </row>
    <row r="1365">
      <c r="A1365" s="20"/>
      <c r="B1365" s="3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35"/>
      <c r="N1365" s="18"/>
      <c r="O1365" s="18"/>
      <c r="P1365" s="18"/>
      <c r="Q1365" s="34"/>
      <c r="R1365" s="18"/>
      <c r="S1365" s="18"/>
      <c r="T1365" s="19" t="s">
        <v>1385</v>
      </c>
      <c r="U1365" s="9" t="str">
        <f t="shared" si="1"/>
        <v>NSE:GHCLTEXTIL</v>
      </c>
      <c r="V1365" s="18"/>
      <c r="W1365" s="18"/>
      <c r="X1365" s="18"/>
    </row>
    <row r="1366">
      <c r="A1366" s="20"/>
      <c r="B1366" s="3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35"/>
      <c r="N1366" s="18"/>
      <c r="O1366" s="18"/>
      <c r="P1366" s="18"/>
      <c r="Q1366" s="34"/>
      <c r="R1366" s="18"/>
      <c r="S1366" s="18"/>
      <c r="T1366" s="19" t="s">
        <v>1386</v>
      </c>
      <c r="U1366" s="9" t="str">
        <f t="shared" si="1"/>
        <v>NSE:AXISGOLD</v>
      </c>
      <c r="V1366" s="18"/>
      <c r="W1366" s="18"/>
      <c r="X1366" s="18"/>
    </row>
    <row r="1367">
      <c r="A1367" s="20"/>
      <c r="B1367" s="3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35"/>
      <c r="N1367" s="18"/>
      <c r="O1367" s="18"/>
      <c r="P1367" s="18"/>
      <c r="Q1367" s="34"/>
      <c r="R1367" s="18"/>
      <c r="S1367" s="18"/>
      <c r="T1367" s="19" t="s">
        <v>1387</v>
      </c>
      <c r="U1367" s="9" t="str">
        <f t="shared" si="1"/>
        <v>NSE:AMRUTANJAN</v>
      </c>
      <c r="V1367" s="18"/>
      <c r="W1367" s="18"/>
      <c r="X1367" s="18"/>
    </row>
    <row r="1368">
      <c r="A1368" s="20"/>
      <c r="B1368" s="3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35"/>
      <c r="N1368" s="18"/>
      <c r="O1368" s="18"/>
      <c r="P1368" s="18"/>
      <c r="Q1368" s="34"/>
      <c r="R1368" s="18"/>
      <c r="S1368" s="18"/>
      <c r="T1368" s="19" t="s">
        <v>1388</v>
      </c>
      <c r="U1368" s="9" t="str">
        <f t="shared" si="1"/>
        <v>NSE:JTEKTINDIA</v>
      </c>
      <c r="V1368" s="18"/>
      <c r="W1368" s="18"/>
      <c r="X1368" s="18"/>
    </row>
    <row r="1369">
      <c r="A1369" s="20"/>
      <c r="B1369" s="3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35"/>
      <c r="N1369" s="18"/>
      <c r="O1369" s="18"/>
      <c r="P1369" s="18"/>
      <c r="Q1369" s="34"/>
      <c r="R1369" s="18"/>
      <c r="S1369" s="18"/>
      <c r="T1369" s="19" t="s">
        <v>1389</v>
      </c>
      <c r="U1369" s="9" t="str">
        <f t="shared" si="1"/>
        <v>NSE:GLOBE</v>
      </c>
      <c r="V1369" s="18"/>
      <c r="W1369" s="18"/>
      <c r="X1369" s="18"/>
    </row>
    <row r="1370">
      <c r="A1370" s="20"/>
      <c r="B1370" s="3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35"/>
      <c r="N1370" s="18"/>
      <c r="O1370" s="18"/>
      <c r="P1370" s="18"/>
      <c r="Q1370" s="34"/>
      <c r="R1370" s="18"/>
      <c r="S1370" s="18"/>
      <c r="T1370" s="19" t="s">
        <v>1390</v>
      </c>
      <c r="U1370" s="9" t="str">
        <f t="shared" si="1"/>
        <v>NSE:HIRECT</v>
      </c>
      <c r="V1370" s="18"/>
      <c r="W1370" s="18"/>
      <c r="X1370" s="18"/>
    </row>
    <row r="1371">
      <c r="A1371" s="20"/>
      <c r="B1371" s="3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35"/>
      <c r="N1371" s="18"/>
      <c r="O1371" s="18"/>
      <c r="P1371" s="18"/>
      <c r="Q1371" s="34"/>
      <c r="R1371" s="18"/>
      <c r="S1371" s="18"/>
      <c r="T1371" s="19" t="s">
        <v>1391</v>
      </c>
      <c r="U1371" s="9" t="str">
        <f t="shared" si="1"/>
        <v>NSE:SAGCEM</v>
      </c>
      <c r="V1371" s="18"/>
      <c r="W1371" s="18"/>
      <c r="X1371" s="18"/>
    </row>
    <row r="1372">
      <c r="A1372" s="20"/>
      <c r="B1372" s="3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35"/>
      <c r="N1372" s="18"/>
      <c r="O1372" s="18"/>
      <c r="P1372" s="18"/>
      <c r="Q1372" s="34"/>
      <c r="R1372" s="18"/>
      <c r="S1372" s="18"/>
      <c r="T1372" s="19" t="s">
        <v>1392</v>
      </c>
      <c r="U1372" s="9" t="str">
        <f t="shared" si="1"/>
        <v>NSE:SILVERTUC</v>
      </c>
      <c r="V1372" s="18"/>
      <c r="W1372" s="18"/>
      <c r="X1372" s="18"/>
    </row>
    <row r="1373">
      <c r="A1373" s="20"/>
      <c r="B1373" s="3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35"/>
      <c r="N1373" s="18"/>
      <c r="O1373" s="18"/>
      <c r="P1373" s="18"/>
      <c r="Q1373" s="34"/>
      <c r="R1373" s="18"/>
      <c r="S1373" s="18"/>
      <c r="T1373" s="19" t="s">
        <v>1393</v>
      </c>
      <c r="U1373" s="9" t="str">
        <f t="shared" si="1"/>
        <v>NSE:SIMPLEXINF</v>
      </c>
      <c r="V1373" s="18"/>
      <c r="W1373" s="18"/>
      <c r="X1373" s="18"/>
    </row>
    <row r="1374">
      <c r="A1374" s="20"/>
      <c r="B1374" s="3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35"/>
      <c r="N1374" s="18"/>
      <c r="O1374" s="18"/>
      <c r="P1374" s="18"/>
      <c r="Q1374" s="34"/>
      <c r="R1374" s="18"/>
      <c r="S1374" s="18"/>
      <c r="T1374" s="19" t="s">
        <v>1394</v>
      </c>
      <c r="U1374" s="9" t="str">
        <f t="shared" si="1"/>
        <v>NSE:UFO</v>
      </c>
      <c r="V1374" s="18"/>
      <c r="W1374" s="18"/>
      <c r="X1374" s="18"/>
    </row>
    <row r="1375">
      <c r="A1375" s="20"/>
      <c r="B1375" s="3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35"/>
      <c r="N1375" s="18"/>
      <c r="O1375" s="18"/>
      <c r="P1375" s="18"/>
      <c r="Q1375" s="34"/>
      <c r="R1375" s="18"/>
      <c r="S1375" s="18"/>
      <c r="T1375" s="19" t="s">
        <v>1395</v>
      </c>
      <c r="U1375" s="9" t="str">
        <f t="shared" si="1"/>
        <v>NSE:GROWWLIQID</v>
      </c>
      <c r="V1375" s="18"/>
      <c r="W1375" s="18"/>
      <c r="X1375" s="18"/>
    </row>
    <row r="1376">
      <c r="A1376" s="20"/>
      <c r="B1376" s="3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35"/>
      <c r="N1376" s="18"/>
      <c r="O1376" s="18"/>
      <c r="P1376" s="18"/>
      <c r="Q1376" s="34"/>
      <c r="R1376" s="18"/>
      <c r="S1376" s="18"/>
      <c r="T1376" s="19" t="s">
        <v>1396</v>
      </c>
      <c r="U1376" s="9" t="str">
        <f t="shared" si="1"/>
        <v>NSE:INDIANHUME</v>
      </c>
      <c r="V1376" s="18"/>
      <c r="W1376" s="18"/>
      <c r="X1376" s="18"/>
    </row>
    <row r="1377">
      <c r="A1377" s="20"/>
      <c r="B1377" s="3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35"/>
      <c r="N1377" s="18"/>
      <c r="O1377" s="18"/>
      <c r="P1377" s="18"/>
      <c r="Q1377" s="34"/>
      <c r="R1377" s="18"/>
      <c r="S1377" s="18"/>
      <c r="T1377" s="19" t="s">
        <v>1397</v>
      </c>
      <c r="U1377" s="9" t="str">
        <f t="shared" si="1"/>
        <v>NSE:ARIHANTSUP</v>
      </c>
      <c r="V1377" s="18"/>
      <c r="W1377" s="18"/>
      <c r="X1377" s="18"/>
    </row>
    <row r="1378">
      <c r="A1378" s="20"/>
      <c r="B1378" s="3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35"/>
      <c r="N1378" s="18"/>
      <c r="O1378" s="18"/>
      <c r="P1378" s="18"/>
      <c r="Q1378" s="34"/>
      <c r="R1378" s="18"/>
      <c r="S1378" s="18"/>
      <c r="T1378" s="19" t="s">
        <v>1398</v>
      </c>
      <c r="U1378" s="9" t="str">
        <f t="shared" si="1"/>
        <v>NSE:INTENTECH</v>
      </c>
      <c r="V1378" s="18"/>
      <c r="W1378" s="18"/>
      <c r="X1378" s="18"/>
    </row>
    <row r="1379">
      <c r="A1379" s="20"/>
      <c r="B1379" s="3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35"/>
      <c r="N1379" s="18"/>
      <c r="O1379" s="18"/>
      <c r="P1379" s="18"/>
      <c r="Q1379" s="34"/>
      <c r="R1379" s="18"/>
      <c r="S1379" s="18"/>
      <c r="T1379" s="19" t="s">
        <v>1399</v>
      </c>
      <c r="U1379" s="9" t="str">
        <f t="shared" si="1"/>
        <v>NSE:ZUARIIND</v>
      </c>
      <c r="V1379" s="18"/>
      <c r="W1379" s="18"/>
      <c r="X1379" s="18"/>
    </row>
    <row r="1380">
      <c r="A1380" s="20"/>
      <c r="B1380" s="3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35"/>
      <c r="N1380" s="18"/>
      <c r="O1380" s="18"/>
      <c r="P1380" s="18"/>
      <c r="Q1380" s="34"/>
      <c r="R1380" s="18"/>
      <c r="S1380" s="18"/>
      <c r="T1380" s="19" t="s">
        <v>1400</v>
      </c>
      <c r="U1380" s="9" t="str">
        <f t="shared" si="1"/>
        <v>NSE:SILVER1</v>
      </c>
      <c r="V1380" s="18"/>
      <c r="W1380" s="18"/>
      <c r="X1380" s="18"/>
    </row>
    <row r="1381">
      <c r="A1381" s="20"/>
      <c r="B1381" s="3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35"/>
      <c r="N1381" s="18"/>
      <c r="O1381" s="18"/>
      <c r="P1381" s="18"/>
      <c r="Q1381" s="34"/>
      <c r="R1381" s="18"/>
      <c r="S1381" s="18"/>
      <c r="T1381" s="19" t="s">
        <v>1401</v>
      </c>
      <c r="U1381" s="9" t="str">
        <f t="shared" si="1"/>
        <v>NSE:20MICRONS</v>
      </c>
      <c r="V1381" s="18"/>
      <c r="W1381" s="18"/>
      <c r="X1381" s="18"/>
    </row>
    <row r="1382">
      <c r="A1382" s="20"/>
      <c r="B1382" s="3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35"/>
      <c r="N1382" s="18"/>
      <c r="O1382" s="18"/>
      <c r="P1382" s="18"/>
      <c r="Q1382" s="34"/>
      <c r="R1382" s="18"/>
      <c r="S1382" s="18"/>
      <c r="T1382" s="19" t="s">
        <v>1402</v>
      </c>
      <c r="U1382" s="9" t="str">
        <f t="shared" si="1"/>
        <v>NSE:VIKASECO</v>
      </c>
      <c r="V1382" s="18"/>
      <c r="W1382" s="18"/>
      <c r="X1382" s="18"/>
    </row>
    <row r="1383">
      <c r="A1383" s="20"/>
      <c r="B1383" s="3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35"/>
      <c r="N1383" s="18"/>
      <c r="O1383" s="18"/>
      <c r="P1383" s="18"/>
      <c r="Q1383" s="34"/>
      <c r="R1383" s="18"/>
      <c r="S1383" s="18"/>
      <c r="T1383" s="19" t="s">
        <v>1403</v>
      </c>
      <c r="U1383" s="9" t="str">
        <f t="shared" si="1"/>
        <v>NSE:LINC</v>
      </c>
      <c r="V1383" s="18"/>
      <c r="W1383" s="18"/>
      <c r="X1383" s="18"/>
    </row>
    <row r="1384">
      <c r="A1384" s="20"/>
      <c r="B1384" s="3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35"/>
      <c r="N1384" s="18"/>
      <c r="O1384" s="18"/>
      <c r="P1384" s="18"/>
      <c r="Q1384" s="34"/>
      <c r="R1384" s="18"/>
      <c r="S1384" s="18"/>
      <c r="T1384" s="19" t="s">
        <v>1404</v>
      </c>
      <c r="U1384" s="9" t="str">
        <f t="shared" si="1"/>
        <v>NSE:ALICON</v>
      </c>
      <c r="V1384" s="18"/>
      <c r="W1384" s="18"/>
      <c r="X1384" s="18"/>
    </row>
    <row r="1385">
      <c r="A1385" s="20"/>
      <c r="B1385" s="3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35"/>
      <c r="N1385" s="18"/>
      <c r="O1385" s="18"/>
      <c r="P1385" s="18"/>
      <c r="Q1385" s="34"/>
      <c r="R1385" s="18"/>
      <c r="S1385" s="18"/>
      <c r="T1385" s="19" t="s">
        <v>1405</v>
      </c>
      <c r="U1385" s="9" t="str">
        <f t="shared" si="1"/>
        <v>NSE:AGARIND</v>
      </c>
      <c r="V1385" s="18"/>
      <c r="W1385" s="18"/>
      <c r="X1385" s="18"/>
    </row>
    <row r="1386">
      <c r="A1386" s="20"/>
      <c r="B1386" s="3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35"/>
      <c r="N1386" s="18"/>
      <c r="O1386" s="18"/>
      <c r="P1386" s="18"/>
      <c r="Q1386" s="34"/>
      <c r="R1386" s="18"/>
      <c r="S1386" s="18"/>
      <c r="T1386" s="19" t="s">
        <v>1406</v>
      </c>
      <c r="U1386" s="9" t="str">
        <f t="shared" si="1"/>
        <v>NSE:MAXIND</v>
      </c>
      <c r="V1386" s="18"/>
      <c r="W1386" s="18"/>
      <c r="X1386" s="18"/>
    </row>
    <row r="1387">
      <c r="A1387" s="20"/>
      <c r="B1387" s="3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35"/>
      <c r="N1387" s="18"/>
      <c r="O1387" s="18"/>
      <c r="P1387" s="18"/>
      <c r="Q1387" s="34"/>
      <c r="R1387" s="18"/>
      <c r="S1387" s="18"/>
      <c r="T1387" s="19" t="s">
        <v>1407</v>
      </c>
      <c r="U1387" s="9" t="str">
        <f t="shared" si="1"/>
        <v>NSE:NETF</v>
      </c>
      <c r="V1387" s="18"/>
      <c r="W1387" s="18"/>
      <c r="X1387" s="18"/>
    </row>
    <row r="1388">
      <c r="A1388" s="20"/>
      <c r="B1388" s="3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35"/>
      <c r="N1388" s="18"/>
      <c r="O1388" s="18"/>
      <c r="P1388" s="18"/>
      <c r="Q1388" s="34"/>
      <c r="R1388" s="18"/>
      <c r="S1388" s="18"/>
      <c r="T1388" s="19" t="s">
        <v>1408</v>
      </c>
      <c r="U1388" s="9" t="str">
        <f t="shared" si="1"/>
        <v>NSE:MMP</v>
      </c>
      <c r="V1388" s="18"/>
      <c r="W1388" s="18"/>
      <c r="X1388" s="18"/>
    </row>
    <row r="1389">
      <c r="A1389" s="20"/>
      <c r="B1389" s="3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35"/>
      <c r="N1389" s="18"/>
      <c r="O1389" s="18"/>
      <c r="P1389" s="18"/>
      <c r="Q1389" s="34"/>
      <c r="R1389" s="18"/>
      <c r="S1389" s="18"/>
      <c r="T1389" s="19" t="s">
        <v>1409</v>
      </c>
      <c r="U1389" s="9" t="str">
        <f t="shared" si="1"/>
        <v>NSE:GROWWDEFNC</v>
      </c>
      <c r="V1389" s="18"/>
      <c r="W1389" s="18"/>
      <c r="X1389" s="18"/>
    </row>
    <row r="1390">
      <c r="A1390" s="20"/>
      <c r="B1390" s="3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35"/>
      <c r="N1390" s="18"/>
      <c r="O1390" s="18"/>
      <c r="P1390" s="18"/>
      <c r="Q1390" s="34"/>
      <c r="R1390" s="18"/>
      <c r="S1390" s="18"/>
      <c r="T1390" s="19" t="s">
        <v>1410</v>
      </c>
      <c r="U1390" s="9" t="str">
        <f t="shared" si="1"/>
        <v>NSE:PAVNAIND</v>
      </c>
      <c r="V1390" s="18"/>
      <c r="W1390" s="18"/>
      <c r="X1390" s="18"/>
    </row>
    <row r="1391">
      <c r="A1391" s="20"/>
      <c r="B1391" s="3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35"/>
      <c r="N1391" s="18"/>
      <c r="O1391" s="18"/>
      <c r="P1391" s="18"/>
      <c r="Q1391" s="34"/>
      <c r="R1391" s="18"/>
      <c r="S1391" s="18"/>
      <c r="T1391" s="19" t="s">
        <v>1411</v>
      </c>
      <c r="U1391" s="9" t="str">
        <f t="shared" si="1"/>
        <v>NSE:BIGBLOC</v>
      </c>
      <c r="V1391" s="18"/>
      <c r="W1391" s="18"/>
      <c r="X1391" s="18"/>
    </row>
    <row r="1392">
      <c r="A1392" s="20"/>
      <c r="B1392" s="3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35"/>
      <c r="N1392" s="18"/>
      <c r="O1392" s="18"/>
      <c r="P1392" s="18"/>
      <c r="Q1392" s="34"/>
      <c r="R1392" s="18"/>
      <c r="S1392" s="18"/>
      <c r="T1392" s="19" t="s">
        <v>1412</v>
      </c>
      <c r="U1392" s="9" t="str">
        <f t="shared" si="1"/>
        <v>NSE:INDTERRAIN</v>
      </c>
      <c r="V1392" s="18"/>
      <c r="W1392" s="18"/>
      <c r="X1392" s="18"/>
    </row>
    <row r="1393">
      <c r="A1393" s="20"/>
      <c r="B1393" s="3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35"/>
      <c r="N1393" s="18"/>
      <c r="O1393" s="18"/>
      <c r="P1393" s="18"/>
      <c r="Q1393" s="34"/>
      <c r="R1393" s="18"/>
      <c r="S1393" s="18"/>
      <c r="T1393" s="19" t="s">
        <v>1413</v>
      </c>
      <c r="U1393" s="9" t="str">
        <f t="shared" si="1"/>
        <v>NSE:GENCON</v>
      </c>
      <c r="V1393" s="18"/>
      <c r="W1393" s="18"/>
      <c r="X1393" s="18"/>
    </row>
    <row r="1394">
      <c r="A1394" s="20"/>
      <c r="B1394" s="3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35"/>
      <c r="N1394" s="18"/>
      <c r="O1394" s="18"/>
      <c r="P1394" s="18"/>
      <c r="Q1394" s="34"/>
      <c r="R1394" s="18"/>
      <c r="S1394" s="18"/>
      <c r="T1394" s="19" t="s">
        <v>1414</v>
      </c>
      <c r="U1394" s="9" t="str">
        <f t="shared" si="1"/>
        <v>NSE:PVSL</v>
      </c>
      <c r="V1394" s="18"/>
      <c r="W1394" s="18"/>
      <c r="X1394" s="18"/>
    </row>
    <row r="1395">
      <c r="A1395" s="20"/>
      <c r="B1395" s="3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35"/>
      <c r="N1395" s="18"/>
      <c r="O1395" s="18"/>
      <c r="P1395" s="18"/>
      <c r="Q1395" s="34"/>
      <c r="R1395" s="18"/>
      <c r="S1395" s="18"/>
      <c r="T1395" s="19" t="s">
        <v>1415</v>
      </c>
      <c r="U1395" s="9" t="str">
        <f t="shared" si="1"/>
        <v>NSE:UTINIFTETF</v>
      </c>
      <c r="V1395" s="18"/>
      <c r="W1395" s="18"/>
      <c r="X1395" s="18"/>
    </row>
    <row r="1396">
      <c r="A1396" s="20"/>
      <c r="B1396" s="3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35"/>
      <c r="N1396" s="18"/>
      <c r="O1396" s="18"/>
      <c r="P1396" s="18"/>
      <c r="Q1396" s="34"/>
      <c r="R1396" s="18"/>
      <c r="S1396" s="18"/>
      <c r="T1396" s="19" t="s">
        <v>1416</v>
      </c>
      <c r="U1396" s="9" t="str">
        <f t="shared" si="1"/>
        <v>NSE:HERCULES</v>
      </c>
      <c r="V1396" s="18"/>
      <c r="W1396" s="18"/>
      <c r="X1396" s="18"/>
    </row>
    <row r="1397">
      <c r="A1397" s="20"/>
      <c r="B1397" s="3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35"/>
      <c r="N1397" s="18"/>
      <c r="O1397" s="18"/>
      <c r="P1397" s="18"/>
      <c r="Q1397" s="34"/>
      <c r="R1397" s="18"/>
      <c r="S1397" s="18"/>
      <c r="T1397" s="19" t="s">
        <v>1417</v>
      </c>
      <c r="U1397" s="9" t="str">
        <f t="shared" si="1"/>
        <v>NSE:GSLSU</v>
      </c>
      <c r="V1397" s="18"/>
      <c r="W1397" s="18"/>
      <c r="X1397" s="18"/>
    </row>
    <row r="1398">
      <c r="A1398" s="20"/>
      <c r="B1398" s="3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35"/>
      <c r="N1398" s="18"/>
      <c r="O1398" s="18"/>
      <c r="P1398" s="18"/>
      <c r="Q1398" s="34"/>
      <c r="R1398" s="18"/>
      <c r="S1398" s="18"/>
      <c r="T1398" s="19" t="s">
        <v>1418</v>
      </c>
      <c r="U1398" s="9" t="str">
        <f t="shared" si="1"/>
        <v>NSE:MINDTECK</v>
      </c>
      <c r="V1398" s="18"/>
      <c r="W1398" s="18"/>
      <c r="X1398" s="18"/>
    </row>
    <row r="1399">
      <c r="A1399" s="20"/>
      <c r="B1399" s="3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35"/>
      <c r="N1399" s="18"/>
      <c r="O1399" s="18"/>
      <c r="P1399" s="18"/>
      <c r="Q1399" s="34"/>
      <c r="R1399" s="18"/>
      <c r="S1399" s="18"/>
      <c r="T1399" s="19" t="s">
        <v>1419</v>
      </c>
      <c r="U1399" s="9" t="str">
        <f t="shared" si="1"/>
        <v>NSE:PLASTIBLEN</v>
      </c>
      <c r="V1399" s="18"/>
      <c r="W1399" s="18"/>
      <c r="X1399" s="18"/>
    </row>
    <row r="1400">
      <c r="A1400" s="20"/>
      <c r="B1400" s="3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35"/>
      <c r="N1400" s="18"/>
      <c r="O1400" s="18"/>
      <c r="P1400" s="18"/>
      <c r="Q1400" s="34"/>
      <c r="R1400" s="18"/>
      <c r="S1400" s="18"/>
      <c r="T1400" s="19" t="s">
        <v>1420</v>
      </c>
      <c r="U1400" s="9" t="str">
        <f t="shared" si="1"/>
        <v>NSE:LICMFGOLD</v>
      </c>
      <c r="V1400" s="18"/>
      <c r="W1400" s="18"/>
      <c r="X1400" s="18"/>
    </row>
    <row r="1401">
      <c r="A1401" s="20"/>
      <c r="B1401" s="3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35"/>
      <c r="N1401" s="18"/>
      <c r="O1401" s="18"/>
      <c r="P1401" s="18"/>
      <c r="Q1401" s="34"/>
      <c r="R1401" s="18"/>
      <c r="S1401" s="18"/>
      <c r="T1401" s="19" t="s">
        <v>1421</v>
      </c>
      <c r="U1401" s="9" t="str">
        <f t="shared" si="1"/>
        <v>NSE:INNOVANA</v>
      </c>
      <c r="V1401" s="18"/>
      <c r="W1401" s="18"/>
      <c r="X1401" s="18"/>
    </row>
    <row r="1402">
      <c r="A1402" s="20"/>
      <c r="B1402" s="3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35"/>
      <c r="N1402" s="18"/>
      <c r="O1402" s="18"/>
      <c r="P1402" s="18"/>
      <c r="Q1402" s="34"/>
      <c r="R1402" s="18"/>
      <c r="S1402" s="18"/>
      <c r="T1402" s="19" t="s">
        <v>1422</v>
      </c>
      <c r="U1402" s="9" t="str">
        <f t="shared" si="1"/>
        <v>NSE:VSTL</v>
      </c>
      <c r="V1402" s="18"/>
      <c r="W1402" s="18"/>
      <c r="X1402" s="18"/>
    </row>
    <row r="1403">
      <c r="A1403" s="20"/>
      <c r="B1403" s="3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35"/>
      <c r="N1403" s="18"/>
      <c r="O1403" s="18"/>
      <c r="P1403" s="18"/>
      <c r="Q1403" s="34"/>
      <c r="R1403" s="18"/>
      <c r="S1403" s="18"/>
      <c r="T1403" s="19" t="s">
        <v>1423</v>
      </c>
      <c r="U1403" s="9" t="str">
        <f t="shared" si="1"/>
        <v>NSE:IGARASHI</v>
      </c>
      <c r="V1403" s="18"/>
      <c r="W1403" s="18"/>
      <c r="X1403" s="18"/>
    </row>
    <row r="1404">
      <c r="A1404" s="20"/>
      <c r="B1404" s="3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35"/>
      <c r="N1404" s="18"/>
      <c r="O1404" s="18"/>
      <c r="P1404" s="18"/>
      <c r="Q1404" s="34"/>
      <c r="R1404" s="18"/>
      <c r="S1404" s="18"/>
      <c r="T1404" s="19" t="s">
        <v>1424</v>
      </c>
      <c r="U1404" s="9" t="str">
        <f t="shared" si="1"/>
        <v>NSE:SANGAMIND</v>
      </c>
      <c r="V1404" s="18"/>
      <c r="W1404" s="18"/>
      <c r="X1404" s="18"/>
    </row>
    <row r="1405">
      <c r="A1405" s="20"/>
      <c r="B1405" s="3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35"/>
      <c r="N1405" s="18"/>
      <c r="O1405" s="18"/>
      <c r="P1405" s="18"/>
      <c r="Q1405" s="34"/>
      <c r="R1405" s="18"/>
      <c r="S1405" s="18"/>
      <c r="T1405" s="19" t="s">
        <v>1425</v>
      </c>
      <c r="U1405" s="9" t="str">
        <f t="shared" si="1"/>
        <v>NSE:BHAGERIA</v>
      </c>
      <c r="V1405" s="18"/>
      <c r="W1405" s="18"/>
      <c r="X1405" s="18"/>
    </row>
    <row r="1406">
      <c r="A1406" s="20"/>
      <c r="B1406" s="3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35"/>
      <c r="N1406" s="18"/>
      <c r="O1406" s="18"/>
      <c r="P1406" s="18"/>
      <c r="Q1406" s="34"/>
      <c r="R1406" s="18"/>
      <c r="S1406" s="18"/>
      <c r="T1406" s="19" t="s">
        <v>1426</v>
      </c>
      <c r="U1406" s="9" t="str">
        <f t="shared" si="1"/>
        <v>NSE:SUTLEJTEX</v>
      </c>
      <c r="V1406" s="18"/>
      <c r="W1406" s="18"/>
      <c r="X1406" s="18"/>
    </row>
    <row r="1407">
      <c r="A1407" s="20"/>
      <c r="B1407" s="3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35"/>
      <c r="N1407" s="18"/>
      <c r="O1407" s="18"/>
      <c r="P1407" s="18"/>
      <c r="Q1407" s="34"/>
      <c r="R1407" s="18"/>
      <c r="S1407" s="18"/>
      <c r="T1407" s="19" t="s">
        <v>1427</v>
      </c>
      <c r="U1407" s="9" t="str">
        <f t="shared" si="1"/>
        <v>NSE:CAPITALSFB</v>
      </c>
      <c r="V1407" s="18"/>
      <c r="W1407" s="18"/>
      <c r="X1407" s="18"/>
    </row>
    <row r="1408">
      <c r="A1408" s="20"/>
      <c r="B1408" s="3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35"/>
      <c r="N1408" s="18"/>
      <c r="O1408" s="18"/>
      <c r="P1408" s="18"/>
      <c r="Q1408" s="34"/>
      <c r="R1408" s="18"/>
      <c r="S1408" s="18"/>
      <c r="T1408" s="19" t="s">
        <v>1428</v>
      </c>
      <c r="U1408" s="9" t="str">
        <f t="shared" si="1"/>
        <v>NSE:STCINDIA</v>
      </c>
      <c r="V1408" s="18"/>
      <c r="W1408" s="18"/>
      <c r="X1408" s="18"/>
    </row>
    <row r="1409">
      <c r="A1409" s="20"/>
      <c r="B1409" s="3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35"/>
      <c r="N1409" s="18"/>
      <c r="O1409" s="18"/>
      <c r="P1409" s="18"/>
      <c r="Q1409" s="34"/>
      <c r="R1409" s="18"/>
      <c r="S1409" s="18"/>
      <c r="T1409" s="19" t="s">
        <v>1429</v>
      </c>
      <c r="U1409" s="9" t="str">
        <f t="shared" si="1"/>
        <v>NSE:GMBREW</v>
      </c>
      <c r="V1409" s="18"/>
      <c r="W1409" s="18"/>
      <c r="X1409" s="18"/>
    </row>
    <row r="1410">
      <c r="A1410" s="20"/>
      <c r="B1410" s="3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35"/>
      <c r="N1410" s="18"/>
      <c r="O1410" s="18"/>
      <c r="P1410" s="18"/>
      <c r="Q1410" s="34"/>
      <c r="R1410" s="18"/>
      <c r="S1410" s="18"/>
      <c r="T1410" s="19" t="s">
        <v>1430</v>
      </c>
      <c r="U1410" s="9" t="str">
        <f t="shared" si="1"/>
        <v>NSE:MOKSH</v>
      </c>
      <c r="V1410" s="18"/>
      <c r="W1410" s="18"/>
      <c r="X1410" s="18"/>
    </row>
    <row r="1411">
      <c r="A1411" s="20"/>
      <c r="B1411" s="3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35"/>
      <c r="N1411" s="18"/>
      <c r="O1411" s="18"/>
      <c r="P1411" s="18"/>
      <c r="Q1411" s="34"/>
      <c r="R1411" s="18"/>
      <c r="S1411" s="18"/>
      <c r="T1411" s="19" t="s">
        <v>1431</v>
      </c>
      <c r="U1411" s="9" t="str">
        <f t="shared" si="1"/>
        <v>NSE:SURANASOL</v>
      </c>
      <c r="V1411" s="18"/>
      <c r="W1411" s="18"/>
      <c r="X1411" s="18"/>
    </row>
    <row r="1412">
      <c r="A1412" s="20"/>
      <c r="B1412" s="3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35"/>
      <c r="N1412" s="18"/>
      <c r="O1412" s="18"/>
      <c r="P1412" s="18"/>
      <c r="Q1412" s="34"/>
      <c r="R1412" s="18"/>
      <c r="S1412" s="18"/>
      <c r="T1412" s="19" t="s">
        <v>1432</v>
      </c>
      <c r="U1412" s="9" t="str">
        <f t="shared" si="1"/>
        <v>NSE:ALBERTDAVD</v>
      </c>
      <c r="V1412" s="18"/>
      <c r="W1412" s="18"/>
      <c r="X1412" s="18"/>
    </row>
    <row r="1413">
      <c r="A1413" s="20"/>
      <c r="B1413" s="3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35"/>
      <c r="N1413" s="18"/>
      <c r="O1413" s="18"/>
      <c r="P1413" s="18"/>
      <c r="Q1413" s="34"/>
      <c r="R1413" s="18"/>
      <c r="S1413" s="18"/>
      <c r="T1413" s="19" t="s">
        <v>1433</v>
      </c>
      <c r="U1413" s="9" t="str">
        <f t="shared" si="1"/>
        <v>NSE:KRITI</v>
      </c>
      <c r="V1413" s="18"/>
      <c r="W1413" s="18"/>
      <c r="X1413" s="18"/>
    </row>
    <row r="1414">
      <c r="A1414" s="20"/>
      <c r="B1414" s="3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35"/>
      <c r="N1414" s="18"/>
      <c r="O1414" s="18"/>
      <c r="P1414" s="18"/>
      <c r="Q1414" s="34"/>
      <c r="R1414" s="18"/>
      <c r="S1414" s="18"/>
      <c r="T1414" s="19" t="s">
        <v>1434</v>
      </c>
      <c r="U1414" s="9" t="str">
        <f t="shared" si="1"/>
        <v>NSE:DBEIL</v>
      </c>
      <c r="V1414" s="18"/>
      <c r="W1414" s="18"/>
      <c r="X1414" s="18"/>
    </row>
    <row r="1415">
      <c r="A1415" s="20"/>
      <c r="B1415" s="3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35"/>
      <c r="N1415" s="18"/>
      <c r="O1415" s="18"/>
      <c r="P1415" s="18"/>
      <c r="Q1415" s="34"/>
      <c r="R1415" s="18"/>
      <c r="S1415" s="18"/>
      <c r="T1415" s="19" t="s">
        <v>1435</v>
      </c>
      <c r="U1415" s="9" t="str">
        <f t="shared" si="1"/>
        <v>NSE:MUKKA</v>
      </c>
      <c r="V1415" s="18"/>
      <c r="W1415" s="18"/>
      <c r="X1415" s="18"/>
    </row>
    <row r="1416">
      <c r="A1416" s="20"/>
      <c r="B1416" s="3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35"/>
      <c r="N1416" s="18"/>
      <c r="O1416" s="18"/>
      <c r="P1416" s="18"/>
      <c r="Q1416" s="34"/>
      <c r="R1416" s="18"/>
      <c r="S1416" s="18"/>
      <c r="T1416" s="19" t="s">
        <v>1436</v>
      </c>
      <c r="U1416" s="9" t="str">
        <f t="shared" si="1"/>
        <v>NSE:HPAL</v>
      </c>
      <c r="V1416" s="18"/>
      <c r="W1416" s="18"/>
      <c r="X1416" s="18"/>
    </row>
    <row r="1417">
      <c r="A1417" s="20"/>
      <c r="B1417" s="3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35"/>
      <c r="N1417" s="18"/>
      <c r="O1417" s="18"/>
      <c r="P1417" s="18"/>
      <c r="Q1417" s="34"/>
      <c r="R1417" s="18"/>
      <c r="S1417" s="18"/>
      <c r="T1417" s="19" t="s">
        <v>1437</v>
      </c>
      <c r="U1417" s="9" t="str">
        <f t="shared" si="1"/>
        <v>NSE:CAPTRUST</v>
      </c>
      <c r="V1417" s="18"/>
      <c r="W1417" s="18"/>
      <c r="X1417" s="18"/>
    </row>
    <row r="1418">
      <c r="A1418" s="20"/>
      <c r="B1418" s="3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35"/>
      <c r="N1418" s="18"/>
      <c r="O1418" s="18"/>
      <c r="P1418" s="18"/>
      <c r="Q1418" s="34"/>
      <c r="R1418" s="18"/>
      <c r="S1418" s="18"/>
      <c r="T1418" s="19" t="s">
        <v>1438</v>
      </c>
      <c r="U1418" s="9" t="str">
        <f t="shared" si="1"/>
        <v>NSE:PRITIKAUTO</v>
      </c>
      <c r="V1418" s="18"/>
      <c r="W1418" s="18"/>
      <c r="X1418" s="18"/>
    </row>
    <row r="1419">
      <c r="A1419" s="20"/>
      <c r="B1419" s="3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35"/>
      <c r="N1419" s="18"/>
      <c r="O1419" s="18"/>
      <c r="P1419" s="18"/>
      <c r="Q1419" s="34"/>
      <c r="R1419" s="18"/>
      <c r="S1419" s="18"/>
      <c r="T1419" s="19" t="s">
        <v>1439</v>
      </c>
      <c r="U1419" s="9" t="str">
        <f t="shared" si="1"/>
        <v>NSE:JINDALPHOT</v>
      </c>
      <c r="V1419" s="18"/>
      <c r="W1419" s="18"/>
      <c r="X1419" s="18"/>
    </row>
    <row r="1420">
      <c r="A1420" s="20"/>
      <c r="B1420" s="3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35"/>
      <c r="N1420" s="18"/>
      <c r="O1420" s="18"/>
      <c r="P1420" s="18"/>
      <c r="Q1420" s="34"/>
      <c r="R1420" s="18"/>
      <c r="S1420" s="18"/>
      <c r="T1420" s="19" t="s">
        <v>1440</v>
      </c>
      <c r="U1420" s="9" t="str">
        <f t="shared" si="1"/>
        <v>NSE:RAMCOSYS</v>
      </c>
      <c r="V1420" s="18"/>
      <c r="W1420" s="18"/>
      <c r="X1420" s="18"/>
    </row>
    <row r="1421">
      <c r="A1421" s="20"/>
      <c r="B1421" s="3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35"/>
      <c r="N1421" s="18"/>
      <c r="O1421" s="18"/>
      <c r="P1421" s="18"/>
      <c r="Q1421" s="34"/>
      <c r="R1421" s="18"/>
      <c r="S1421" s="18"/>
      <c r="T1421" s="19" t="s">
        <v>1441</v>
      </c>
      <c r="U1421" s="9" t="str">
        <f t="shared" si="1"/>
        <v>NSE:BANKIETF</v>
      </c>
      <c r="V1421" s="18"/>
      <c r="W1421" s="18"/>
      <c r="X1421" s="18"/>
    </row>
    <row r="1422">
      <c r="A1422" s="20"/>
      <c r="B1422" s="3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35"/>
      <c r="N1422" s="18"/>
      <c r="O1422" s="18"/>
      <c r="P1422" s="18"/>
      <c r="Q1422" s="34"/>
      <c r="R1422" s="18"/>
      <c r="S1422" s="18"/>
      <c r="T1422" s="19" t="s">
        <v>1442</v>
      </c>
      <c r="U1422" s="9" t="str">
        <f t="shared" si="1"/>
        <v>NSE:IRISDOREME</v>
      </c>
      <c r="V1422" s="18"/>
      <c r="W1422" s="18"/>
      <c r="X1422" s="18"/>
    </row>
    <row r="1423">
      <c r="A1423" s="20"/>
      <c r="B1423" s="3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35"/>
      <c r="N1423" s="18"/>
      <c r="O1423" s="18"/>
      <c r="P1423" s="18"/>
      <c r="Q1423" s="34"/>
      <c r="R1423" s="18"/>
      <c r="S1423" s="18"/>
      <c r="T1423" s="19" t="s">
        <v>1443</v>
      </c>
      <c r="U1423" s="9" t="str">
        <f t="shared" si="1"/>
        <v>NSE:LOWVOL1</v>
      </c>
      <c r="V1423" s="18"/>
      <c r="W1423" s="18"/>
      <c r="X1423" s="18"/>
    </row>
    <row r="1424">
      <c r="A1424" s="20"/>
      <c r="B1424" s="3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35"/>
      <c r="N1424" s="18"/>
      <c r="O1424" s="18"/>
      <c r="P1424" s="18"/>
      <c r="Q1424" s="34"/>
      <c r="R1424" s="18"/>
      <c r="S1424" s="18"/>
      <c r="T1424" s="19" t="s">
        <v>1444</v>
      </c>
      <c r="U1424" s="9" t="str">
        <f t="shared" si="1"/>
        <v>NSE:NATHBIOGEN</v>
      </c>
      <c r="V1424" s="18"/>
      <c r="W1424" s="18"/>
      <c r="X1424" s="18"/>
    </row>
    <row r="1425">
      <c r="A1425" s="20"/>
      <c r="B1425" s="3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35"/>
      <c r="N1425" s="18"/>
      <c r="O1425" s="18"/>
      <c r="P1425" s="18"/>
      <c r="Q1425" s="34"/>
      <c r="R1425" s="18"/>
      <c r="S1425" s="18"/>
      <c r="T1425" s="19" t="s">
        <v>1445</v>
      </c>
      <c r="U1425" s="9" t="str">
        <f t="shared" si="1"/>
        <v>NSE:ALLDIGI</v>
      </c>
      <c r="V1425" s="18"/>
      <c r="W1425" s="18"/>
      <c r="X1425" s="18"/>
    </row>
    <row r="1426">
      <c r="A1426" s="20"/>
      <c r="B1426" s="3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35"/>
      <c r="N1426" s="18"/>
      <c r="O1426" s="18"/>
      <c r="P1426" s="18"/>
      <c r="Q1426" s="34"/>
      <c r="R1426" s="18"/>
      <c r="S1426" s="18"/>
      <c r="T1426" s="19" t="s">
        <v>1446</v>
      </c>
      <c r="U1426" s="9" t="str">
        <f t="shared" si="1"/>
        <v>NSE:NCLIND</v>
      </c>
      <c r="V1426" s="18"/>
      <c r="W1426" s="18"/>
      <c r="X1426" s="18"/>
    </row>
    <row r="1427">
      <c r="A1427" s="20"/>
      <c r="B1427" s="3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35"/>
      <c r="N1427" s="18"/>
      <c r="O1427" s="18"/>
      <c r="P1427" s="18"/>
      <c r="Q1427" s="34"/>
      <c r="R1427" s="18"/>
      <c r="S1427" s="18"/>
      <c r="T1427" s="19" t="s">
        <v>1447</v>
      </c>
      <c r="U1427" s="9" t="str">
        <f t="shared" si="1"/>
        <v>NSE:STEELCAS</v>
      </c>
      <c r="V1427" s="18"/>
      <c r="W1427" s="18"/>
      <c r="X1427" s="18"/>
    </row>
    <row r="1428">
      <c r="A1428" s="20"/>
      <c r="B1428" s="3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35"/>
      <c r="N1428" s="18"/>
      <c r="O1428" s="18"/>
      <c r="P1428" s="18"/>
      <c r="Q1428" s="34"/>
      <c r="R1428" s="18"/>
      <c r="S1428" s="18"/>
      <c r="T1428" s="19" t="s">
        <v>1448</v>
      </c>
      <c r="U1428" s="9" t="str">
        <f t="shared" si="1"/>
        <v>NSE:VIDHIING</v>
      </c>
      <c r="V1428" s="18"/>
      <c r="W1428" s="18"/>
      <c r="X1428" s="18"/>
    </row>
    <row r="1429">
      <c r="A1429" s="20"/>
      <c r="B1429" s="3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35"/>
      <c r="N1429" s="18"/>
      <c r="O1429" s="18"/>
      <c r="P1429" s="18"/>
      <c r="Q1429" s="34"/>
      <c r="R1429" s="18"/>
      <c r="S1429" s="18"/>
      <c r="T1429" s="19" t="s">
        <v>1449</v>
      </c>
      <c r="U1429" s="9" t="str">
        <f t="shared" si="1"/>
        <v>NSE:5PAISA</v>
      </c>
      <c r="V1429" s="18"/>
      <c r="W1429" s="18"/>
      <c r="X1429" s="18"/>
    </row>
    <row r="1430">
      <c r="A1430" s="20"/>
      <c r="B1430" s="3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35"/>
      <c r="N1430" s="18"/>
      <c r="O1430" s="18"/>
      <c r="P1430" s="18"/>
      <c r="Q1430" s="34"/>
      <c r="R1430" s="18"/>
      <c r="S1430" s="18"/>
      <c r="T1430" s="19" t="s">
        <v>1450</v>
      </c>
      <c r="U1430" s="9" t="str">
        <f t="shared" si="1"/>
        <v>NSE:SMSPHARMA</v>
      </c>
      <c r="V1430" s="18"/>
      <c r="W1430" s="18"/>
      <c r="X1430" s="18"/>
    </row>
    <row r="1431">
      <c r="A1431" s="20"/>
      <c r="B1431" s="3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35"/>
      <c r="N1431" s="18"/>
      <c r="O1431" s="18"/>
      <c r="P1431" s="18"/>
      <c r="Q1431" s="34"/>
      <c r="R1431" s="18"/>
      <c r="S1431" s="18"/>
      <c r="T1431" s="19" t="s">
        <v>1451</v>
      </c>
      <c r="U1431" s="9" t="str">
        <f t="shared" si="1"/>
        <v>NSE:HARRMALAYA</v>
      </c>
      <c r="V1431" s="18"/>
      <c r="W1431" s="18"/>
      <c r="X1431" s="18"/>
    </row>
    <row r="1432">
      <c r="A1432" s="20"/>
      <c r="B1432" s="3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35"/>
      <c r="N1432" s="18"/>
      <c r="O1432" s="18"/>
      <c r="P1432" s="18"/>
      <c r="Q1432" s="34"/>
      <c r="R1432" s="18"/>
      <c r="S1432" s="18"/>
      <c r="T1432" s="19" t="s">
        <v>1452</v>
      </c>
      <c r="U1432" s="9" t="str">
        <f t="shared" si="1"/>
        <v>NSE:OSIAHYPER</v>
      </c>
      <c r="V1432" s="18"/>
      <c r="W1432" s="18"/>
      <c r="X1432" s="18"/>
    </row>
    <row r="1433">
      <c r="A1433" s="20"/>
      <c r="B1433" s="3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35"/>
      <c r="N1433" s="18"/>
      <c r="O1433" s="18"/>
      <c r="P1433" s="18"/>
      <c r="Q1433" s="34"/>
      <c r="R1433" s="18"/>
      <c r="S1433" s="18"/>
      <c r="T1433" s="19" t="s">
        <v>1453</v>
      </c>
      <c r="U1433" s="9" t="str">
        <f t="shared" si="1"/>
        <v>NSE:NIF100BEES</v>
      </c>
      <c r="V1433" s="18"/>
      <c r="W1433" s="18"/>
      <c r="X1433" s="18"/>
    </row>
    <row r="1434">
      <c r="A1434" s="20"/>
      <c r="B1434" s="3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35"/>
      <c r="N1434" s="18"/>
      <c r="O1434" s="18"/>
      <c r="P1434" s="18"/>
      <c r="Q1434" s="34"/>
      <c r="R1434" s="18"/>
      <c r="S1434" s="18"/>
      <c r="T1434" s="19" t="s">
        <v>1454</v>
      </c>
      <c r="U1434" s="9" t="str">
        <f t="shared" si="1"/>
        <v>NSE:JGCHEM</v>
      </c>
      <c r="V1434" s="18"/>
      <c r="W1434" s="18"/>
      <c r="X1434" s="18"/>
    </row>
    <row r="1435">
      <c r="A1435" s="20"/>
      <c r="B1435" s="3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35"/>
      <c r="N1435" s="18"/>
      <c r="O1435" s="18"/>
      <c r="P1435" s="18"/>
      <c r="Q1435" s="34"/>
      <c r="R1435" s="18"/>
      <c r="S1435" s="18"/>
      <c r="T1435" s="19" t="s">
        <v>1455</v>
      </c>
      <c r="U1435" s="9" t="str">
        <f t="shared" si="1"/>
        <v>NSE:BOROSCI</v>
      </c>
      <c r="V1435" s="18"/>
      <c r="W1435" s="18"/>
      <c r="X1435" s="18"/>
    </row>
    <row r="1436">
      <c r="A1436" s="20"/>
      <c r="B1436" s="3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35"/>
      <c r="N1436" s="18"/>
      <c r="O1436" s="18"/>
      <c r="P1436" s="18"/>
      <c r="Q1436" s="34"/>
      <c r="R1436" s="18"/>
      <c r="S1436" s="18"/>
      <c r="T1436" s="19" t="s">
        <v>1456</v>
      </c>
      <c r="U1436" s="9" t="str">
        <f t="shared" si="1"/>
        <v>NSE:NIFTY1</v>
      </c>
      <c r="V1436" s="18"/>
      <c r="W1436" s="18"/>
      <c r="X1436" s="18"/>
    </row>
    <row r="1437">
      <c r="A1437" s="20"/>
      <c r="B1437" s="3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35"/>
      <c r="N1437" s="18"/>
      <c r="O1437" s="18"/>
      <c r="P1437" s="18"/>
      <c r="Q1437" s="34"/>
      <c r="R1437" s="18"/>
      <c r="S1437" s="18"/>
      <c r="T1437" s="19" t="s">
        <v>1457</v>
      </c>
      <c r="U1437" s="9" t="str">
        <f t="shared" si="1"/>
        <v>NSE:SCHAND</v>
      </c>
      <c r="V1437" s="18"/>
      <c r="W1437" s="18"/>
      <c r="X1437" s="18"/>
    </row>
    <row r="1438">
      <c r="A1438" s="20"/>
      <c r="B1438" s="3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35"/>
      <c r="N1438" s="18"/>
      <c r="O1438" s="18"/>
      <c r="P1438" s="18"/>
      <c r="Q1438" s="34"/>
      <c r="R1438" s="18"/>
      <c r="S1438" s="18"/>
      <c r="T1438" s="19" t="s">
        <v>1458</v>
      </c>
      <c r="U1438" s="9" t="str">
        <f t="shared" si="1"/>
        <v>NSE:UDAICEMENT</v>
      </c>
      <c r="V1438" s="18"/>
      <c r="W1438" s="18"/>
      <c r="X1438" s="18"/>
    </row>
    <row r="1439">
      <c r="A1439" s="20"/>
      <c r="B1439" s="3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35"/>
      <c r="N1439" s="18"/>
      <c r="O1439" s="18"/>
      <c r="P1439" s="18"/>
      <c r="Q1439" s="34"/>
      <c r="R1439" s="18"/>
      <c r="S1439" s="18"/>
      <c r="T1439" s="19" t="s">
        <v>1459</v>
      </c>
      <c r="U1439" s="9" t="str">
        <f t="shared" si="1"/>
        <v>NSE:SAKAR</v>
      </c>
      <c r="V1439" s="18"/>
      <c r="W1439" s="18"/>
      <c r="X1439" s="18"/>
    </row>
    <row r="1440">
      <c r="A1440" s="20"/>
      <c r="B1440" s="3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35"/>
      <c r="N1440" s="18"/>
      <c r="O1440" s="18"/>
      <c r="P1440" s="18"/>
      <c r="Q1440" s="34"/>
      <c r="R1440" s="18"/>
      <c r="S1440" s="18"/>
      <c r="T1440" s="19" t="s">
        <v>1460</v>
      </c>
      <c r="U1440" s="9" t="str">
        <f t="shared" si="1"/>
        <v>NSE:VARDHACRLC</v>
      </c>
      <c r="V1440" s="18"/>
      <c r="W1440" s="18"/>
      <c r="X1440" s="18"/>
    </row>
    <row r="1441">
      <c r="A1441" s="20"/>
      <c r="B1441" s="3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35"/>
      <c r="N1441" s="18"/>
      <c r="O1441" s="18"/>
      <c r="P1441" s="18"/>
      <c r="Q1441" s="34"/>
      <c r="R1441" s="18"/>
      <c r="S1441" s="18"/>
      <c r="T1441" s="19" t="s">
        <v>1461</v>
      </c>
      <c r="U1441" s="9" t="str">
        <f t="shared" si="1"/>
        <v>NSE:MBAPL</v>
      </c>
      <c r="V1441" s="18"/>
      <c r="W1441" s="18"/>
      <c r="X1441" s="18"/>
    </row>
    <row r="1442">
      <c r="A1442" s="20"/>
      <c r="B1442" s="3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35"/>
      <c r="N1442" s="18"/>
      <c r="O1442" s="18"/>
      <c r="P1442" s="18"/>
      <c r="Q1442" s="34"/>
      <c r="R1442" s="18"/>
      <c r="S1442" s="18"/>
      <c r="T1442" s="19" t="s">
        <v>1462</v>
      </c>
      <c r="U1442" s="9" t="str">
        <f t="shared" si="1"/>
        <v>NSE:REPRO</v>
      </c>
      <c r="V1442" s="18"/>
      <c r="W1442" s="18"/>
      <c r="X1442" s="18"/>
    </row>
    <row r="1443">
      <c r="A1443" s="20"/>
      <c r="B1443" s="3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35"/>
      <c r="N1443" s="18"/>
      <c r="O1443" s="18"/>
      <c r="P1443" s="18"/>
      <c r="Q1443" s="34"/>
      <c r="R1443" s="18"/>
      <c r="S1443" s="18"/>
      <c r="T1443" s="19" t="s">
        <v>1463</v>
      </c>
      <c r="U1443" s="9" t="str">
        <f t="shared" si="1"/>
        <v>NSE:TNIDETF</v>
      </c>
      <c r="V1443" s="18"/>
      <c r="W1443" s="18"/>
      <c r="X1443" s="18"/>
    </row>
    <row r="1444">
      <c r="A1444" s="20"/>
      <c r="B1444" s="3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35"/>
      <c r="N1444" s="18"/>
      <c r="O1444" s="18"/>
      <c r="P1444" s="18"/>
      <c r="Q1444" s="34"/>
      <c r="R1444" s="18"/>
      <c r="S1444" s="18"/>
      <c r="T1444" s="19" t="s">
        <v>1464</v>
      </c>
      <c r="U1444" s="9" t="str">
        <f t="shared" si="1"/>
        <v>NSE:WHEELS</v>
      </c>
      <c r="V1444" s="18"/>
      <c r="W1444" s="18"/>
      <c r="X1444" s="18"/>
    </row>
    <row r="1445">
      <c r="A1445" s="20"/>
      <c r="B1445" s="3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35"/>
      <c r="N1445" s="18"/>
      <c r="O1445" s="18"/>
      <c r="P1445" s="18"/>
      <c r="Q1445" s="34"/>
      <c r="R1445" s="18"/>
      <c r="S1445" s="18"/>
      <c r="T1445" s="19" t="s">
        <v>1465</v>
      </c>
      <c r="U1445" s="9" t="str">
        <f t="shared" si="1"/>
        <v>NSE:NAHARSPING</v>
      </c>
      <c r="V1445" s="18"/>
      <c r="W1445" s="18"/>
      <c r="X1445" s="18"/>
    </row>
    <row r="1446">
      <c r="A1446" s="20"/>
      <c r="B1446" s="3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35"/>
      <c r="N1446" s="18"/>
      <c r="O1446" s="18"/>
      <c r="P1446" s="18"/>
      <c r="Q1446" s="34"/>
      <c r="R1446" s="18"/>
      <c r="S1446" s="18"/>
      <c r="T1446" s="19" t="s">
        <v>1466</v>
      </c>
      <c r="U1446" s="9" t="str">
        <f t="shared" si="1"/>
        <v>NSE:EMMBI</v>
      </c>
      <c r="V1446" s="18"/>
      <c r="W1446" s="18"/>
      <c r="X1446" s="18"/>
    </row>
    <row r="1447">
      <c r="A1447" s="20"/>
      <c r="B1447" s="3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35"/>
      <c r="N1447" s="18"/>
      <c r="O1447" s="18"/>
      <c r="P1447" s="18"/>
      <c r="Q1447" s="34"/>
      <c r="R1447" s="18"/>
      <c r="S1447" s="18"/>
      <c r="T1447" s="19" t="s">
        <v>1467</v>
      </c>
      <c r="U1447" s="9" t="str">
        <f t="shared" si="1"/>
        <v>NSE:PRAXIS</v>
      </c>
      <c r="V1447" s="18"/>
      <c r="W1447" s="18"/>
      <c r="X1447" s="18"/>
    </row>
    <row r="1448">
      <c r="A1448" s="20"/>
      <c r="B1448" s="3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35"/>
      <c r="N1448" s="18"/>
      <c r="O1448" s="18"/>
      <c r="P1448" s="18"/>
      <c r="Q1448" s="34"/>
      <c r="R1448" s="18"/>
      <c r="S1448" s="18"/>
      <c r="T1448" s="19" t="s">
        <v>1468</v>
      </c>
      <c r="U1448" s="9" t="str">
        <f t="shared" si="1"/>
        <v>NSE:VIKASLIFE</v>
      </c>
      <c r="V1448" s="18"/>
      <c r="W1448" s="18"/>
      <c r="X1448" s="18"/>
    </row>
    <row r="1449">
      <c r="A1449" s="20"/>
      <c r="B1449" s="3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35"/>
      <c r="N1449" s="18"/>
      <c r="O1449" s="18"/>
      <c r="P1449" s="18"/>
      <c r="Q1449" s="34"/>
      <c r="R1449" s="18"/>
      <c r="S1449" s="18"/>
      <c r="T1449" s="19" t="s">
        <v>1469</v>
      </c>
      <c r="U1449" s="9" t="str">
        <f t="shared" si="1"/>
        <v>NSE:ANMOL</v>
      </c>
      <c r="V1449" s="18"/>
      <c r="W1449" s="18"/>
      <c r="X1449" s="18"/>
    </row>
    <row r="1450">
      <c r="A1450" s="20"/>
      <c r="B1450" s="3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35"/>
      <c r="N1450" s="18"/>
      <c r="O1450" s="18"/>
      <c r="P1450" s="18"/>
      <c r="Q1450" s="34"/>
      <c r="R1450" s="18"/>
      <c r="S1450" s="18"/>
      <c r="T1450" s="19" t="s">
        <v>1470</v>
      </c>
      <c r="U1450" s="9" t="str">
        <f t="shared" si="1"/>
        <v>NSE:CSLFINANCE</v>
      </c>
      <c r="V1450" s="18"/>
      <c r="W1450" s="18"/>
      <c r="X1450" s="18"/>
    </row>
    <row r="1451">
      <c r="A1451" s="20"/>
      <c r="B1451" s="3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35"/>
      <c r="N1451" s="18"/>
      <c r="O1451" s="18"/>
      <c r="P1451" s="18"/>
      <c r="Q1451" s="34"/>
      <c r="R1451" s="18"/>
      <c r="S1451" s="18"/>
      <c r="T1451" s="19" t="s">
        <v>1471</v>
      </c>
      <c r="U1451" s="9" t="str">
        <f t="shared" si="1"/>
        <v>NSE:BAJAJINDEF</v>
      </c>
      <c r="V1451" s="18"/>
      <c r="W1451" s="18"/>
      <c r="X1451" s="18"/>
    </row>
    <row r="1452">
      <c r="A1452" s="20"/>
      <c r="B1452" s="3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35"/>
      <c r="N1452" s="18"/>
      <c r="O1452" s="18"/>
      <c r="P1452" s="18"/>
      <c r="Q1452" s="34"/>
      <c r="R1452" s="18"/>
      <c r="S1452" s="18"/>
      <c r="T1452" s="19" t="s">
        <v>1472</v>
      </c>
      <c r="U1452" s="9" t="str">
        <f t="shared" si="1"/>
        <v>NSE:BFINVEST</v>
      </c>
      <c r="V1452" s="18"/>
      <c r="W1452" s="18"/>
      <c r="X1452" s="18"/>
    </row>
    <row r="1453">
      <c r="A1453" s="20"/>
      <c r="B1453" s="3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35"/>
      <c r="N1453" s="18"/>
      <c r="O1453" s="18"/>
      <c r="P1453" s="18"/>
      <c r="Q1453" s="34"/>
      <c r="R1453" s="18"/>
      <c r="S1453" s="18"/>
      <c r="T1453" s="19" t="s">
        <v>1473</v>
      </c>
      <c r="U1453" s="9" t="str">
        <f t="shared" si="1"/>
        <v>NSE:SHANTIGEAR</v>
      </c>
      <c r="V1453" s="18"/>
      <c r="W1453" s="18"/>
      <c r="X1453" s="18"/>
    </row>
    <row r="1454">
      <c r="A1454" s="20"/>
      <c r="B1454" s="3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35"/>
      <c r="N1454" s="18"/>
      <c r="O1454" s="18"/>
      <c r="P1454" s="18"/>
      <c r="Q1454" s="34"/>
      <c r="R1454" s="18"/>
      <c r="S1454" s="18"/>
      <c r="T1454" s="19" t="s">
        <v>1474</v>
      </c>
      <c r="U1454" s="9" t="str">
        <f t="shared" si="1"/>
        <v>NSE:NEXT50</v>
      </c>
      <c r="V1454" s="18"/>
      <c r="W1454" s="18"/>
      <c r="X1454" s="18"/>
    </row>
    <row r="1455">
      <c r="A1455" s="20"/>
      <c r="B1455" s="3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35"/>
      <c r="N1455" s="18"/>
      <c r="O1455" s="18"/>
      <c r="P1455" s="18"/>
      <c r="Q1455" s="34"/>
      <c r="R1455" s="18"/>
      <c r="S1455" s="18"/>
      <c r="T1455" s="19" t="s">
        <v>1475</v>
      </c>
      <c r="U1455" s="9" t="str">
        <f t="shared" si="1"/>
        <v>NSE:BCONCEPTS</v>
      </c>
      <c r="V1455" s="18"/>
      <c r="W1455" s="18"/>
      <c r="X1455" s="18"/>
    </row>
    <row r="1456">
      <c r="A1456" s="20"/>
      <c r="B1456" s="3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35"/>
      <c r="N1456" s="18"/>
      <c r="O1456" s="18"/>
      <c r="P1456" s="18"/>
      <c r="Q1456" s="34"/>
      <c r="R1456" s="18"/>
      <c r="S1456" s="18"/>
      <c r="T1456" s="19" t="s">
        <v>1476</v>
      </c>
      <c r="U1456" s="9" t="str">
        <f t="shared" si="1"/>
        <v>NSE:SINDHUTRAD</v>
      </c>
      <c r="V1456" s="18"/>
      <c r="W1456" s="18"/>
      <c r="X1456" s="18"/>
    </row>
    <row r="1457">
      <c r="A1457" s="20"/>
      <c r="B1457" s="3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35"/>
      <c r="N1457" s="18"/>
      <c r="O1457" s="18"/>
      <c r="P1457" s="18"/>
      <c r="Q1457" s="34"/>
      <c r="R1457" s="18"/>
      <c r="S1457" s="18"/>
      <c r="T1457" s="19" t="s">
        <v>1477</v>
      </c>
      <c r="U1457" s="9" t="str">
        <f t="shared" si="1"/>
        <v>NSE:DCMNVL</v>
      </c>
      <c r="V1457" s="18"/>
      <c r="W1457" s="18"/>
      <c r="X1457" s="18"/>
    </row>
    <row r="1458">
      <c r="A1458" s="20"/>
      <c r="B1458" s="3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35"/>
      <c r="N1458" s="18"/>
      <c r="O1458" s="18"/>
      <c r="P1458" s="18"/>
      <c r="Q1458" s="34"/>
      <c r="R1458" s="18"/>
      <c r="S1458" s="18"/>
      <c r="T1458" s="19" t="s">
        <v>1478</v>
      </c>
      <c r="U1458" s="9" t="str">
        <f t="shared" si="1"/>
        <v>NSE:DIVGIITTS</v>
      </c>
      <c r="V1458" s="18"/>
      <c r="W1458" s="18"/>
      <c r="X1458" s="18"/>
    </row>
    <row r="1459">
      <c r="A1459" s="20"/>
      <c r="B1459" s="3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35"/>
      <c r="N1459" s="18"/>
      <c r="O1459" s="18"/>
      <c r="P1459" s="18"/>
      <c r="Q1459" s="34"/>
      <c r="R1459" s="18"/>
      <c r="S1459" s="18"/>
      <c r="T1459" s="19" t="s">
        <v>1479</v>
      </c>
      <c r="U1459" s="9" t="str">
        <f t="shared" si="1"/>
        <v>NSE:HTMEDIA</v>
      </c>
      <c r="V1459" s="18"/>
      <c r="W1459" s="18"/>
      <c r="X1459" s="18"/>
    </row>
    <row r="1460">
      <c r="A1460" s="20"/>
      <c r="B1460" s="3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35"/>
      <c r="N1460" s="18"/>
      <c r="O1460" s="18"/>
      <c r="P1460" s="18"/>
      <c r="Q1460" s="34"/>
      <c r="R1460" s="18"/>
      <c r="S1460" s="18"/>
      <c r="T1460" s="19" t="s">
        <v>1480</v>
      </c>
      <c r="U1460" s="9" t="str">
        <f t="shared" si="1"/>
        <v>NSE:CHEMFAB</v>
      </c>
      <c r="V1460" s="18"/>
      <c r="W1460" s="18"/>
      <c r="X1460" s="18"/>
    </row>
    <row r="1461">
      <c r="A1461" s="20"/>
      <c r="B1461" s="3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35"/>
      <c r="N1461" s="18"/>
      <c r="O1461" s="18"/>
      <c r="P1461" s="18"/>
      <c r="Q1461" s="34"/>
      <c r="R1461" s="18"/>
      <c r="S1461" s="18"/>
      <c r="T1461" s="19" t="s">
        <v>1481</v>
      </c>
      <c r="U1461" s="9" t="str">
        <f t="shared" si="1"/>
        <v>NSE:CONSUMBEES</v>
      </c>
      <c r="V1461" s="18"/>
      <c r="W1461" s="18"/>
      <c r="X1461" s="18"/>
    </row>
    <row r="1462">
      <c r="A1462" s="20"/>
      <c r="B1462" s="3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35"/>
      <c r="N1462" s="18"/>
      <c r="O1462" s="18"/>
      <c r="P1462" s="18"/>
      <c r="Q1462" s="34"/>
      <c r="R1462" s="18"/>
      <c r="S1462" s="18"/>
      <c r="T1462" s="19" t="s">
        <v>1482</v>
      </c>
      <c r="U1462" s="9" t="str">
        <f t="shared" si="1"/>
        <v>NSE:MKPL</v>
      </c>
      <c r="V1462" s="18"/>
      <c r="W1462" s="18"/>
      <c r="X1462" s="18"/>
    </row>
    <row r="1463">
      <c r="A1463" s="20"/>
      <c r="B1463" s="3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35"/>
      <c r="N1463" s="18"/>
      <c r="O1463" s="18"/>
      <c r="P1463" s="18"/>
      <c r="Q1463" s="34"/>
      <c r="R1463" s="18"/>
      <c r="S1463" s="18"/>
      <c r="T1463" s="19" t="s">
        <v>1483</v>
      </c>
      <c r="U1463" s="9" t="str">
        <f t="shared" si="1"/>
        <v>NSE:INDOBORAX</v>
      </c>
      <c r="V1463" s="18"/>
      <c r="W1463" s="18"/>
      <c r="X1463" s="18"/>
    </row>
    <row r="1464">
      <c r="A1464" s="20"/>
      <c r="B1464" s="3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35"/>
      <c r="N1464" s="18"/>
      <c r="O1464" s="18"/>
      <c r="P1464" s="18"/>
      <c r="Q1464" s="34"/>
      <c r="R1464" s="18"/>
      <c r="S1464" s="18"/>
      <c r="T1464" s="19" t="s">
        <v>1484</v>
      </c>
      <c r="U1464" s="9" t="str">
        <f t="shared" si="1"/>
        <v>NSE:OSWALGREEN</v>
      </c>
      <c r="V1464" s="18"/>
      <c r="W1464" s="18"/>
      <c r="X1464" s="18"/>
    </row>
    <row r="1465">
      <c r="A1465" s="20"/>
      <c r="B1465" s="3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35"/>
      <c r="N1465" s="18"/>
      <c r="O1465" s="18"/>
      <c r="P1465" s="18"/>
      <c r="Q1465" s="34"/>
      <c r="R1465" s="18"/>
      <c r="S1465" s="18"/>
      <c r="T1465" s="19" t="s">
        <v>1485</v>
      </c>
      <c r="U1465" s="9" t="str">
        <f t="shared" si="1"/>
        <v>NSE:AKG</v>
      </c>
      <c r="V1465" s="18"/>
      <c r="W1465" s="18"/>
      <c r="X1465" s="18"/>
    </row>
    <row r="1466">
      <c r="A1466" s="20"/>
      <c r="B1466" s="3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35"/>
      <c r="N1466" s="18"/>
      <c r="O1466" s="18"/>
      <c r="P1466" s="18"/>
      <c r="Q1466" s="34"/>
      <c r="R1466" s="18"/>
      <c r="S1466" s="18"/>
      <c r="T1466" s="19" t="s">
        <v>1486</v>
      </c>
      <c r="U1466" s="9" t="str">
        <f t="shared" si="1"/>
        <v>NSE:SAURASHCEM</v>
      </c>
      <c r="V1466" s="18"/>
      <c r="W1466" s="18"/>
      <c r="X1466" s="18"/>
    </row>
    <row r="1467">
      <c r="A1467" s="20"/>
      <c r="B1467" s="3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35"/>
      <c r="N1467" s="18"/>
      <c r="O1467" s="18"/>
      <c r="P1467" s="18"/>
      <c r="Q1467" s="34"/>
      <c r="R1467" s="18"/>
      <c r="S1467" s="18"/>
      <c r="T1467" s="19" t="s">
        <v>1487</v>
      </c>
      <c r="U1467" s="9" t="str">
        <f t="shared" si="1"/>
        <v>NSE:BUTTERFLY</v>
      </c>
      <c r="V1467" s="18"/>
      <c r="W1467" s="18"/>
      <c r="X1467" s="18"/>
    </row>
    <row r="1468">
      <c r="A1468" s="20"/>
      <c r="B1468" s="3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35"/>
      <c r="N1468" s="18"/>
      <c r="O1468" s="18"/>
      <c r="P1468" s="18"/>
      <c r="Q1468" s="34"/>
      <c r="R1468" s="18"/>
      <c r="S1468" s="18"/>
      <c r="T1468" s="19" t="s">
        <v>1488</v>
      </c>
      <c r="U1468" s="9" t="str">
        <f t="shared" si="1"/>
        <v>NSE:MUNJALAU</v>
      </c>
      <c r="V1468" s="18"/>
      <c r="W1468" s="18"/>
      <c r="X1468" s="18"/>
    </row>
    <row r="1469">
      <c r="A1469" s="20"/>
      <c r="B1469" s="3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35"/>
      <c r="N1469" s="18"/>
      <c r="O1469" s="18"/>
      <c r="P1469" s="18"/>
      <c r="Q1469" s="34"/>
      <c r="R1469" s="18"/>
      <c r="S1469" s="18"/>
      <c r="T1469" s="19" t="s">
        <v>1489</v>
      </c>
      <c r="U1469" s="9" t="str">
        <f t="shared" si="1"/>
        <v>NSE:DONEAR</v>
      </c>
      <c r="V1469" s="18"/>
      <c r="W1469" s="18"/>
      <c r="X1469" s="18"/>
    </row>
    <row r="1470">
      <c r="A1470" s="20"/>
      <c r="B1470" s="3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35"/>
      <c r="N1470" s="18"/>
      <c r="O1470" s="18"/>
      <c r="P1470" s="18"/>
      <c r="Q1470" s="34"/>
      <c r="R1470" s="18"/>
      <c r="S1470" s="18"/>
      <c r="T1470" s="19" t="s">
        <v>1490</v>
      </c>
      <c r="U1470" s="9" t="str">
        <f t="shared" si="1"/>
        <v>NSE:DYNPRO</v>
      </c>
      <c r="V1470" s="18"/>
      <c r="W1470" s="18"/>
      <c r="X1470" s="18"/>
    </row>
    <row r="1471">
      <c r="A1471" s="20"/>
      <c r="B1471" s="3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35"/>
      <c r="N1471" s="18"/>
      <c r="O1471" s="18"/>
      <c r="P1471" s="18"/>
      <c r="Q1471" s="34"/>
      <c r="R1471" s="18"/>
      <c r="S1471" s="18"/>
      <c r="T1471" s="19" t="s">
        <v>1491</v>
      </c>
      <c r="U1471" s="9" t="str">
        <f t="shared" si="1"/>
        <v>NSE:THEJO</v>
      </c>
      <c r="V1471" s="18"/>
      <c r="W1471" s="18"/>
      <c r="X1471" s="18"/>
    </row>
    <row r="1472">
      <c r="A1472" s="20"/>
      <c r="B1472" s="3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35"/>
      <c r="N1472" s="18"/>
      <c r="O1472" s="18"/>
      <c r="P1472" s="18"/>
      <c r="Q1472" s="34"/>
      <c r="R1472" s="18"/>
      <c r="S1472" s="18"/>
      <c r="T1472" s="19" t="s">
        <v>1492</v>
      </c>
      <c r="U1472" s="9" t="str">
        <f t="shared" si="1"/>
        <v>NSE:AFFORDABLE</v>
      </c>
      <c r="V1472" s="18"/>
      <c r="W1472" s="18"/>
      <c r="X1472" s="18"/>
    </row>
    <row r="1473">
      <c r="A1473" s="20"/>
      <c r="B1473" s="3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35"/>
      <c r="N1473" s="18"/>
      <c r="O1473" s="18"/>
      <c r="P1473" s="18"/>
      <c r="Q1473" s="34"/>
      <c r="R1473" s="18"/>
      <c r="S1473" s="18"/>
      <c r="T1473" s="19" t="s">
        <v>1493</v>
      </c>
      <c r="U1473" s="9" t="str">
        <f t="shared" si="1"/>
        <v>NSE:PVP</v>
      </c>
      <c r="V1473" s="18"/>
      <c r="W1473" s="18"/>
      <c r="X1473" s="18"/>
    </row>
    <row r="1474">
      <c r="A1474" s="20"/>
      <c r="B1474" s="3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35"/>
      <c r="N1474" s="18"/>
      <c r="O1474" s="18"/>
      <c r="P1474" s="18"/>
      <c r="Q1474" s="34"/>
      <c r="R1474" s="18"/>
      <c r="S1474" s="18"/>
      <c r="T1474" s="19" t="s">
        <v>1494</v>
      </c>
      <c r="U1474" s="9" t="str">
        <f t="shared" si="1"/>
        <v>NSE:RAJMET</v>
      </c>
      <c r="V1474" s="18"/>
      <c r="W1474" s="18"/>
      <c r="X1474" s="18"/>
    </row>
    <row r="1475">
      <c r="A1475" s="20"/>
      <c r="B1475" s="3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35"/>
      <c r="N1475" s="18"/>
      <c r="O1475" s="18"/>
      <c r="P1475" s="18"/>
      <c r="Q1475" s="34"/>
      <c r="R1475" s="18"/>
      <c r="S1475" s="18"/>
      <c r="T1475" s="19" t="s">
        <v>1495</v>
      </c>
      <c r="U1475" s="9" t="str">
        <f t="shared" si="1"/>
        <v>NSE:INFOBEAN</v>
      </c>
      <c r="V1475" s="18"/>
      <c r="W1475" s="18"/>
      <c r="X1475" s="18"/>
    </row>
    <row r="1476">
      <c r="A1476" s="20"/>
      <c r="B1476" s="3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35"/>
      <c r="N1476" s="18"/>
      <c r="O1476" s="18"/>
      <c r="P1476" s="18"/>
      <c r="Q1476" s="34"/>
      <c r="R1476" s="18"/>
      <c r="S1476" s="18"/>
      <c r="T1476" s="19" t="s">
        <v>1496</v>
      </c>
      <c r="U1476" s="9" t="str">
        <f t="shared" si="1"/>
        <v>NSE:SIGMA</v>
      </c>
      <c r="V1476" s="18"/>
      <c r="W1476" s="18"/>
      <c r="X1476" s="18"/>
    </row>
    <row r="1477">
      <c r="A1477" s="20"/>
      <c r="B1477" s="3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35"/>
      <c r="N1477" s="18"/>
      <c r="O1477" s="18"/>
      <c r="P1477" s="18"/>
      <c r="Q1477" s="34"/>
      <c r="R1477" s="18"/>
      <c r="S1477" s="18"/>
      <c r="T1477" s="19" t="s">
        <v>1497</v>
      </c>
      <c r="U1477" s="9" t="str">
        <f t="shared" si="1"/>
        <v>NSE:MANAKSIA</v>
      </c>
      <c r="V1477" s="18"/>
      <c r="W1477" s="18"/>
      <c r="X1477" s="18"/>
    </row>
    <row r="1478">
      <c r="A1478" s="20"/>
      <c r="B1478" s="3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35"/>
      <c r="N1478" s="18"/>
      <c r="O1478" s="18"/>
      <c r="P1478" s="18"/>
      <c r="Q1478" s="34"/>
      <c r="R1478" s="18"/>
      <c r="S1478" s="18"/>
      <c r="T1478" s="19" t="s">
        <v>1498</v>
      </c>
      <c r="U1478" s="9" t="str">
        <f t="shared" si="1"/>
        <v>NSE:CREATIVE</v>
      </c>
      <c r="V1478" s="18"/>
      <c r="W1478" s="18"/>
      <c r="X1478" s="18"/>
    </row>
    <row r="1479">
      <c r="A1479" s="20"/>
      <c r="B1479" s="3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35"/>
      <c r="N1479" s="18"/>
      <c r="O1479" s="18"/>
      <c r="P1479" s="18"/>
      <c r="Q1479" s="34"/>
      <c r="R1479" s="18"/>
      <c r="S1479" s="18"/>
      <c r="T1479" s="19" t="s">
        <v>1499</v>
      </c>
      <c r="U1479" s="9" t="str">
        <f t="shared" si="1"/>
        <v>NSE:KHAICHEM</v>
      </c>
      <c r="V1479" s="18"/>
      <c r="W1479" s="18"/>
      <c r="X1479" s="18"/>
    </row>
    <row r="1480">
      <c r="A1480" s="20"/>
      <c r="B1480" s="3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35"/>
      <c r="N1480" s="18"/>
      <c r="O1480" s="18"/>
      <c r="P1480" s="18"/>
      <c r="Q1480" s="34"/>
      <c r="R1480" s="18"/>
      <c r="S1480" s="18"/>
      <c r="T1480" s="19" t="s">
        <v>1500</v>
      </c>
      <c r="U1480" s="9" t="str">
        <f t="shared" si="1"/>
        <v>NSE:RBL</v>
      </c>
      <c r="V1480" s="18"/>
      <c r="W1480" s="18"/>
      <c r="X1480" s="18"/>
    </row>
    <row r="1481">
      <c r="A1481" s="20"/>
      <c r="B1481" s="3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35"/>
      <c r="N1481" s="18"/>
      <c r="O1481" s="18"/>
      <c r="P1481" s="18"/>
      <c r="Q1481" s="34"/>
      <c r="R1481" s="18"/>
      <c r="S1481" s="18"/>
      <c r="T1481" s="19" t="s">
        <v>1501</v>
      </c>
      <c r="U1481" s="9" t="str">
        <f t="shared" si="1"/>
        <v>NSE:SKMEGGPROD</v>
      </c>
      <c r="V1481" s="18"/>
      <c r="W1481" s="18"/>
      <c r="X1481" s="18"/>
    </row>
    <row r="1482">
      <c r="A1482" s="20"/>
      <c r="B1482" s="3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35"/>
      <c r="N1482" s="18"/>
      <c r="O1482" s="18"/>
      <c r="P1482" s="18"/>
      <c r="Q1482" s="34"/>
      <c r="R1482" s="18"/>
      <c r="S1482" s="18"/>
      <c r="T1482" s="19" t="s">
        <v>1502</v>
      </c>
      <c r="U1482" s="9" t="str">
        <f t="shared" si="1"/>
        <v>NSE:AUTOIND</v>
      </c>
      <c r="V1482" s="18"/>
      <c r="W1482" s="18"/>
      <c r="X1482" s="18"/>
    </row>
    <row r="1483">
      <c r="A1483" s="20"/>
      <c r="B1483" s="3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35"/>
      <c r="N1483" s="18"/>
      <c r="O1483" s="18"/>
      <c r="P1483" s="18"/>
      <c r="Q1483" s="34"/>
      <c r="R1483" s="18"/>
      <c r="S1483" s="18"/>
      <c r="T1483" s="19" t="s">
        <v>1503</v>
      </c>
      <c r="U1483" s="9" t="str">
        <f t="shared" si="1"/>
        <v>NSE:HMVL</v>
      </c>
      <c r="V1483" s="18"/>
      <c r="W1483" s="18"/>
      <c r="X1483" s="18"/>
    </row>
    <row r="1484">
      <c r="A1484" s="20"/>
      <c r="B1484" s="3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35"/>
      <c r="N1484" s="18"/>
      <c r="O1484" s="18"/>
      <c r="P1484" s="18"/>
      <c r="Q1484" s="34"/>
      <c r="R1484" s="18"/>
      <c r="S1484" s="18"/>
      <c r="T1484" s="19" t="s">
        <v>1504</v>
      </c>
      <c r="U1484" s="9" t="str">
        <f t="shared" si="1"/>
        <v>NSE:NELCAST</v>
      </c>
      <c r="V1484" s="18"/>
      <c r="W1484" s="18"/>
      <c r="X1484" s="18"/>
    </row>
    <row r="1485">
      <c r="A1485" s="20"/>
      <c r="B1485" s="3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35"/>
      <c r="N1485" s="18"/>
      <c r="O1485" s="18"/>
      <c r="P1485" s="18"/>
      <c r="Q1485" s="34"/>
      <c r="R1485" s="18"/>
      <c r="S1485" s="18"/>
      <c r="T1485" s="19" t="s">
        <v>1505</v>
      </c>
      <c r="U1485" s="9" t="str">
        <f t="shared" si="1"/>
        <v>NSE:EIFFL</v>
      </c>
      <c r="V1485" s="18"/>
      <c r="W1485" s="18"/>
      <c r="X1485" s="18"/>
    </row>
    <row r="1486">
      <c r="A1486" s="20"/>
      <c r="B1486" s="3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35"/>
      <c r="N1486" s="18"/>
      <c r="O1486" s="18"/>
      <c r="P1486" s="18"/>
      <c r="Q1486" s="34"/>
      <c r="R1486" s="18"/>
      <c r="S1486" s="18"/>
      <c r="T1486" s="19" t="s">
        <v>1506</v>
      </c>
      <c r="U1486" s="9" t="str">
        <f t="shared" si="1"/>
        <v>NSE:SRHHYPOLTD</v>
      </c>
      <c r="V1486" s="18"/>
      <c r="W1486" s="18"/>
      <c r="X1486" s="18"/>
    </row>
    <row r="1487">
      <c r="A1487" s="20"/>
      <c r="B1487" s="3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35"/>
      <c r="N1487" s="18"/>
      <c r="O1487" s="18"/>
      <c r="P1487" s="18"/>
      <c r="Q1487" s="34"/>
      <c r="R1487" s="18"/>
      <c r="S1487" s="18"/>
      <c r="T1487" s="19" t="s">
        <v>1507</v>
      </c>
      <c r="U1487" s="9" t="str">
        <f t="shared" si="1"/>
        <v>NSE:SRGHFL</v>
      </c>
      <c r="V1487" s="18"/>
      <c r="W1487" s="18"/>
      <c r="X1487" s="18"/>
    </row>
    <row r="1488">
      <c r="A1488" s="20"/>
      <c r="B1488" s="3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35"/>
      <c r="N1488" s="18"/>
      <c r="O1488" s="18"/>
      <c r="P1488" s="18"/>
      <c r="Q1488" s="34"/>
      <c r="R1488" s="18"/>
      <c r="S1488" s="18"/>
      <c r="T1488" s="19" t="s">
        <v>1508</v>
      </c>
      <c r="U1488" s="9" t="str">
        <f t="shared" si="1"/>
        <v>NSE:UNITEDPOLY</v>
      </c>
      <c r="V1488" s="18"/>
      <c r="W1488" s="18"/>
      <c r="X1488" s="18"/>
    </row>
    <row r="1489">
      <c r="A1489" s="20"/>
      <c r="B1489" s="3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35"/>
      <c r="N1489" s="18"/>
      <c r="O1489" s="18"/>
      <c r="P1489" s="18"/>
      <c r="Q1489" s="34"/>
      <c r="R1489" s="18"/>
      <c r="S1489" s="18"/>
      <c r="T1489" s="19" t="s">
        <v>1509</v>
      </c>
      <c r="U1489" s="9" t="str">
        <f t="shared" si="1"/>
        <v>NSE:NV20BEES</v>
      </c>
      <c r="V1489" s="18"/>
      <c r="W1489" s="18"/>
      <c r="X1489" s="18"/>
    </row>
    <row r="1490">
      <c r="A1490" s="20"/>
      <c r="B1490" s="3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35"/>
      <c r="N1490" s="18"/>
      <c r="O1490" s="18"/>
      <c r="P1490" s="18"/>
      <c r="Q1490" s="34"/>
      <c r="R1490" s="18"/>
      <c r="S1490" s="18"/>
      <c r="T1490" s="19" t="s">
        <v>1510</v>
      </c>
      <c r="U1490" s="9" t="str">
        <f t="shared" si="1"/>
        <v>NSE:NV20IETF</v>
      </c>
      <c r="V1490" s="18"/>
      <c r="W1490" s="18"/>
      <c r="X1490" s="18"/>
    </row>
    <row r="1491">
      <c r="A1491" s="20"/>
      <c r="B1491" s="3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35"/>
      <c r="N1491" s="18"/>
      <c r="O1491" s="18"/>
      <c r="P1491" s="18"/>
      <c r="Q1491" s="34"/>
      <c r="R1491" s="18"/>
      <c r="S1491" s="18"/>
      <c r="T1491" s="19" t="s">
        <v>1511</v>
      </c>
      <c r="U1491" s="9" t="str">
        <f t="shared" si="1"/>
        <v>NSE:ALANKIT</v>
      </c>
      <c r="V1491" s="18"/>
      <c r="W1491" s="18"/>
      <c r="X1491" s="18"/>
    </row>
    <row r="1492">
      <c r="A1492" s="20"/>
      <c r="B1492" s="3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35"/>
      <c r="N1492" s="18"/>
      <c r="O1492" s="18"/>
      <c r="P1492" s="18"/>
      <c r="Q1492" s="34"/>
      <c r="R1492" s="18"/>
      <c r="S1492" s="18"/>
      <c r="T1492" s="19" t="s">
        <v>1512</v>
      </c>
      <c r="U1492" s="9" t="str">
        <f t="shared" si="1"/>
        <v>NSE:JPOLYINVST</v>
      </c>
      <c r="V1492" s="18"/>
      <c r="W1492" s="18"/>
      <c r="X1492" s="18"/>
    </row>
    <row r="1493">
      <c r="A1493" s="20"/>
      <c r="B1493" s="3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35"/>
      <c r="N1493" s="18"/>
      <c r="O1493" s="18"/>
      <c r="P1493" s="18"/>
      <c r="Q1493" s="34"/>
      <c r="R1493" s="18"/>
      <c r="S1493" s="18"/>
      <c r="T1493" s="19" t="s">
        <v>1513</v>
      </c>
      <c r="U1493" s="9" t="str">
        <f t="shared" si="1"/>
        <v>NSE:VENUSREM</v>
      </c>
      <c r="V1493" s="18"/>
      <c r="W1493" s="18"/>
      <c r="X1493" s="18"/>
    </row>
    <row r="1494">
      <c r="A1494" s="20"/>
      <c r="B1494" s="3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35"/>
      <c r="N1494" s="18"/>
      <c r="O1494" s="18"/>
      <c r="P1494" s="18"/>
      <c r="Q1494" s="34"/>
      <c r="R1494" s="18"/>
      <c r="S1494" s="18"/>
      <c r="T1494" s="19" t="s">
        <v>1514</v>
      </c>
      <c r="U1494" s="9" t="str">
        <f t="shared" si="1"/>
        <v>NSE:CONSUMIETF</v>
      </c>
      <c r="V1494" s="18"/>
      <c r="W1494" s="18"/>
      <c r="X1494" s="18"/>
    </row>
    <row r="1495">
      <c r="A1495" s="20"/>
      <c r="B1495" s="3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35"/>
      <c r="N1495" s="18"/>
      <c r="O1495" s="18"/>
      <c r="P1495" s="18"/>
      <c r="Q1495" s="34"/>
      <c r="R1495" s="18"/>
      <c r="S1495" s="18"/>
      <c r="T1495" s="19" t="s">
        <v>1515</v>
      </c>
      <c r="U1495" s="9" t="str">
        <f t="shared" si="1"/>
        <v>NSE:ZIMLAB</v>
      </c>
      <c r="V1495" s="18"/>
      <c r="W1495" s="18"/>
      <c r="X1495" s="18"/>
    </row>
    <row r="1496">
      <c r="A1496" s="20"/>
      <c r="B1496" s="3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35"/>
      <c r="N1496" s="18"/>
      <c r="O1496" s="18"/>
      <c r="P1496" s="18"/>
      <c r="Q1496" s="34"/>
      <c r="R1496" s="18"/>
      <c r="S1496" s="18"/>
      <c r="T1496" s="19" t="s">
        <v>1516</v>
      </c>
      <c r="U1496" s="9" t="str">
        <f t="shared" si="1"/>
        <v>NSE:ATAM</v>
      </c>
      <c r="V1496" s="18"/>
      <c r="W1496" s="18"/>
      <c r="X1496" s="18"/>
    </row>
    <row r="1497">
      <c r="A1497" s="20"/>
      <c r="B1497" s="3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35"/>
      <c r="N1497" s="18"/>
      <c r="O1497" s="18"/>
      <c r="P1497" s="18"/>
      <c r="Q1497" s="34"/>
      <c r="R1497" s="18"/>
      <c r="S1497" s="18"/>
      <c r="T1497" s="19" t="s">
        <v>1517</v>
      </c>
      <c r="U1497" s="9" t="str">
        <f t="shared" si="1"/>
        <v>NSE:ITETF</v>
      </c>
      <c r="V1497" s="18"/>
      <c r="W1497" s="18"/>
      <c r="X1497" s="18"/>
    </row>
    <row r="1498">
      <c r="A1498" s="20"/>
      <c r="B1498" s="3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35"/>
      <c r="N1498" s="18"/>
      <c r="O1498" s="18"/>
      <c r="P1498" s="18"/>
      <c r="Q1498" s="34"/>
      <c r="R1498" s="18"/>
      <c r="S1498" s="18"/>
      <c r="T1498" s="19" t="s">
        <v>1518</v>
      </c>
      <c r="U1498" s="9" t="str">
        <f t="shared" si="1"/>
        <v>NSE:FCSSOFT</v>
      </c>
      <c r="V1498" s="18"/>
      <c r="W1498" s="18"/>
      <c r="X1498" s="18"/>
    </row>
    <row r="1499">
      <c r="A1499" s="20"/>
      <c r="B1499" s="3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35"/>
      <c r="N1499" s="18"/>
      <c r="O1499" s="18"/>
      <c r="P1499" s="18"/>
      <c r="Q1499" s="34"/>
      <c r="R1499" s="18"/>
      <c r="S1499" s="18"/>
      <c r="T1499" s="19" t="s">
        <v>1519</v>
      </c>
      <c r="U1499" s="9" t="str">
        <f t="shared" si="1"/>
        <v>NSE:DEVIT</v>
      </c>
      <c r="V1499" s="18"/>
      <c r="W1499" s="18"/>
      <c r="X1499" s="18"/>
    </row>
    <row r="1500">
      <c r="A1500" s="20"/>
      <c r="B1500" s="3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35"/>
      <c r="N1500" s="18"/>
      <c r="O1500" s="18"/>
      <c r="P1500" s="18"/>
      <c r="Q1500" s="34"/>
      <c r="R1500" s="18"/>
      <c r="S1500" s="18"/>
      <c r="T1500" s="19" t="s">
        <v>1520</v>
      </c>
      <c r="U1500" s="9" t="str">
        <f t="shared" si="1"/>
        <v>NSE:ZODIAC</v>
      </c>
      <c r="V1500" s="18"/>
      <c r="W1500" s="18"/>
      <c r="X1500" s="18"/>
    </row>
    <row r="1501">
      <c r="A1501" s="20"/>
      <c r="B1501" s="3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35"/>
      <c r="N1501" s="18"/>
      <c r="O1501" s="18"/>
      <c r="P1501" s="18"/>
      <c r="Q1501" s="34"/>
      <c r="R1501" s="18"/>
      <c r="S1501" s="18"/>
      <c r="T1501" s="19" t="s">
        <v>1521</v>
      </c>
      <c r="U1501" s="9" t="str">
        <f t="shared" si="1"/>
        <v>NSE:GFLLIMITED</v>
      </c>
      <c r="V1501" s="18"/>
      <c r="W1501" s="18"/>
      <c r="X1501" s="18"/>
    </row>
    <row r="1502">
      <c r="A1502" s="20"/>
      <c r="B1502" s="3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35"/>
      <c r="N1502" s="18"/>
      <c r="O1502" s="18"/>
      <c r="P1502" s="18"/>
      <c r="Q1502" s="34"/>
      <c r="R1502" s="18"/>
      <c r="S1502" s="18"/>
      <c r="T1502" s="19" t="s">
        <v>1522</v>
      </c>
      <c r="U1502" s="9" t="str">
        <f t="shared" si="1"/>
        <v>NSE:VAISHALI</v>
      </c>
      <c r="V1502" s="18"/>
      <c r="W1502" s="18"/>
      <c r="X1502" s="18"/>
    </row>
    <row r="1503">
      <c r="A1503" s="20"/>
      <c r="B1503" s="3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35"/>
      <c r="N1503" s="18"/>
      <c r="O1503" s="18"/>
      <c r="P1503" s="18"/>
      <c r="Q1503" s="34"/>
      <c r="R1503" s="18"/>
      <c r="S1503" s="18"/>
      <c r="T1503" s="19" t="s">
        <v>1523</v>
      </c>
      <c r="U1503" s="9" t="str">
        <f t="shared" si="1"/>
        <v>NSE:MAGNUM</v>
      </c>
      <c r="V1503" s="18"/>
      <c r="W1503" s="18"/>
      <c r="X1503" s="18"/>
    </row>
    <row r="1504">
      <c r="A1504" s="20"/>
      <c r="B1504" s="3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35"/>
      <c r="N1504" s="18"/>
      <c r="O1504" s="18"/>
      <c r="P1504" s="18"/>
      <c r="Q1504" s="34"/>
      <c r="R1504" s="18"/>
      <c r="S1504" s="18"/>
      <c r="T1504" s="19" t="s">
        <v>1524</v>
      </c>
      <c r="U1504" s="9" t="str">
        <f t="shared" si="1"/>
        <v>NSE:RKEC</v>
      </c>
      <c r="V1504" s="18"/>
      <c r="W1504" s="18"/>
      <c r="X1504" s="18"/>
    </row>
    <row r="1505">
      <c r="A1505" s="20"/>
      <c r="B1505" s="3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35"/>
      <c r="N1505" s="18"/>
      <c r="O1505" s="18"/>
      <c r="P1505" s="18"/>
      <c r="Q1505" s="34"/>
      <c r="R1505" s="18"/>
      <c r="S1505" s="18"/>
      <c r="T1505" s="19" t="s">
        <v>1525</v>
      </c>
      <c r="U1505" s="9" t="str">
        <f t="shared" si="1"/>
        <v>NSE:DUCON</v>
      </c>
      <c r="V1505" s="18"/>
      <c r="W1505" s="18"/>
      <c r="X1505" s="18"/>
    </row>
    <row r="1506">
      <c r="A1506" s="20"/>
      <c r="B1506" s="3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35"/>
      <c r="N1506" s="18"/>
      <c r="O1506" s="18"/>
      <c r="P1506" s="18"/>
      <c r="Q1506" s="34"/>
      <c r="R1506" s="18"/>
      <c r="S1506" s="18"/>
      <c r="T1506" s="19" t="s">
        <v>1526</v>
      </c>
      <c r="U1506" s="9" t="str">
        <f t="shared" si="1"/>
        <v>NSE:KCPSUGIND</v>
      </c>
      <c r="V1506" s="18"/>
      <c r="W1506" s="18"/>
      <c r="X1506" s="18"/>
    </row>
    <row r="1507">
      <c r="A1507" s="20"/>
      <c r="B1507" s="3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35"/>
      <c r="N1507" s="18"/>
      <c r="O1507" s="18"/>
      <c r="P1507" s="18"/>
      <c r="Q1507" s="34"/>
      <c r="R1507" s="18"/>
      <c r="S1507" s="18"/>
      <c r="T1507" s="19" t="s">
        <v>1527</v>
      </c>
      <c r="U1507" s="9" t="str">
        <f t="shared" si="1"/>
        <v>NSE:JAYBARMARU</v>
      </c>
      <c r="V1507" s="18"/>
      <c r="W1507" s="18"/>
      <c r="X1507" s="18"/>
    </row>
    <row r="1508">
      <c r="A1508" s="20"/>
      <c r="B1508" s="3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35"/>
      <c r="N1508" s="18"/>
      <c r="O1508" s="18"/>
      <c r="P1508" s="18"/>
      <c r="Q1508" s="34"/>
      <c r="R1508" s="18"/>
      <c r="S1508" s="18"/>
      <c r="T1508" s="19" t="s">
        <v>1528</v>
      </c>
      <c r="U1508" s="9" t="str">
        <f t="shared" si="1"/>
        <v>NSE:ACCELYA</v>
      </c>
      <c r="V1508" s="18"/>
      <c r="W1508" s="18"/>
      <c r="X1508" s="18"/>
    </row>
    <row r="1509">
      <c r="A1509" s="20"/>
      <c r="B1509" s="3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35"/>
      <c r="N1509" s="18"/>
      <c r="O1509" s="18"/>
      <c r="P1509" s="18"/>
      <c r="Q1509" s="34"/>
      <c r="R1509" s="18"/>
      <c r="S1509" s="18"/>
      <c r="T1509" s="19" t="s">
        <v>1529</v>
      </c>
      <c r="U1509" s="9" t="str">
        <f t="shared" si="1"/>
        <v>NSE:URAVIDEF</v>
      </c>
      <c r="V1509" s="18"/>
      <c r="W1509" s="18"/>
      <c r="X1509" s="18"/>
    </row>
    <row r="1510">
      <c r="A1510" s="20"/>
      <c r="B1510" s="3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35"/>
      <c r="N1510" s="18"/>
      <c r="O1510" s="18"/>
      <c r="P1510" s="18"/>
      <c r="Q1510" s="34"/>
      <c r="R1510" s="18"/>
      <c r="S1510" s="18"/>
      <c r="T1510" s="19" t="s">
        <v>1530</v>
      </c>
      <c r="U1510" s="9" t="str">
        <f t="shared" si="1"/>
        <v>NSE:VETO</v>
      </c>
      <c r="V1510" s="18"/>
      <c r="W1510" s="18"/>
      <c r="X1510" s="18"/>
    </row>
    <row r="1511">
      <c r="A1511" s="20"/>
      <c r="B1511" s="3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35"/>
      <c r="N1511" s="18"/>
      <c r="O1511" s="18"/>
      <c r="P1511" s="18"/>
      <c r="Q1511" s="34"/>
      <c r="R1511" s="18"/>
      <c r="S1511" s="18"/>
      <c r="T1511" s="19" t="s">
        <v>1531</v>
      </c>
      <c r="U1511" s="9" t="str">
        <f t="shared" si="1"/>
        <v>NSE:VLSFINANCE</v>
      </c>
      <c r="V1511" s="18"/>
      <c r="W1511" s="18"/>
      <c r="X1511" s="18"/>
    </row>
    <row r="1512">
      <c r="A1512" s="20"/>
      <c r="B1512" s="3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35"/>
      <c r="N1512" s="18"/>
      <c r="O1512" s="18"/>
      <c r="P1512" s="18"/>
      <c r="Q1512" s="34"/>
      <c r="R1512" s="18"/>
      <c r="S1512" s="18"/>
      <c r="T1512" s="19" t="s">
        <v>1532</v>
      </c>
      <c r="U1512" s="9" t="str">
        <f t="shared" si="1"/>
        <v>NSE:INDNIPPON</v>
      </c>
      <c r="V1512" s="18"/>
      <c r="W1512" s="18"/>
      <c r="X1512" s="18"/>
    </row>
    <row r="1513">
      <c r="A1513" s="20"/>
      <c r="B1513" s="3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35"/>
      <c r="N1513" s="18"/>
      <c r="O1513" s="18"/>
      <c r="P1513" s="18"/>
      <c r="Q1513" s="34"/>
      <c r="R1513" s="18"/>
      <c r="S1513" s="18"/>
      <c r="T1513" s="19" t="s">
        <v>1533</v>
      </c>
      <c r="U1513" s="9" t="str">
        <f t="shared" si="1"/>
        <v>NSE:RML</v>
      </c>
      <c r="V1513" s="18"/>
      <c r="W1513" s="18"/>
      <c r="X1513" s="18"/>
    </row>
    <row r="1514">
      <c r="A1514" s="20"/>
      <c r="B1514" s="3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35"/>
      <c r="N1514" s="18"/>
      <c r="O1514" s="18"/>
      <c r="P1514" s="18"/>
      <c r="Q1514" s="34"/>
      <c r="R1514" s="18"/>
      <c r="S1514" s="18"/>
      <c r="T1514" s="19" t="s">
        <v>1534</v>
      </c>
      <c r="U1514" s="9" t="str">
        <f t="shared" si="1"/>
        <v>NSE:AYMSYNTEX</v>
      </c>
      <c r="V1514" s="18"/>
      <c r="W1514" s="18"/>
      <c r="X1514" s="18"/>
    </row>
    <row r="1515">
      <c r="A1515" s="20"/>
      <c r="B1515" s="3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35"/>
      <c r="N1515" s="18"/>
      <c r="O1515" s="18"/>
      <c r="P1515" s="18"/>
      <c r="Q1515" s="34"/>
      <c r="R1515" s="18"/>
      <c r="S1515" s="18"/>
      <c r="T1515" s="19" t="s">
        <v>1535</v>
      </c>
      <c r="U1515" s="9" t="str">
        <f t="shared" si="1"/>
        <v>NSE:NIF100IETF</v>
      </c>
      <c r="V1515" s="18"/>
      <c r="W1515" s="18"/>
      <c r="X1515" s="18"/>
    </row>
    <row r="1516">
      <c r="A1516" s="20"/>
      <c r="B1516" s="3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35"/>
      <c r="N1516" s="18"/>
      <c r="O1516" s="18"/>
      <c r="P1516" s="18"/>
      <c r="Q1516" s="34"/>
      <c r="R1516" s="18"/>
      <c r="S1516" s="18"/>
      <c r="T1516" s="19" t="s">
        <v>1536</v>
      </c>
      <c r="U1516" s="9" t="str">
        <f t="shared" si="1"/>
        <v>NSE:AJOONI</v>
      </c>
      <c r="V1516" s="18"/>
      <c r="W1516" s="18"/>
      <c r="X1516" s="18"/>
    </row>
    <row r="1517">
      <c r="A1517" s="20"/>
      <c r="B1517" s="3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35"/>
      <c r="N1517" s="18"/>
      <c r="O1517" s="18"/>
      <c r="P1517" s="18"/>
      <c r="Q1517" s="34"/>
      <c r="R1517" s="18"/>
      <c r="S1517" s="18"/>
      <c r="T1517" s="19" t="s">
        <v>1537</v>
      </c>
      <c r="U1517" s="9" t="str">
        <f t="shared" si="1"/>
        <v>NSE:HDFCMOMENT</v>
      </c>
      <c r="V1517" s="18"/>
      <c r="W1517" s="18"/>
      <c r="X1517" s="18"/>
    </row>
    <row r="1518">
      <c r="A1518" s="20"/>
      <c r="B1518" s="3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35"/>
      <c r="N1518" s="18"/>
      <c r="O1518" s="18"/>
      <c r="P1518" s="18"/>
      <c r="Q1518" s="34"/>
      <c r="R1518" s="18"/>
      <c r="S1518" s="18"/>
      <c r="T1518" s="19" t="s">
        <v>1538</v>
      </c>
      <c r="U1518" s="9" t="str">
        <f t="shared" si="1"/>
        <v>NSE:EBBETF0431</v>
      </c>
      <c r="V1518" s="18"/>
      <c r="W1518" s="18"/>
      <c r="X1518" s="18"/>
    </row>
    <row r="1519">
      <c r="A1519" s="20"/>
      <c r="B1519" s="3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35"/>
      <c r="N1519" s="18"/>
      <c r="O1519" s="18"/>
      <c r="P1519" s="18"/>
      <c r="Q1519" s="34"/>
      <c r="R1519" s="18"/>
      <c r="S1519" s="18"/>
      <c r="T1519" s="19" t="s">
        <v>1539</v>
      </c>
      <c r="U1519" s="9" t="str">
        <f t="shared" si="1"/>
        <v>NSE:DPABHUSHAN</v>
      </c>
      <c r="V1519" s="18"/>
      <c r="W1519" s="18"/>
      <c r="X1519" s="18"/>
    </row>
    <row r="1520">
      <c r="A1520" s="20"/>
      <c r="B1520" s="3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35"/>
      <c r="N1520" s="18"/>
      <c r="O1520" s="18"/>
      <c r="P1520" s="18"/>
      <c r="Q1520" s="34"/>
      <c r="R1520" s="18"/>
      <c r="S1520" s="18"/>
      <c r="T1520" s="19" t="s">
        <v>1540</v>
      </c>
      <c r="U1520" s="9" t="str">
        <f t="shared" si="1"/>
        <v>NSE:SSDL</v>
      </c>
      <c r="V1520" s="18"/>
      <c r="W1520" s="18"/>
      <c r="X1520" s="18"/>
    </row>
    <row r="1521">
      <c r="A1521" s="20"/>
      <c r="B1521" s="3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35"/>
      <c r="N1521" s="18"/>
      <c r="O1521" s="18"/>
      <c r="P1521" s="18"/>
      <c r="Q1521" s="34"/>
      <c r="R1521" s="18"/>
      <c r="S1521" s="18"/>
      <c r="T1521" s="19" t="s">
        <v>1541</v>
      </c>
      <c r="U1521" s="9" t="str">
        <f t="shared" si="1"/>
        <v>NSE:MONIFTY500</v>
      </c>
      <c r="V1521" s="18"/>
      <c r="W1521" s="18"/>
      <c r="X1521" s="18"/>
    </row>
    <row r="1522">
      <c r="A1522" s="20"/>
      <c r="B1522" s="3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35"/>
      <c r="N1522" s="18"/>
      <c r="O1522" s="18"/>
      <c r="P1522" s="18"/>
      <c r="Q1522" s="34"/>
      <c r="R1522" s="18"/>
      <c r="S1522" s="18"/>
      <c r="T1522" s="19" t="s">
        <v>1542</v>
      </c>
      <c r="U1522" s="9" t="str">
        <f t="shared" si="1"/>
        <v>NSE:KRISHANA</v>
      </c>
      <c r="V1522" s="18"/>
      <c r="W1522" s="18"/>
      <c r="X1522" s="18"/>
    </row>
    <row r="1523">
      <c r="A1523" s="20"/>
      <c r="B1523" s="3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35"/>
      <c r="N1523" s="18"/>
      <c r="O1523" s="18"/>
      <c r="P1523" s="18"/>
      <c r="Q1523" s="34"/>
      <c r="R1523" s="18"/>
      <c r="S1523" s="18"/>
      <c r="T1523" s="19" t="s">
        <v>1543</v>
      </c>
      <c r="U1523" s="9" t="str">
        <f t="shared" si="1"/>
        <v>NSE:NECLIFE</v>
      </c>
      <c r="V1523" s="18"/>
      <c r="W1523" s="18"/>
      <c r="X1523" s="18"/>
    </row>
    <row r="1524">
      <c r="A1524" s="20"/>
      <c r="B1524" s="3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35"/>
      <c r="N1524" s="18"/>
      <c r="O1524" s="18"/>
      <c r="P1524" s="18"/>
      <c r="Q1524" s="34"/>
      <c r="R1524" s="18"/>
      <c r="S1524" s="18"/>
      <c r="T1524" s="19" t="s">
        <v>1544</v>
      </c>
      <c r="U1524" s="9" t="str">
        <f t="shared" si="1"/>
        <v>NSE:EBBETF0425</v>
      </c>
      <c r="V1524" s="18"/>
      <c r="W1524" s="18"/>
      <c r="X1524" s="18"/>
    </row>
    <row r="1525">
      <c r="A1525" s="20"/>
      <c r="B1525" s="3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35"/>
      <c r="N1525" s="18"/>
      <c r="O1525" s="18"/>
      <c r="P1525" s="18"/>
      <c r="Q1525" s="34"/>
      <c r="R1525" s="18"/>
      <c r="S1525" s="18"/>
      <c r="T1525" s="19" t="s">
        <v>1545</v>
      </c>
      <c r="U1525" s="9" t="str">
        <f t="shared" si="1"/>
        <v>NSE:MUTHOOTCAP</v>
      </c>
      <c r="V1525" s="18"/>
      <c r="W1525" s="18"/>
      <c r="X1525" s="18"/>
    </row>
    <row r="1526">
      <c r="A1526" s="20"/>
      <c r="B1526" s="3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35"/>
      <c r="N1526" s="18"/>
      <c r="O1526" s="18"/>
      <c r="P1526" s="18"/>
      <c r="Q1526" s="34"/>
      <c r="R1526" s="18"/>
      <c r="S1526" s="18"/>
      <c r="T1526" s="19" t="s">
        <v>1546</v>
      </c>
      <c r="U1526" s="9" t="str">
        <f t="shared" si="1"/>
        <v>NSE:APCL</v>
      </c>
      <c r="V1526" s="18"/>
      <c r="W1526" s="18"/>
      <c r="X1526" s="18"/>
    </row>
    <row r="1527">
      <c r="A1527" s="20"/>
      <c r="B1527" s="3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35"/>
      <c r="N1527" s="18"/>
      <c r="O1527" s="18"/>
      <c r="P1527" s="18"/>
      <c r="Q1527" s="34"/>
      <c r="R1527" s="18"/>
      <c r="S1527" s="18"/>
      <c r="T1527" s="19" t="s">
        <v>1547</v>
      </c>
      <c r="U1527" s="9" t="str">
        <f t="shared" si="1"/>
        <v>NSE:UTINEXT50</v>
      </c>
      <c r="V1527" s="18"/>
      <c r="W1527" s="18"/>
      <c r="X1527" s="18"/>
    </row>
    <row r="1528">
      <c r="A1528" s="20"/>
      <c r="B1528" s="3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35"/>
      <c r="N1528" s="18"/>
      <c r="O1528" s="18"/>
      <c r="P1528" s="18"/>
      <c r="Q1528" s="34"/>
      <c r="R1528" s="18"/>
      <c r="S1528" s="18"/>
      <c r="T1528" s="19" t="s">
        <v>1548</v>
      </c>
      <c r="U1528" s="9" t="str">
        <f t="shared" si="1"/>
        <v>NSE:HCL-INSYS</v>
      </c>
      <c r="V1528" s="18"/>
      <c r="W1528" s="18"/>
      <c r="X1528" s="18"/>
    </row>
    <row r="1529">
      <c r="A1529" s="20"/>
      <c r="B1529" s="3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35"/>
      <c r="N1529" s="18"/>
      <c r="O1529" s="18"/>
      <c r="P1529" s="18"/>
      <c r="Q1529" s="34"/>
      <c r="R1529" s="18"/>
      <c r="S1529" s="18"/>
      <c r="T1529" s="19" t="s">
        <v>1549</v>
      </c>
      <c r="U1529" s="9" t="str">
        <f t="shared" si="1"/>
        <v>NSE:UTIBANKETF</v>
      </c>
      <c r="V1529" s="18"/>
      <c r="W1529" s="18"/>
      <c r="X1529" s="18"/>
    </row>
    <row r="1530">
      <c r="A1530" s="20"/>
      <c r="B1530" s="3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35"/>
      <c r="N1530" s="18"/>
      <c r="O1530" s="18"/>
      <c r="P1530" s="18"/>
      <c r="Q1530" s="34"/>
      <c r="R1530" s="18"/>
      <c r="S1530" s="18"/>
      <c r="T1530" s="19" t="s">
        <v>1550</v>
      </c>
      <c r="U1530" s="9" t="str">
        <f t="shared" si="1"/>
        <v>NSE:SIKKO</v>
      </c>
      <c r="V1530" s="18"/>
      <c r="W1530" s="18"/>
      <c r="X1530" s="18"/>
    </row>
    <row r="1531">
      <c r="A1531" s="20"/>
      <c r="B1531" s="3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35"/>
      <c r="N1531" s="18"/>
      <c r="O1531" s="18"/>
      <c r="P1531" s="18"/>
      <c r="Q1531" s="34"/>
      <c r="R1531" s="18"/>
      <c r="S1531" s="18"/>
      <c r="T1531" s="19" t="s">
        <v>1551</v>
      </c>
      <c r="U1531" s="9" t="str">
        <f t="shared" si="1"/>
        <v>NSE:GROWWRAIL</v>
      </c>
      <c r="V1531" s="18"/>
      <c r="W1531" s="18"/>
      <c r="X1531" s="18"/>
    </row>
    <row r="1532">
      <c r="A1532" s="20"/>
      <c r="B1532" s="3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35"/>
      <c r="N1532" s="18"/>
      <c r="O1532" s="18"/>
      <c r="P1532" s="18"/>
      <c r="Q1532" s="34"/>
      <c r="R1532" s="18"/>
      <c r="S1532" s="18"/>
      <c r="T1532" s="19" t="s">
        <v>1552</v>
      </c>
      <c r="U1532" s="9" t="str">
        <f t="shared" si="1"/>
        <v>NSE:COASTCORP</v>
      </c>
      <c r="V1532" s="18"/>
      <c r="W1532" s="18"/>
      <c r="X1532" s="18"/>
    </row>
    <row r="1533">
      <c r="A1533" s="20"/>
      <c r="B1533" s="3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35"/>
      <c r="N1533" s="18"/>
      <c r="O1533" s="18"/>
      <c r="P1533" s="18"/>
      <c r="Q1533" s="34"/>
      <c r="R1533" s="18"/>
      <c r="S1533" s="18"/>
      <c r="T1533" s="19" t="s">
        <v>1553</v>
      </c>
      <c r="U1533" s="9" t="str">
        <f t="shared" si="1"/>
        <v>NSE:TIL</v>
      </c>
      <c r="V1533" s="18"/>
      <c r="W1533" s="18"/>
      <c r="X1533" s="18"/>
    </row>
    <row r="1534">
      <c r="A1534" s="20"/>
      <c r="B1534" s="3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35"/>
      <c r="N1534" s="18"/>
      <c r="O1534" s="18"/>
      <c r="P1534" s="18"/>
      <c r="Q1534" s="34"/>
      <c r="R1534" s="18"/>
      <c r="S1534" s="18"/>
      <c r="T1534" s="19" t="s">
        <v>1554</v>
      </c>
      <c r="U1534" s="9" t="str">
        <f t="shared" si="1"/>
        <v>NSE:BANSWRAS</v>
      </c>
      <c r="V1534" s="18"/>
      <c r="W1534" s="18"/>
      <c r="X1534" s="18"/>
    </row>
    <row r="1535">
      <c r="A1535" s="20"/>
      <c r="B1535" s="3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35"/>
      <c r="N1535" s="18"/>
      <c r="O1535" s="18"/>
      <c r="P1535" s="18"/>
      <c r="Q1535" s="34"/>
      <c r="R1535" s="18"/>
      <c r="S1535" s="18"/>
      <c r="T1535" s="19" t="s">
        <v>1555</v>
      </c>
      <c r="U1535" s="9" t="str">
        <f t="shared" si="1"/>
        <v>NSE:VALIANTLAB</v>
      </c>
      <c r="V1535" s="18"/>
      <c r="W1535" s="18"/>
      <c r="X1535" s="18"/>
    </row>
    <row r="1536">
      <c r="A1536" s="20"/>
      <c r="B1536" s="3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35"/>
      <c r="N1536" s="18"/>
      <c r="O1536" s="18"/>
      <c r="P1536" s="18"/>
      <c r="Q1536" s="34"/>
      <c r="R1536" s="18"/>
      <c r="S1536" s="18"/>
      <c r="T1536" s="19" t="s">
        <v>1556</v>
      </c>
      <c r="U1536" s="9" t="str">
        <f t="shared" si="1"/>
        <v>NSE:DBSTOCKBRO</v>
      </c>
      <c r="V1536" s="18"/>
      <c r="W1536" s="18"/>
      <c r="X1536" s="18"/>
    </row>
    <row r="1537">
      <c r="A1537" s="20"/>
      <c r="B1537" s="3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35"/>
      <c r="N1537" s="18"/>
      <c r="O1537" s="18"/>
      <c r="P1537" s="18"/>
      <c r="Q1537" s="34"/>
      <c r="R1537" s="18"/>
      <c r="S1537" s="18"/>
      <c r="T1537" s="19" t="s">
        <v>1557</v>
      </c>
      <c r="U1537" s="9" t="str">
        <f t="shared" si="1"/>
        <v>NSE:GULFPETRO</v>
      </c>
      <c r="V1537" s="18"/>
      <c r="W1537" s="18"/>
      <c r="X1537" s="18"/>
    </row>
    <row r="1538">
      <c r="A1538" s="20"/>
      <c r="B1538" s="3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35"/>
      <c r="N1538" s="18"/>
      <c r="O1538" s="18"/>
      <c r="P1538" s="18"/>
      <c r="Q1538" s="34"/>
      <c r="R1538" s="18"/>
      <c r="S1538" s="18"/>
      <c r="T1538" s="19" t="s">
        <v>1558</v>
      </c>
      <c r="U1538" s="9" t="str">
        <f t="shared" si="1"/>
        <v>NSE:MITTAL</v>
      </c>
      <c r="V1538" s="18"/>
      <c r="W1538" s="18"/>
      <c r="X1538" s="18"/>
    </row>
    <row r="1539">
      <c r="A1539" s="20"/>
      <c r="B1539" s="3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35"/>
      <c r="N1539" s="18"/>
      <c r="O1539" s="18"/>
      <c r="P1539" s="18"/>
      <c r="Q1539" s="34"/>
      <c r="R1539" s="18"/>
      <c r="S1539" s="18"/>
      <c r="T1539" s="19" t="s">
        <v>1559</v>
      </c>
      <c r="U1539" s="9" t="str">
        <f t="shared" si="1"/>
        <v>NSE:REMSONSIND</v>
      </c>
      <c r="V1539" s="18"/>
      <c r="W1539" s="18"/>
      <c r="X1539" s="18"/>
    </row>
    <row r="1540">
      <c r="A1540" s="20"/>
      <c r="B1540" s="3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35"/>
      <c r="N1540" s="18"/>
      <c r="O1540" s="18"/>
      <c r="P1540" s="18"/>
      <c r="Q1540" s="34"/>
      <c r="R1540" s="18"/>
      <c r="S1540" s="18"/>
      <c r="T1540" s="19" t="s">
        <v>1560</v>
      </c>
      <c r="U1540" s="9" t="str">
        <f t="shared" si="1"/>
        <v>NSE:ASHIMASYN</v>
      </c>
      <c r="V1540" s="18"/>
      <c r="W1540" s="18"/>
      <c r="X1540" s="18"/>
    </row>
    <row r="1541">
      <c r="A1541" s="20"/>
      <c r="B1541" s="3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35"/>
      <c r="N1541" s="18"/>
      <c r="O1541" s="18"/>
      <c r="P1541" s="18"/>
      <c r="Q1541" s="34"/>
      <c r="R1541" s="18"/>
      <c r="S1541" s="18"/>
      <c r="T1541" s="19" t="s">
        <v>1561</v>
      </c>
      <c r="U1541" s="9" t="str">
        <f t="shared" si="1"/>
        <v>NSE:LICNETFN50</v>
      </c>
      <c r="V1541" s="18"/>
      <c r="W1541" s="18"/>
      <c r="X1541" s="18"/>
    </row>
    <row r="1542">
      <c r="A1542" s="20"/>
      <c r="B1542" s="3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35"/>
      <c r="N1542" s="18"/>
      <c r="O1542" s="18"/>
      <c r="P1542" s="18"/>
      <c r="Q1542" s="34"/>
      <c r="R1542" s="18"/>
      <c r="S1542" s="18"/>
      <c r="T1542" s="19" t="s">
        <v>1562</v>
      </c>
      <c r="U1542" s="9" t="str">
        <f t="shared" si="1"/>
        <v>NSE:KOKUYOCMLN</v>
      </c>
      <c r="V1542" s="18"/>
      <c r="W1542" s="18"/>
      <c r="X1542" s="18"/>
    </row>
    <row r="1543">
      <c r="A1543" s="20"/>
      <c r="B1543" s="3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35"/>
      <c r="N1543" s="18"/>
      <c r="O1543" s="18"/>
      <c r="P1543" s="18"/>
      <c r="Q1543" s="34"/>
      <c r="R1543" s="18"/>
      <c r="S1543" s="18"/>
      <c r="T1543" s="19" t="s">
        <v>1563</v>
      </c>
      <c r="U1543" s="9" t="str">
        <f t="shared" si="1"/>
        <v>NSE:SHREYANIND</v>
      </c>
      <c r="V1543" s="18"/>
      <c r="W1543" s="18"/>
      <c r="X1543" s="18"/>
    </row>
    <row r="1544">
      <c r="A1544" s="20"/>
      <c r="B1544" s="3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35"/>
      <c r="N1544" s="18"/>
      <c r="O1544" s="18"/>
      <c r="P1544" s="18"/>
      <c r="Q1544" s="34"/>
      <c r="R1544" s="18"/>
      <c r="S1544" s="18"/>
      <c r="T1544" s="19" t="s">
        <v>1564</v>
      </c>
      <c r="U1544" s="9" t="str">
        <f t="shared" si="1"/>
        <v>NSE:TRIGYN</v>
      </c>
      <c r="V1544" s="18"/>
      <c r="W1544" s="18"/>
      <c r="X1544" s="18"/>
    </row>
    <row r="1545">
      <c r="A1545" s="20"/>
      <c r="B1545" s="3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35"/>
      <c r="N1545" s="18"/>
      <c r="O1545" s="18"/>
      <c r="P1545" s="18"/>
      <c r="Q1545" s="34"/>
      <c r="R1545" s="18"/>
      <c r="S1545" s="18"/>
      <c r="T1545" s="19" t="s">
        <v>1565</v>
      </c>
      <c r="U1545" s="9" t="str">
        <f t="shared" si="1"/>
        <v>NSE:EVINDIA</v>
      </c>
      <c r="V1545" s="18"/>
      <c r="W1545" s="18"/>
      <c r="X1545" s="18"/>
    </row>
    <row r="1546">
      <c r="A1546" s="20"/>
      <c r="B1546" s="3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35"/>
      <c r="N1546" s="18"/>
      <c r="O1546" s="18"/>
      <c r="P1546" s="18"/>
      <c r="Q1546" s="34"/>
      <c r="R1546" s="18"/>
      <c r="S1546" s="18"/>
      <c r="T1546" s="19" t="s">
        <v>1566</v>
      </c>
      <c r="U1546" s="9" t="str">
        <f t="shared" si="1"/>
        <v>NSE:PSUBNKIETF</v>
      </c>
      <c r="V1546" s="18"/>
      <c r="W1546" s="18"/>
      <c r="X1546" s="18"/>
    </row>
    <row r="1547">
      <c r="A1547" s="20"/>
      <c r="B1547" s="3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35"/>
      <c r="N1547" s="18"/>
      <c r="O1547" s="18"/>
      <c r="P1547" s="18"/>
      <c r="Q1547" s="34"/>
      <c r="R1547" s="18"/>
      <c r="S1547" s="18"/>
      <c r="T1547" s="19" t="s">
        <v>1567</v>
      </c>
      <c r="U1547" s="9" t="str">
        <f t="shared" si="1"/>
        <v>NSE:OAL</v>
      </c>
      <c r="V1547" s="18"/>
      <c r="W1547" s="18"/>
      <c r="X1547" s="18"/>
    </row>
    <row r="1548">
      <c r="A1548" s="20"/>
      <c r="B1548" s="3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35"/>
      <c r="N1548" s="18"/>
      <c r="O1548" s="18"/>
      <c r="P1548" s="18"/>
      <c r="Q1548" s="34"/>
      <c r="R1548" s="18"/>
      <c r="S1548" s="18"/>
      <c r="T1548" s="19" t="s">
        <v>1568</v>
      </c>
      <c r="U1548" s="9" t="str">
        <f t="shared" si="1"/>
        <v>NSE:KOTHARIPET</v>
      </c>
      <c r="V1548" s="18"/>
      <c r="W1548" s="18"/>
      <c r="X1548" s="18"/>
    </row>
    <row r="1549">
      <c r="A1549" s="20"/>
      <c r="B1549" s="3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35"/>
      <c r="N1549" s="18"/>
      <c r="O1549" s="18"/>
      <c r="P1549" s="18"/>
      <c r="Q1549" s="34"/>
      <c r="R1549" s="18"/>
      <c r="S1549" s="18"/>
      <c r="T1549" s="19" t="s">
        <v>1569</v>
      </c>
      <c r="U1549" s="9" t="str">
        <f t="shared" si="1"/>
        <v>NSE:GOLDETFADD</v>
      </c>
      <c r="V1549" s="18"/>
      <c r="W1549" s="18"/>
      <c r="X1549" s="18"/>
    </row>
    <row r="1550">
      <c r="A1550" s="20"/>
      <c r="B1550" s="3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35"/>
      <c r="N1550" s="18"/>
      <c r="O1550" s="18"/>
      <c r="P1550" s="18"/>
      <c r="Q1550" s="34"/>
      <c r="R1550" s="18"/>
      <c r="S1550" s="18"/>
      <c r="T1550" s="19" t="s">
        <v>1570</v>
      </c>
      <c r="U1550" s="9" t="str">
        <f t="shared" si="1"/>
        <v>NSE:ZEELEARN</v>
      </c>
      <c r="V1550" s="18"/>
      <c r="W1550" s="18"/>
      <c r="X1550" s="18"/>
    </row>
    <row r="1551">
      <c r="A1551" s="20"/>
      <c r="B1551" s="3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35"/>
      <c r="N1551" s="18"/>
      <c r="O1551" s="18"/>
      <c r="P1551" s="18"/>
      <c r="Q1551" s="34"/>
      <c r="R1551" s="18"/>
      <c r="S1551" s="18"/>
      <c r="T1551" s="19" t="s">
        <v>1571</v>
      </c>
      <c r="U1551" s="9" t="str">
        <f t="shared" si="1"/>
        <v>NSE:GROWWEV</v>
      </c>
      <c r="V1551" s="18"/>
      <c r="W1551" s="18"/>
      <c r="X1551" s="18"/>
    </row>
    <row r="1552">
      <c r="A1552" s="20"/>
      <c r="B1552" s="3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35"/>
      <c r="N1552" s="18"/>
      <c r="O1552" s="18"/>
      <c r="P1552" s="18"/>
      <c r="Q1552" s="34"/>
      <c r="R1552" s="18"/>
      <c r="S1552" s="18"/>
      <c r="T1552" s="19" t="s">
        <v>1572</v>
      </c>
      <c r="U1552" s="9" t="str">
        <f t="shared" si="1"/>
        <v>NSE:JAYSREETEA</v>
      </c>
      <c r="V1552" s="18"/>
      <c r="W1552" s="18"/>
      <c r="X1552" s="18"/>
    </row>
    <row r="1553">
      <c r="A1553" s="20"/>
      <c r="B1553" s="3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35"/>
      <c r="N1553" s="18"/>
      <c r="O1553" s="18"/>
      <c r="P1553" s="18"/>
      <c r="Q1553" s="34"/>
      <c r="R1553" s="18"/>
      <c r="S1553" s="18"/>
      <c r="T1553" s="19" t="s">
        <v>1573</v>
      </c>
      <c r="U1553" s="9" t="str">
        <f t="shared" si="1"/>
        <v>NSE:LANCORHOL</v>
      </c>
      <c r="V1553" s="18"/>
      <c r="W1553" s="18"/>
      <c r="X1553" s="18"/>
    </row>
    <row r="1554">
      <c r="A1554" s="20"/>
      <c r="B1554" s="3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35"/>
      <c r="N1554" s="18"/>
      <c r="O1554" s="18"/>
      <c r="P1554" s="18"/>
      <c r="Q1554" s="34"/>
      <c r="R1554" s="18"/>
      <c r="S1554" s="18"/>
      <c r="T1554" s="19" t="s">
        <v>1574</v>
      </c>
      <c r="U1554" s="9" t="str">
        <f t="shared" si="1"/>
        <v>NSE:BANKETF</v>
      </c>
      <c r="V1554" s="18"/>
      <c r="W1554" s="18"/>
      <c r="X1554" s="18"/>
    </row>
    <row r="1555">
      <c r="A1555" s="20"/>
      <c r="B1555" s="3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35"/>
      <c r="N1555" s="18"/>
      <c r="O1555" s="18"/>
      <c r="P1555" s="18"/>
      <c r="Q1555" s="34"/>
      <c r="R1555" s="18"/>
      <c r="S1555" s="18"/>
      <c r="T1555" s="19" t="s">
        <v>1575</v>
      </c>
      <c r="U1555" s="9" t="str">
        <f t="shared" si="1"/>
        <v>NSE:ASAHISONG</v>
      </c>
      <c r="V1555" s="18"/>
      <c r="W1555" s="18"/>
      <c r="X1555" s="18"/>
    </row>
    <row r="1556">
      <c r="A1556" s="20"/>
      <c r="B1556" s="3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35"/>
      <c r="N1556" s="18"/>
      <c r="O1556" s="18"/>
      <c r="P1556" s="18"/>
      <c r="Q1556" s="34"/>
      <c r="R1556" s="18"/>
      <c r="S1556" s="18"/>
      <c r="T1556" s="19" t="s">
        <v>1576</v>
      </c>
      <c r="U1556" s="9" t="str">
        <f t="shared" si="1"/>
        <v>NSE:SOUTHWEST</v>
      </c>
      <c r="V1556" s="18"/>
      <c r="W1556" s="18"/>
      <c r="X1556" s="18"/>
    </row>
    <row r="1557">
      <c r="A1557" s="20"/>
      <c r="B1557" s="3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35"/>
      <c r="N1557" s="18"/>
      <c r="O1557" s="18"/>
      <c r="P1557" s="18"/>
      <c r="Q1557" s="34"/>
      <c r="R1557" s="18"/>
      <c r="S1557" s="18"/>
      <c r="T1557" s="19" t="s">
        <v>1577</v>
      </c>
      <c r="U1557" s="9" t="str">
        <f t="shared" si="1"/>
        <v>NSE:BALAXI</v>
      </c>
      <c r="V1557" s="18"/>
      <c r="W1557" s="18"/>
      <c r="X1557" s="18"/>
    </row>
    <row r="1558">
      <c r="A1558" s="20"/>
      <c r="B1558" s="3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35"/>
      <c r="N1558" s="18"/>
      <c r="O1558" s="18"/>
      <c r="P1558" s="18"/>
      <c r="Q1558" s="34"/>
      <c r="R1558" s="18"/>
      <c r="S1558" s="18"/>
      <c r="T1558" s="19" t="s">
        <v>1578</v>
      </c>
      <c r="U1558" s="9" t="str">
        <f t="shared" si="1"/>
        <v>NSE:HDFCNEXT50</v>
      </c>
      <c r="V1558" s="18"/>
      <c r="W1558" s="18"/>
      <c r="X1558" s="18"/>
    </row>
    <row r="1559">
      <c r="A1559" s="20"/>
      <c r="B1559" s="3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35"/>
      <c r="N1559" s="18"/>
      <c r="O1559" s="18"/>
      <c r="P1559" s="18"/>
      <c r="Q1559" s="34"/>
      <c r="R1559" s="18"/>
      <c r="S1559" s="18"/>
      <c r="T1559" s="19" t="s">
        <v>1579</v>
      </c>
      <c r="U1559" s="9" t="str">
        <f t="shared" si="1"/>
        <v>NSE:RPPL</v>
      </c>
      <c r="V1559" s="18"/>
      <c r="W1559" s="18"/>
      <c r="X1559" s="18"/>
    </row>
    <row r="1560">
      <c r="A1560" s="20"/>
      <c r="B1560" s="3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35"/>
      <c r="N1560" s="18"/>
      <c r="O1560" s="18"/>
      <c r="P1560" s="18"/>
      <c r="Q1560" s="34"/>
      <c r="R1560" s="18"/>
      <c r="S1560" s="18"/>
      <c r="T1560" s="19" t="s">
        <v>1580</v>
      </c>
      <c r="U1560" s="9" t="str">
        <f t="shared" si="1"/>
        <v>NSE:KUANTUM</v>
      </c>
      <c r="V1560" s="18"/>
      <c r="W1560" s="18"/>
      <c r="X1560" s="18"/>
    </row>
    <row r="1561">
      <c r="A1561" s="20"/>
      <c r="B1561" s="3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35"/>
      <c r="N1561" s="18"/>
      <c r="O1561" s="18"/>
      <c r="P1561" s="18"/>
      <c r="Q1561" s="34"/>
      <c r="R1561" s="18"/>
      <c r="S1561" s="18"/>
      <c r="T1561" s="19" t="s">
        <v>1581</v>
      </c>
      <c r="U1561" s="9" t="str">
        <f t="shared" si="1"/>
        <v>NSE:YASHO</v>
      </c>
      <c r="V1561" s="18"/>
      <c r="W1561" s="18"/>
      <c r="X1561" s="18"/>
    </row>
    <row r="1562">
      <c r="A1562" s="20"/>
      <c r="B1562" s="3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35"/>
      <c r="N1562" s="18"/>
      <c r="O1562" s="18"/>
      <c r="P1562" s="18"/>
      <c r="Q1562" s="34"/>
      <c r="R1562" s="18"/>
      <c r="S1562" s="18"/>
      <c r="T1562" s="19" t="s">
        <v>1582</v>
      </c>
      <c r="U1562" s="9" t="str">
        <f t="shared" si="1"/>
        <v>NSE:BSE500IETF</v>
      </c>
      <c r="V1562" s="18"/>
      <c r="W1562" s="18"/>
      <c r="X1562" s="18"/>
    </row>
    <row r="1563">
      <c r="A1563" s="20"/>
      <c r="B1563" s="3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35"/>
      <c r="N1563" s="18"/>
      <c r="O1563" s="18"/>
      <c r="P1563" s="18"/>
      <c r="Q1563" s="34"/>
      <c r="R1563" s="18"/>
      <c r="S1563" s="18"/>
      <c r="T1563" s="19" t="s">
        <v>1583</v>
      </c>
      <c r="U1563" s="9" t="str">
        <f t="shared" si="1"/>
        <v>NSE:GSS</v>
      </c>
      <c r="V1563" s="18"/>
      <c r="W1563" s="18"/>
      <c r="X1563" s="18"/>
    </row>
    <row r="1564">
      <c r="A1564" s="20"/>
      <c r="B1564" s="3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35"/>
      <c r="N1564" s="18"/>
      <c r="O1564" s="18"/>
      <c r="P1564" s="18"/>
      <c r="Q1564" s="34"/>
      <c r="R1564" s="18"/>
      <c r="S1564" s="18"/>
      <c r="T1564" s="19" t="s">
        <v>1584</v>
      </c>
      <c r="U1564" s="9" t="str">
        <f t="shared" si="1"/>
        <v>NSE:RANASUG</v>
      </c>
      <c r="V1564" s="18"/>
      <c r="W1564" s="18"/>
      <c r="X1564" s="18"/>
    </row>
    <row r="1565">
      <c r="A1565" s="20"/>
      <c r="B1565" s="3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35"/>
      <c r="N1565" s="18"/>
      <c r="O1565" s="18"/>
      <c r="P1565" s="18"/>
      <c r="Q1565" s="34"/>
      <c r="R1565" s="18"/>
      <c r="S1565" s="18"/>
      <c r="T1565" s="19" t="s">
        <v>1585</v>
      </c>
      <c r="U1565" s="9" t="str">
        <f t="shared" si="1"/>
        <v>NSE:OSWALAGRO</v>
      </c>
      <c r="V1565" s="18"/>
      <c r="W1565" s="18"/>
      <c r="X1565" s="18"/>
    </row>
    <row r="1566">
      <c r="A1566" s="20"/>
      <c r="B1566" s="3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35"/>
      <c r="N1566" s="18"/>
      <c r="O1566" s="18"/>
      <c r="P1566" s="18"/>
      <c r="Q1566" s="34"/>
      <c r="R1566" s="18"/>
      <c r="S1566" s="18"/>
      <c r="T1566" s="19" t="s">
        <v>1586</v>
      </c>
      <c r="U1566" s="9" t="str">
        <f t="shared" si="1"/>
        <v>NSE:MGEL</v>
      </c>
      <c r="V1566" s="18"/>
      <c r="W1566" s="18"/>
      <c r="X1566" s="18"/>
    </row>
    <row r="1567">
      <c r="A1567" s="20"/>
      <c r="B1567" s="3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35"/>
      <c r="N1567" s="18"/>
      <c r="O1567" s="18"/>
      <c r="P1567" s="18"/>
      <c r="Q1567" s="34"/>
      <c r="R1567" s="18"/>
      <c r="S1567" s="18"/>
      <c r="T1567" s="19" t="s">
        <v>1587</v>
      </c>
      <c r="U1567" s="9" t="str">
        <f t="shared" si="1"/>
        <v>NSE:BANKA</v>
      </c>
      <c r="V1567" s="18"/>
      <c r="W1567" s="18"/>
      <c r="X1567" s="18"/>
    </row>
    <row r="1568">
      <c r="A1568" s="20"/>
      <c r="B1568" s="3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35"/>
      <c r="N1568" s="18"/>
      <c r="O1568" s="18"/>
      <c r="P1568" s="18"/>
      <c r="Q1568" s="34"/>
      <c r="R1568" s="18"/>
      <c r="S1568" s="18"/>
      <c r="T1568" s="19" t="s">
        <v>1588</v>
      </c>
      <c r="U1568" s="9" t="str">
        <f t="shared" si="1"/>
        <v>NSE:AUTOIETF</v>
      </c>
      <c r="V1568" s="18"/>
      <c r="W1568" s="18"/>
      <c r="X1568" s="18"/>
    </row>
    <row r="1569">
      <c r="A1569" s="20"/>
      <c r="B1569" s="3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35"/>
      <c r="N1569" s="18"/>
      <c r="O1569" s="18"/>
      <c r="P1569" s="18"/>
      <c r="Q1569" s="34"/>
      <c r="R1569" s="18"/>
      <c r="S1569" s="18"/>
      <c r="T1569" s="19" t="s">
        <v>1589</v>
      </c>
      <c r="U1569" s="9" t="str">
        <f t="shared" si="1"/>
        <v>NSE:DIAMINESQ</v>
      </c>
      <c r="V1569" s="18"/>
      <c r="W1569" s="18"/>
      <c r="X1569" s="18"/>
    </row>
    <row r="1570">
      <c r="A1570" s="20"/>
      <c r="B1570" s="3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35"/>
      <c r="N1570" s="18"/>
      <c r="O1570" s="18"/>
      <c r="P1570" s="18"/>
      <c r="Q1570" s="34"/>
      <c r="R1570" s="18"/>
      <c r="S1570" s="18"/>
      <c r="T1570" s="19" t="s">
        <v>1590</v>
      </c>
      <c r="U1570" s="9" t="str">
        <f t="shared" si="1"/>
        <v>NSE:RAMRAT</v>
      </c>
      <c r="V1570" s="18"/>
      <c r="W1570" s="18"/>
      <c r="X1570" s="18"/>
    </row>
    <row r="1571">
      <c r="A1571" s="20"/>
      <c r="B1571" s="3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35"/>
      <c r="N1571" s="18"/>
      <c r="O1571" s="18"/>
      <c r="P1571" s="18"/>
      <c r="Q1571" s="34"/>
      <c r="R1571" s="18"/>
      <c r="S1571" s="18"/>
      <c r="T1571" s="19" t="s">
        <v>1591</v>
      </c>
      <c r="U1571" s="9" t="str">
        <f t="shared" si="1"/>
        <v>NSE:EXXARO</v>
      </c>
      <c r="V1571" s="18"/>
      <c r="W1571" s="18"/>
      <c r="X1571" s="18"/>
    </row>
    <row r="1572">
      <c r="A1572" s="20"/>
      <c r="B1572" s="3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35"/>
      <c r="N1572" s="18"/>
      <c r="O1572" s="18"/>
      <c r="P1572" s="18"/>
      <c r="Q1572" s="34"/>
      <c r="R1572" s="18"/>
      <c r="S1572" s="18"/>
      <c r="T1572" s="19" t="s">
        <v>1592</v>
      </c>
      <c r="U1572" s="9" t="str">
        <f t="shared" si="1"/>
        <v>NSE:BFSI</v>
      </c>
      <c r="V1572" s="18"/>
      <c r="W1572" s="18"/>
      <c r="X1572" s="18"/>
    </row>
    <row r="1573">
      <c r="A1573" s="20"/>
      <c r="B1573" s="3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35"/>
      <c r="N1573" s="18"/>
      <c r="O1573" s="18"/>
      <c r="P1573" s="18"/>
      <c r="Q1573" s="34"/>
      <c r="R1573" s="18"/>
      <c r="S1573" s="18"/>
      <c r="T1573" s="19" t="s">
        <v>1593</v>
      </c>
      <c r="U1573" s="9" t="str">
        <f t="shared" si="1"/>
        <v>NSE:GENUSPAPER</v>
      </c>
      <c r="V1573" s="18"/>
      <c r="W1573" s="18"/>
      <c r="X1573" s="18"/>
    </row>
    <row r="1574">
      <c r="A1574" s="20"/>
      <c r="B1574" s="3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35"/>
      <c r="N1574" s="18"/>
      <c r="O1574" s="18"/>
      <c r="P1574" s="18"/>
      <c r="Q1574" s="34"/>
      <c r="R1574" s="18"/>
      <c r="S1574" s="18"/>
      <c r="T1574" s="19" t="s">
        <v>1594</v>
      </c>
      <c r="U1574" s="9" t="str">
        <f t="shared" si="1"/>
        <v>NSE:GUJAPOLLO</v>
      </c>
      <c r="V1574" s="18"/>
      <c r="W1574" s="18"/>
      <c r="X1574" s="18"/>
    </row>
    <row r="1575">
      <c r="A1575" s="20"/>
      <c r="B1575" s="3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35"/>
      <c r="N1575" s="18"/>
      <c r="O1575" s="18"/>
      <c r="P1575" s="18"/>
      <c r="Q1575" s="34"/>
      <c r="R1575" s="18"/>
      <c r="S1575" s="18"/>
      <c r="T1575" s="19" t="s">
        <v>1595</v>
      </c>
      <c r="U1575" s="9" t="str">
        <f t="shared" si="1"/>
        <v>NSE:KHADIM</v>
      </c>
      <c r="V1575" s="18"/>
      <c r="W1575" s="18"/>
      <c r="X1575" s="18"/>
    </row>
    <row r="1576">
      <c r="A1576" s="20"/>
      <c r="B1576" s="3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35"/>
      <c r="N1576" s="18"/>
      <c r="O1576" s="18"/>
      <c r="P1576" s="18"/>
      <c r="Q1576" s="34"/>
      <c r="R1576" s="18"/>
      <c r="S1576" s="18"/>
      <c r="T1576" s="19" t="s">
        <v>1596</v>
      </c>
      <c r="U1576" s="9" t="str">
        <f t="shared" si="1"/>
        <v>NSE:SCPL</v>
      </c>
      <c r="V1576" s="18"/>
      <c r="W1576" s="18"/>
      <c r="X1576" s="18"/>
    </row>
    <row r="1577">
      <c r="A1577" s="20"/>
      <c r="B1577" s="3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35"/>
      <c r="N1577" s="18"/>
      <c r="O1577" s="18"/>
      <c r="P1577" s="18"/>
      <c r="Q1577" s="34"/>
      <c r="R1577" s="18"/>
      <c r="S1577" s="18"/>
      <c r="T1577" s="19" t="s">
        <v>1597</v>
      </c>
      <c r="U1577" s="9" t="str">
        <f t="shared" si="1"/>
        <v>NSE:CHEMCON</v>
      </c>
      <c r="V1577" s="18"/>
      <c r="W1577" s="18"/>
      <c r="X1577" s="18"/>
    </row>
    <row r="1578">
      <c r="A1578" s="20"/>
      <c r="B1578" s="3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35"/>
      <c r="N1578" s="18"/>
      <c r="O1578" s="18"/>
      <c r="P1578" s="18"/>
      <c r="Q1578" s="34"/>
      <c r="R1578" s="18"/>
      <c r="S1578" s="18"/>
      <c r="T1578" s="19" t="s">
        <v>1598</v>
      </c>
      <c r="U1578" s="9" t="str">
        <f t="shared" si="1"/>
        <v>NSE:VIPCLOTHNG</v>
      </c>
      <c r="V1578" s="18"/>
      <c r="W1578" s="18"/>
      <c r="X1578" s="18"/>
    </row>
    <row r="1579">
      <c r="A1579" s="20"/>
      <c r="B1579" s="3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35"/>
      <c r="N1579" s="18"/>
      <c r="O1579" s="18"/>
      <c r="P1579" s="18"/>
      <c r="Q1579" s="34"/>
      <c r="R1579" s="18"/>
      <c r="S1579" s="18"/>
      <c r="T1579" s="19" t="s">
        <v>1599</v>
      </c>
      <c r="U1579" s="9" t="str">
        <f t="shared" si="1"/>
        <v>NSE:MADRASFERT</v>
      </c>
      <c r="V1579" s="18"/>
      <c r="W1579" s="18"/>
      <c r="X1579" s="18"/>
    </row>
    <row r="1580">
      <c r="A1580" s="20"/>
      <c r="B1580" s="3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35"/>
      <c r="N1580" s="18"/>
      <c r="O1580" s="18"/>
      <c r="P1580" s="18"/>
      <c r="Q1580" s="34"/>
      <c r="R1580" s="18"/>
      <c r="S1580" s="18"/>
      <c r="T1580" s="19" t="s">
        <v>1600</v>
      </c>
      <c r="U1580" s="9" t="str">
        <f t="shared" si="1"/>
        <v>NSE:ESSENTIA</v>
      </c>
      <c r="V1580" s="18"/>
      <c r="W1580" s="18"/>
      <c r="X1580" s="18"/>
    </row>
    <row r="1581">
      <c r="A1581" s="20"/>
      <c r="B1581" s="3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35"/>
      <c r="N1581" s="18"/>
      <c r="O1581" s="18"/>
      <c r="P1581" s="18"/>
      <c r="Q1581" s="34"/>
      <c r="R1581" s="18"/>
      <c r="S1581" s="18"/>
      <c r="T1581" s="19" t="s">
        <v>1601</v>
      </c>
      <c r="U1581" s="9" t="str">
        <f t="shared" si="1"/>
        <v>NSE:KRONOX</v>
      </c>
      <c r="V1581" s="18"/>
      <c r="W1581" s="18"/>
      <c r="X1581" s="18"/>
    </row>
    <row r="1582">
      <c r="A1582" s="20"/>
      <c r="B1582" s="3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35"/>
      <c r="N1582" s="18"/>
      <c r="O1582" s="18"/>
      <c r="P1582" s="18"/>
      <c r="Q1582" s="34"/>
      <c r="R1582" s="18"/>
      <c r="S1582" s="18"/>
      <c r="T1582" s="19" t="s">
        <v>1602</v>
      </c>
      <c r="U1582" s="9" t="str">
        <f t="shared" si="1"/>
        <v>NSE:PFOCUS</v>
      </c>
      <c r="V1582" s="18"/>
      <c r="W1582" s="18"/>
      <c r="X1582" s="18"/>
    </row>
    <row r="1583">
      <c r="A1583" s="20"/>
      <c r="B1583" s="3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35"/>
      <c r="N1583" s="18"/>
      <c r="O1583" s="18"/>
      <c r="P1583" s="18"/>
      <c r="Q1583" s="34"/>
      <c r="R1583" s="18"/>
      <c r="S1583" s="18"/>
      <c r="T1583" s="19" t="s">
        <v>1603</v>
      </c>
      <c r="U1583" s="9" t="str">
        <f t="shared" si="1"/>
        <v>NSE:AVTNPL</v>
      </c>
      <c r="V1583" s="18"/>
      <c r="W1583" s="18"/>
      <c r="X1583" s="18"/>
    </row>
    <row r="1584">
      <c r="A1584" s="20"/>
      <c r="B1584" s="3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35"/>
      <c r="N1584" s="18"/>
      <c r="O1584" s="18"/>
      <c r="P1584" s="18"/>
      <c r="Q1584" s="34"/>
      <c r="R1584" s="18"/>
      <c r="S1584" s="18"/>
      <c r="T1584" s="19" t="s">
        <v>1604</v>
      </c>
      <c r="U1584" s="9" t="str">
        <f t="shared" si="1"/>
        <v>NSE:SBINEQWETF</v>
      </c>
      <c r="V1584" s="18"/>
      <c r="W1584" s="18"/>
      <c r="X1584" s="18"/>
    </row>
    <row r="1585">
      <c r="A1585" s="20"/>
      <c r="B1585" s="3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35"/>
      <c r="N1585" s="18"/>
      <c r="O1585" s="18"/>
      <c r="P1585" s="18"/>
      <c r="Q1585" s="34"/>
      <c r="R1585" s="18"/>
      <c r="S1585" s="18"/>
      <c r="T1585" s="19" t="s">
        <v>1605</v>
      </c>
      <c r="U1585" s="9" t="str">
        <f t="shared" si="1"/>
        <v>NSE:HDFCMID150</v>
      </c>
      <c r="V1585" s="18"/>
      <c r="W1585" s="18"/>
      <c r="X1585" s="18"/>
    </row>
    <row r="1586">
      <c r="A1586" s="20"/>
      <c r="B1586" s="3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35"/>
      <c r="N1586" s="18"/>
      <c r="O1586" s="18"/>
      <c r="P1586" s="18"/>
      <c r="Q1586" s="34"/>
      <c r="R1586" s="18"/>
      <c r="S1586" s="18"/>
      <c r="T1586" s="19" t="s">
        <v>1606</v>
      </c>
      <c r="U1586" s="9" t="str">
        <f t="shared" si="1"/>
        <v>NSE:NAHARCAP</v>
      </c>
      <c r="V1586" s="18"/>
      <c r="W1586" s="18"/>
      <c r="X1586" s="18"/>
    </row>
    <row r="1587">
      <c r="A1587" s="20"/>
      <c r="B1587" s="3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35"/>
      <c r="N1587" s="18"/>
      <c r="O1587" s="18"/>
      <c r="P1587" s="18"/>
      <c r="Q1587" s="34"/>
      <c r="R1587" s="18"/>
      <c r="S1587" s="18"/>
      <c r="T1587" s="19" t="s">
        <v>1607</v>
      </c>
      <c r="U1587" s="9" t="str">
        <f t="shared" si="1"/>
        <v>NSE:CROWN</v>
      </c>
      <c r="V1587" s="18"/>
      <c r="W1587" s="18"/>
      <c r="X1587" s="18"/>
    </row>
    <row r="1588">
      <c r="A1588" s="20"/>
      <c r="B1588" s="3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35"/>
      <c r="N1588" s="18"/>
      <c r="O1588" s="18"/>
      <c r="P1588" s="18"/>
      <c r="Q1588" s="34"/>
      <c r="R1588" s="18"/>
      <c r="S1588" s="18"/>
      <c r="T1588" s="19" t="s">
        <v>1608</v>
      </c>
      <c r="U1588" s="9" t="str">
        <f t="shared" si="1"/>
        <v>NSE:NILAINFRA</v>
      </c>
      <c r="V1588" s="18"/>
      <c r="W1588" s="18"/>
      <c r="X1588" s="18"/>
    </row>
    <row r="1589">
      <c r="A1589" s="20"/>
      <c r="B1589" s="3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35"/>
      <c r="N1589" s="18"/>
      <c r="O1589" s="18"/>
      <c r="P1589" s="18"/>
      <c r="Q1589" s="34"/>
      <c r="R1589" s="18"/>
      <c r="S1589" s="18"/>
      <c r="T1589" s="19" t="s">
        <v>1609</v>
      </c>
      <c r="U1589" s="9" t="str">
        <f t="shared" si="1"/>
        <v>NSE:TOTAL</v>
      </c>
      <c r="V1589" s="18"/>
      <c r="W1589" s="18"/>
      <c r="X1589" s="18"/>
    </row>
    <row r="1590">
      <c r="A1590" s="20"/>
      <c r="B1590" s="3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35"/>
      <c r="N1590" s="18"/>
      <c r="O1590" s="18"/>
      <c r="P1590" s="18"/>
      <c r="Q1590" s="34"/>
      <c r="R1590" s="18"/>
      <c r="S1590" s="18"/>
      <c r="T1590" s="19" t="s">
        <v>1610</v>
      </c>
      <c r="U1590" s="9" t="str">
        <f t="shared" si="1"/>
        <v>NSE:JAYNECOIND</v>
      </c>
      <c r="V1590" s="18"/>
      <c r="W1590" s="18"/>
      <c r="X1590" s="18"/>
    </row>
    <row r="1591">
      <c r="A1591" s="20"/>
      <c r="B1591" s="3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35"/>
      <c r="N1591" s="18"/>
      <c r="O1591" s="18"/>
      <c r="P1591" s="18"/>
      <c r="Q1591" s="34"/>
      <c r="R1591" s="18"/>
      <c r="S1591" s="18"/>
      <c r="T1591" s="19" t="s">
        <v>1611</v>
      </c>
      <c r="U1591" s="9" t="str">
        <f t="shared" si="1"/>
        <v>NSE:MALLCOM</v>
      </c>
      <c r="V1591" s="18"/>
      <c r="W1591" s="18"/>
      <c r="X1591" s="18"/>
    </row>
    <row r="1592">
      <c r="A1592" s="20"/>
      <c r="B1592" s="3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35"/>
      <c r="N1592" s="18"/>
      <c r="O1592" s="18"/>
      <c r="P1592" s="18"/>
      <c r="Q1592" s="34"/>
      <c r="R1592" s="18"/>
      <c r="S1592" s="18"/>
      <c r="T1592" s="19" t="s">
        <v>1612</v>
      </c>
      <c r="U1592" s="9" t="str">
        <f t="shared" si="1"/>
        <v>NSE:RELTD</v>
      </c>
      <c r="V1592" s="18"/>
      <c r="W1592" s="18"/>
      <c r="X1592" s="18"/>
    </row>
    <row r="1593">
      <c r="A1593" s="20"/>
      <c r="B1593" s="3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35"/>
      <c r="N1593" s="18"/>
      <c r="O1593" s="18"/>
      <c r="P1593" s="18"/>
      <c r="Q1593" s="34"/>
      <c r="R1593" s="18"/>
      <c r="S1593" s="18"/>
      <c r="T1593" s="19" t="s">
        <v>1613</v>
      </c>
      <c r="U1593" s="9" t="str">
        <f t="shared" si="1"/>
        <v>NSE:SILGO</v>
      </c>
      <c r="V1593" s="18"/>
      <c r="W1593" s="18"/>
      <c r="X1593" s="18"/>
    </row>
    <row r="1594">
      <c r="A1594" s="20"/>
      <c r="B1594" s="3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35"/>
      <c r="N1594" s="18"/>
      <c r="O1594" s="18"/>
      <c r="P1594" s="18"/>
      <c r="Q1594" s="34"/>
      <c r="R1594" s="18"/>
      <c r="S1594" s="18"/>
      <c r="T1594" s="19" t="s">
        <v>1614</v>
      </c>
      <c r="U1594" s="9" t="str">
        <f t="shared" si="1"/>
        <v>NSE:ORIENTBELL</v>
      </c>
      <c r="V1594" s="18"/>
      <c r="W1594" s="18"/>
      <c r="X1594" s="18"/>
    </row>
    <row r="1595">
      <c r="A1595" s="20"/>
      <c r="B1595" s="3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35"/>
      <c r="N1595" s="18"/>
      <c r="O1595" s="18"/>
      <c r="P1595" s="18"/>
      <c r="Q1595" s="34"/>
      <c r="R1595" s="18"/>
      <c r="S1595" s="18"/>
      <c r="T1595" s="19" t="s">
        <v>1615</v>
      </c>
      <c r="U1595" s="9" t="str">
        <f t="shared" si="1"/>
        <v>NSE:METAL</v>
      </c>
      <c r="V1595" s="18"/>
      <c r="W1595" s="18"/>
      <c r="X1595" s="18"/>
    </row>
    <row r="1596">
      <c r="A1596" s="20"/>
      <c r="B1596" s="3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35"/>
      <c r="N1596" s="18"/>
      <c r="O1596" s="18"/>
      <c r="P1596" s="18"/>
      <c r="Q1596" s="34"/>
      <c r="R1596" s="18"/>
      <c r="S1596" s="18"/>
      <c r="T1596" s="19" t="s">
        <v>1616</v>
      </c>
      <c r="U1596" s="9" t="str">
        <f t="shared" si="1"/>
        <v>NSE:DIGISPICE</v>
      </c>
      <c r="V1596" s="18"/>
      <c r="W1596" s="18"/>
      <c r="X1596" s="18"/>
    </row>
    <row r="1597">
      <c r="A1597" s="20"/>
      <c r="B1597" s="3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35"/>
      <c r="N1597" s="18"/>
      <c r="O1597" s="18"/>
      <c r="P1597" s="18"/>
      <c r="Q1597" s="34"/>
      <c r="R1597" s="18"/>
      <c r="S1597" s="18"/>
      <c r="T1597" s="19" t="s">
        <v>1617</v>
      </c>
      <c r="U1597" s="9" t="str">
        <f t="shared" si="1"/>
        <v>NSE:BROOKS</v>
      </c>
      <c r="V1597" s="18"/>
      <c r="W1597" s="18"/>
      <c r="X1597" s="18"/>
    </row>
    <row r="1598">
      <c r="A1598" s="20"/>
      <c r="B1598" s="3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35"/>
      <c r="N1598" s="18"/>
      <c r="O1598" s="18"/>
      <c r="P1598" s="18"/>
      <c r="Q1598" s="34"/>
      <c r="R1598" s="18"/>
      <c r="S1598" s="18"/>
      <c r="T1598" s="19" t="s">
        <v>1618</v>
      </c>
      <c r="U1598" s="9" t="str">
        <f t="shared" si="1"/>
        <v>NSE:MIRZAINT</v>
      </c>
      <c r="V1598" s="18"/>
      <c r="W1598" s="18"/>
      <c r="X1598" s="18"/>
    </row>
    <row r="1599">
      <c r="A1599" s="20"/>
      <c r="B1599" s="3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35"/>
      <c r="N1599" s="18"/>
      <c r="O1599" s="18"/>
      <c r="P1599" s="18"/>
      <c r="Q1599" s="34"/>
      <c r="R1599" s="18"/>
      <c r="S1599" s="18"/>
      <c r="T1599" s="19" t="s">
        <v>1619</v>
      </c>
      <c r="U1599" s="9" t="str">
        <f t="shared" si="1"/>
        <v>NSE:PODDARMENT</v>
      </c>
      <c r="V1599" s="18"/>
      <c r="W1599" s="18"/>
      <c r="X1599" s="18"/>
    </row>
    <row r="1600">
      <c r="A1600" s="20"/>
      <c r="B1600" s="3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35"/>
      <c r="N1600" s="18"/>
      <c r="O1600" s="18"/>
      <c r="P1600" s="18"/>
      <c r="Q1600" s="34"/>
      <c r="R1600" s="18"/>
      <c r="S1600" s="18"/>
      <c r="T1600" s="19" t="s">
        <v>1620</v>
      </c>
      <c r="U1600" s="9" t="str">
        <f t="shared" si="1"/>
        <v>NSE:ASMS</v>
      </c>
      <c r="V1600" s="18"/>
      <c r="W1600" s="18"/>
      <c r="X1600" s="18"/>
    </row>
    <row r="1601">
      <c r="A1601" s="20"/>
      <c r="B1601" s="3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35"/>
      <c r="N1601" s="18"/>
      <c r="O1601" s="18"/>
      <c r="P1601" s="18"/>
      <c r="Q1601" s="34"/>
      <c r="R1601" s="18"/>
      <c r="S1601" s="18"/>
      <c r="T1601" s="19" t="s">
        <v>1621</v>
      </c>
      <c r="U1601" s="9" t="str">
        <f t="shared" si="1"/>
        <v>NSE:SHEMAROO</v>
      </c>
      <c r="V1601" s="18"/>
      <c r="W1601" s="18"/>
      <c r="X1601" s="18"/>
    </row>
    <row r="1602">
      <c r="A1602" s="20"/>
      <c r="B1602" s="3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35"/>
      <c r="N1602" s="18"/>
      <c r="O1602" s="18"/>
      <c r="P1602" s="18"/>
      <c r="Q1602" s="34"/>
      <c r="R1602" s="18"/>
      <c r="S1602" s="18"/>
      <c r="T1602" s="19" t="s">
        <v>1622</v>
      </c>
      <c r="U1602" s="9" t="str">
        <f t="shared" si="1"/>
        <v>NSE:RANEENGINE</v>
      </c>
      <c r="V1602" s="18"/>
      <c r="W1602" s="18"/>
      <c r="X1602" s="18"/>
    </row>
    <row r="1603">
      <c r="A1603" s="20"/>
      <c r="B1603" s="3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35"/>
      <c r="N1603" s="18"/>
      <c r="O1603" s="18"/>
      <c r="P1603" s="18"/>
      <c r="Q1603" s="34"/>
      <c r="R1603" s="18"/>
      <c r="S1603" s="18"/>
      <c r="T1603" s="19" t="s">
        <v>1623</v>
      </c>
      <c r="U1603" s="9" t="str">
        <f t="shared" si="1"/>
        <v>NSE:VINYLINDIA</v>
      </c>
      <c r="V1603" s="18"/>
      <c r="W1603" s="18"/>
      <c r="X1603" s="18"/>
    </row>
    <row r="1604">
      <c r="A1604" s="20"/>
      <c r="B1604" s="3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35"/>
      <c r="N1604" s="18"/>
      <c r="O1604" s="18"/>
      <c r="P1604" s="18"/>
      <c r="Q1604" s="34"/>
      <c r="R1604" s="18"/>
      <c r="S1604" s="18"/>
      <c r="T1604" s="19" t="s">
        <v>1624</v>
      </c>
      <c r="U1604" s="9" t="str">
        <f t="shared" si="1"/>
        <v>NSE:PREMIERPOL</v>
      </c>
      <c r="V1604" s="18"/>
      <c r="W1604" s="18"/>
      <c r="X1604" s="18"/>
    </row>
    <row r="1605">
      <c r="A1605" s="20"/>
      <c r="B1605" s="3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35"/>
      <c r="N1605" s="18"/>
      <c r="O1605" s="18"/>
      <c r="P1605" s="18"/>
      <c r="Q1605" s="34"/>
      <c r="R1605" s="18"/>
      <c r="S1605" s="18"/>
      <c r="T1605" s="19" t="s">
        <v>1625</v>
      </c>
      <c r="U1605" s="9" t="str">
        <f t="shared" si="1"/>
        <v>NSE:RUBFILA</v>
      </c>
      <c r="V1605" s="18"/>
      <c r="W1605" s="18"/>
      <c r="X1605" s="18"/>
    </row>
    <row r="1606">
      <c r="A1606" s="20"/>
      <c r="B1606" s="3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35"/>
      <c r="N1606" s="18"/>
      <c r="O1606" s="18"/>
      <c r="P1606" s="18"/>
      <c r="Q1606" s="34"/>
      <c r="R1606" s="18"/>
      <c r="S1606" s="18"/>
      <c r="T1606" s="19" t="s">
        <v>1626</v>
      </c>
      <c r="U1606" s="9" t="str">
        <f t="shared" si="1"/>
        <v>NSE:PONNIERODE</v>
      </c>
      <c r="V1606" s="18"/>
      <c r="W1606" s="18"/>
      <c r="X1606" s="18"/>
    </row>
    <row r="1607">
      <c r="A1607" s="20"/>
      <c r="B1607" s="3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35"/>
      <c r="N1607" s="18"/>
      <c r="O1607" s="18"/>
      <c r="P1607" s="18"/>
      <c r="Q1607" s="34"/>
      <c r="R1607" s="18"/>
      <c r="S1607" s="18"/>
      <c r="T1607" s="19" t="s">
        <v>1627</v>
      </c>
      <c r="U1607" s="9" t="str">
        <f t="shared" si="1"/>
        <v>NSE:MIDSELIETF</v>
      </c>
      <c r="V1607" s="18"/>
      <c r="W1607" s="18"/>
      <c r="X1607" s="18"/>
    </row>
    <row r="1608">
      <c r="A1608" s="20"/>
      <c r="B1608" s="3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35"/>
      <c r="N1608" s="18"/>
      <c r="O1608" s="18"/>
      <c r="P1608" s="18"/>
      <c r="Q1608" s="34"/>
      <c r="R1608" s="18"/>
      <c r="S1608" s="18"/>
      <c r="T1608" s="19" t="s">
        <v>1628</v>
      </c>
      <c r="U1608" s="9" t="str">
        <f t="shared" si="1"/>
        <v>NSE:KOHINOOR</v>
      </c>
      <c r="V1608" s="18"/>
      <c r="W1608" s="18"/>
      <c r="X1608" s="18"/>
    </row>
    <row r="1609">
      <c r="A1609" s="20"/>
      <c r="B1609" s="3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35"/>
      <c r="N1609" s="18"/>
      <c r="O1609" s="18"/>
      <c r="P1609" s="18"/>
      <c r="Q1609" s="34"/>
      <c r="R1609" s="18"/>
      <c r="S1609" s="18"/>
      <c r="T1609" s="19" t="s">
        <v>1629</v>
      </c>
      <c r="U1609" s="9" t="str">
        <f t="shared" si="1"/>
        <v>NSE:AIRAN</v>
      </c>
      <c r="V1609" s="18"/>
      <c r="W1609" s="18"/>
      <c r="X1609" s="18"/>
    </row>
    <row r="1610">
      <c r="A1610" s="20"/>
      <c r="B1610" s="3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35"/>
      <c r="N1610" s="18"/>
      <c r="O1610" s="18"/>
      <c r="P1610" s="18"/>
      <c r="Q1610" s="34"/>
      <c r="R1610" s="18"/>
      <c r="S1610" s="18"/>
      <c r="T1610" s="19" t="s">
        <v>1630</v>
      </c>
      <c r="U1610" s="9" t="str">
        <f t="shared" si="1"/>
        <v>NSE:AAATECH</v>
      </c>
      <c r="V1610" s="18"/>
      <c r="W1610" s="18"/>
      <c r="X1610" s="18"/>
    </row>
    <row r="1611">
      <c r="A1611" s="20"/>
      <c r="B1611" s="3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35"/>
      <c r="N1611" s="18"/>
      <c r="O1611" s="18"/>
      <c r="P1611" s="18"/>
      <c r="Q1611" s="34"/>
      <c r="R1611" s="18"/>
      <c r="S1611" s="18"/>
      <c r="T1611" s="19" t="s">
        <v>1631</v>
      </c>
      <c r="U1611" s="9" t="str">
        <f t="shared" si="1"/>
        <v>NSE:BSLGOLDETF</v>
      </c>
      <c r="V1611" s="18"/>
      <c r="W1611" s="18"/>
      <c r="X1611" s="18"/>
    </row>
    <row r="1612">
      <c r="A1612" s="20"/>
      <c r="B1612" s="3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35"/>
      <c r="N1612" s="18"/>
      <c r="O1612" s="18"/>
      <c r="P1612" s="18"/>
      <c r="Q1612" s="34"/>
      <c r="R1612" s="18"/>
      <c r="S1612" s="18"/>
      <c r="T1612" s="19" t="s">
        <v>1632</v>
      </c>
      <c r="U1612" s="9" t="str">
        <f t="shared" si="1"/>
        <v>NSE:GTL</v>
      </c>
      <c r="V1612" s="18"/>
      <c r="W1612" s="18"/>
      <c r="X1612" s="18"/>
    </row>
    <row r="1613">
      <c r="A1613" s="20"/>
      <c r="B1613" s="3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35"/>
      <c r="N1613" s="18"/>
      <c r="O1613" s="18"/>
      <c r="P1613" s="18"/>
      <c r="Q1613" s="34"/>
      <c r="R1613" s="18"/>
      <c r="S1613" s="18"/>
      <c r="T1613" s="19" t="s">
        <v>1633</v>
      </c>
      <c r="U1613" s="9" t="str">
        <f t="shared" si="1"/>
        <v>NSE:RUCHINFRA</v>
      </c>
      <c r="V1613" s="18"/>
      <c r="W1613" s="18"/>
      <c r="X1613" s="18"/>
    </row>
    <row r="1614">
      <c r="A1614" s="20"/>
      <c r="B1614" s="3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35"/>
      <c r="N1614" s="18"/>
      <c r="O1614" s="18"/>
      <c r="P1614" s="18"/>
      <c r="Q1614" s="34"/>
      <c r="R1614" s="18"/>
      <c r="S1614" s="18"/>
      <c r="T1614" s="19" t="s">
        <v>1634</v>
      </c>
      <c r="U1614" s="9" t="str">
        <f t="shared" si="1"/>
        <v>NSE:INDOWIND</v>
      </c>
      <c r="V1614" s="18"/>
      <c r="W1614" s="18"/>
      <c r="X1614" s="18"/>
    </row>
    <row r="1615">
      <c r="A1615" s="20"/>
      <c r="B1615" s="3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35"/>
      <c r="N1615" s="18"/>
      <c r="O1615" s="18"/>
      <c r="P1615" s="18"/>
      <c r="Q1615" s="34"/>
      <c r="R1615" s="18"/>
      <c r="S1615" s="18"/>
      <c r="T1615" s="19" t="s">
        <v>1635</v>
      </c>
      <c r="U1615" s="9" t="str">
        <f t="shared" si="1"/>
        <v>NSE:GOLDTECH</v>
      </c>
      <c r="V1615" s="18"/>
      <c r="W1615" s="18"/>
      <c r="X1615" s="18"/>
    </row>
    <row r="1616">
      <c r="A1616" s="20"/>
      <c r="B1616" s="3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35"/>
      <c r="N1616" s="18"/>
      <c r="O1616" s="18"/>
      <c r="P1616" s="18"/>
      <c r="Q1616" s="34"/>
      <c r="R1616" s="18"/>
      <c r="S1616" s="18"/>
      <c r="T1616" s="19" t="s">
        <v>1636</v>
      </c>
      <c r="U1616" s="9" t="str">
        <f t="shared" si="1"/>
        <v>NSE:MID150CASE</v>
      </c>
      <c r="V1616" s="18"/>
      <c r="W1616" s="18"/>
      <c r="X1616" s="18"/>
    </row>
    <row r="1617">
      <c r="A1617" s="20"/>
      <c r="B1617" s="3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35"/>
      <c r="N1617" s="18"/>
      <c r="O1617" s="18"/>
      <c r="P1617" s="18"/>
      <c r="Q1617" s="34"/>
      <c r="R1617" s="18"/>
      <c r="S1617" s="18"/>
      <c r="T1617" s="19" t="s">
        <v>1637</v>
      </c>
      <c r="U1617" s="9" t="str">
        <f t="shared" si="1"/>
        <v>NSE:SINCLAIR</v>
      </c>
      <c r="V1617" s="18"/>
      <c r="W1617" s="18"/>
      <c r="X1617" s="18"/>
    </row>
    <row r="1618">
      <c r="A1618" s="20"/>
      <c r="B1618" s="3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35"/>
      <c r="N1618" s="18"/>
      <c r="O1618" s="18"/>
      <c r="P1618" s="18"/>
      <c r="Q1618" s="34"/>
      <c r="R1618" s="18"/>
      <c r="S1618" s="18"/>
      <c r="T1618" s="19" t="s">
        <v>1638</v>
      </c>
      <c r="U1618" s="9" t="str">
        <f t="shared" si="1"/>
        <v>NSE:KRITINUT</v>
      </c>
      <c r="V1618" s="18"/>
      <c r="W1618" s="18"/>
      <c r="X1618" s="18"/>
    </row>
    <row r="1619">
      <c r="A1619" s="20"/>
      <c r="B1619" s="3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35"/>
      <c r="N1619" s="18"/>
      <c r="O1619" s="18"/>
      <c r="P1619" s="18"/>
      <c r="Q1619" s="34"/>
      <c r="R1619" s="18"/>
      <c r="S1619" s="18"/>
      <c r="T1619" s="19" t="s">
        <v>1639</v>
      </c>
      <c r="U1619" s="9" t="str">
        <f t="shared" si="1"/>
        <v>NSE:ENIL</v>
      </c>
      <c r="V1619" s="18"/>
      <c r="W1619" s="18"/>
      <c r="X1619" s="18"/>
    </row>
    <row r="1620">
      <c r="A1620" s="20"/>
      <c r="B1620" s="3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35"/>
      <c r="N1620" s="18"/>
      <c r="O1620" s="18"/>
      <c r="P1620" s="18"/>
      <c r="Q1620" s="34"/>
      <c r="R1620" s="18"/>
      <c r="S1620" s="18"/>
      <c r="T1620" s="19" t="s">
        <v>1640</v>
      </c>
      <c r="U1620" s="9" t="str">
        <f t="shared" si="1"/>
        <v>NSE:INFRAIETF</v>
      </c>
      <c r="V1620" s="18"/>
      <c r="W1620" s="18"/>
      <c r="X1620" s="18"/>
    </row>
    <row r="1621">
      <c r="A1621" s="20"/>
      <c r="B1621" s="3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35"/>
      <c r="N1621" s="18"/>
      <c r="O1621" s="18"/>
      <c r="P1621" s="18"/>
      <c r="Q1621" s="34"/>
      <c r="R1621" s="18"/>
      <c r="S1621" s="18"/>
      <c r="T1621" s="19" t="s">
        <v>1641</v>
      </c>
      <c r="U1621" s="9" t="str">
        <f t="shared" si="1"/>
        <v>NSE:SOMICONVEY</v>
      </c>
      <c r="V1621" s="18"/>
      <c r="W1621" s="18"/>
      <c r="X1621" s="18"/>
    </row>
    <row r="1622">
      <c r="A1622" s="20"/>
      <c r="B1622" s="3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35"/>
      <c r="N1622" s="18"/>
      <c r="O1622" s="18"/>
      <c r="P1622" s="18"/>
      <c r="Q1622" s="34"/>
      <c r="R1622" s="18"/>
      <c r="S1622" s="18"/>
      <c r="T1622" s="19" t="s">
        <v>1642</v>
      </c>
      <c r="U1622" s="9" t="str">
        <f t="shared" si="1"/>
        <v>NSE:MRO-TEK</v>
      </c>
      <c r="V1622" s="18"/>
      <c r="W1622" s="18"/>
      <c r="X1622" s="18"/>
    </row>
    <row r="1623">
      <c r="A1623" s="20"/>
      <c r="B1623" s="3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35"/>
      <c r="N1623" s="18"/>
      <c r="O1623" s="18"/>
      <c r="P1623" s="18"/>
      <c r="Q1623" s="34"/>
      <c r="R1623" s="18"/>
      <c r="S1623" s="18"/>
      <c r="T1623" s="19" t="s">
        <v>1643</v>
      </c>
      <c r="U1623" s="9" t="str">
        <f t="shared" si="1"/>
        <v>NSE:VIRINCHI</v>
      </c>
      <c r="V1623" s="18"/>
      <c r="W1623" s="18"/>
      <c r="X1623" s="18"/>
    </row>
    <row r="1624">
      <c r="A1624" s="20"/>
      <c r="B1624" s="3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35"/>
      <c r="N1624" s="18"/>
      <c r="O1624" s="18"/>
      <c r="P1624" s="18"/>
      <c r="Q1624" s="34"/>
      <c r="R1624" s="18"/>
      <c r="S1624" s="18"/>
      <c r="T1624" s="19" t="s">
        <v>1644</v>
      </c>
      <c r="U1624" s="9" t="str">
        <f t="shared" si="1"/>
        <v>NSE:AVROIND</v>
      </c>
      <c r="V1624" s="18"/>
      <c r="W1624" s="18"/>
      <c r="X1624" s="18"/>
    </row>
    <row r="1625">
      <c r="A1625" s="20"/>
      <c r="B1625" s="3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35"/>
      <c r="N1625" s="18"/>
      <c r="O1625" s="18"/>
      <c r="P1625" s="18"/>
      <c r="Q1625" s="34"/>
      <c r="R1625" s="18"/>
      <c r="S1625" s="18"/>
      <c r="T1625" s="19" t="s">
        <v>1645</v>
      </c>
      <c r="U1625" s="9" t="str">
        <f t="shared" si="1"/>
        <v>NSE:MAGADSUGAR</v>
      </c>
      <c r="V1625" s="18"/>
      <c r="W1625" s="18"/>
      <c r="X1625" s="18"/>
    </row>
    <row r="1626">
      <c r="A1626" s="20"/>
      <c r="B1626" s="3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35"/>
      <c r="N1626" s="18"/>
      <c r="O1626" s="18"/>
      <c r="P1626" s="18"/>
      <c r="Q1626" s="34"/>
      <c r="R1626" s="18"/>
      <c r="S1626" s="18"/>
      <c r="T1626" s="19" t="s">
        <v>1646</v>
      </c>
      <c r="U1626" s="9" t="str">
        <f t="shared" si="1"/>
        <v>NSE:HDFCLIQUID</v>
      </c>
      <c r="V1626" s="18"/>
      <c r="W1626" s="18"/>
      <c r="X1626" s="18"/>
    </row>
    <row r="1627">
      <c r="A1627" s="20"/>
      <c r="B1627" s="3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35"/>
      <c r="N1627" s="18"/>
      <c r="O1627" s="18"/>
      <c r="P1627" s="18"/>
      <c r="Q1627" s="34"/>
      <c r="R1627" s="18"/>
      <c r="S1627" s="18"/>
      <c r="T1627" s="19" t="s">
        <v>1647</v>
      </c>
      <c r="U1627" s="9" t="str">
        <f t="shared" si="1"/>
        <v>NSE:DVL</v>
      </c>
      <c r="V1627" s="18"/>
      <c r="W1627" s="18"/>
      <c r="X1627" s="18"/>
    </row>
    <row r="1628">
      <c r="A1628" s="20"/>
      <c r="B1628" s="3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35"/>
      <c r="N1628" s="18"/>
      <c r="O1628" s="18"/>
      <c r="P1628" s="18"/>
      <c r="Q1628" s="34"/>
      <c r="R1628" s="18"/>
      <c r="S1628" s="18"/>
      <c r="T1628" s="19" t="s">
        <v>1648</v>
      </c>
      <c r="U1628" s="9" t="str">
        <f t="shared" si="1"/>
        <v>NSE:IFGLEXPOR</v>
      </c>
      <c r="V1628" s="18"/>
      <c r="W1628" s="18"/>
      <c r="X1628" s="18"/>
    </row>
    <row r="1629">
      <c r="A1629" s="20"/>
      <c r="B1629" s="3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35"/>
      <c r="N1629" s="18"/>
      <c r="O1629" s="18"/>
      <c r="P1629" s="18"/>
      <c r="Q1629" s="34"/>
      <c r="R1629" s="18"/>
      <c r="S1629" s="18"/>
      <c r="T1629" s="19" t="s">
        <v>1649</v>
      </c>
      <c r="U1629" s="9" t="str">
        <f t="shared" si="1"/>
        <v>NSE:BAIDFIN</v>
      </c>
      <c r="V1629" s="18"/>
      <c r="W1629" s="18"/>
      <c r="X1629" s="18"/>
    </row>
    <row r="1630">
      <c r="A1630" s="20"/>
      <c r="B1630" s="3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35"/>
      <c r="N1630" s="18"/>
      <c r="O1630" s="18"/>
      <c r="P1630" s="18"/>
      <c r="Q1630" s="34"/>
      <c r="R1630" s="18"/>
      <c r="S1630" s="18"/>
      <c r="T1630" s="19" t="s">
        <v>1650</v>
      </c>
      <c r="U1630" s="9" t="str">
        <f t="shared" si="1"/>
        <v>NSE:DPSCLTD</v>
      </c>
      <c r="V1630" s="18"/>
      <c r="W1630" s="18"/>
      <c r="X1630" s="18"/>
    </row>
    <row r="1631">
      <c r="A1631" s="20"/>
      <c r="B1631" s="3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35"/>
      <c r="N1631" s="18"/>
      <c r="O1631" s="18"/>
      <c r="P1631" s="18"/>
      <c r="Q1631" s="34"/>
      <c r="R1631" s="18"/>
      <c r="S1631" s="18"/>
      <c r="T1631" s="19" t="s">
        <v>1651</v>
      </c>
      <c r="U1631" s="9" t="str">
        <f t="shared" si="1"/>
        <v>NSE:RACE</v>
      </c>
      <c r="V1631" s="18"/>
      <c r="W1631" s="18"/>
      <c r="X1631" s="18"/>
    </row>
    <row r="1632">
      <c r="A1632" s="20"/>
      <c r="B1632" s="3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35"/>
      <c r="N1632" s="18"/>
      <c r="O1632" s="18"/>
      <c r="P1632" s="18"/>
      <c r="Q1632" s="34"/>
      <c r="R1632" s="18"/>
      <c r="S1632" s="18"/>
      <c r="T1632" s="19" t="s">
        <v>1652</v>
      </c>
      <c r="U1632" s="9" t="str">
        <f t="shared" si="1"/>
        <v>NSE:PRIMESECU</v>
      </c>
      <c r="V1632" s="18"/>
      <c r="W1632" s="18"/>
      <c r="X1632" s="18"/>
    </row>
    <row r="1633">
      <c r="A1633" s="20"/>
      <c r="B1633" s="3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35"/>
      <c r="N1633" s="18"/>
      <c r="O1633" s="18"/>
      <c r="P1633" s="18"/>
      <c r="Q1633" s="34"/>
      <c r="R1633" s="18"/>
      <c r="S1633" s="18"/>
      <c r="T1633" s="19" t="s">
        <v>1653</v>
      </c>
      <c r="U1633" s="9" t="str">
        <f t="shared" si="1"/>
        <v>NSE:AARTISURF</v>
      </c>
      <c r="V1633" s="18"/>
      <c r="W1633" s="18"/>
      <c r="X1633" s="18"/>
    </row>
    <row r="1634">
      <c r="A1634" s="20"/>
      <c r="B1634" s="3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35"/>
      <c r="N1634" s="18"/>
      <c r="O1634" s="18"/>
      <c r="P1634" s="18"/>
      <c r="Q1634" s="34"/>
      <c r="R1634" s="18"/>
      <c r="S1634" s="18"/>
      <c r="T1634" s="19" t="s">
        <v>1654</v>
      </c>
      <c r="U1634" s="9" t="str">
        <f t="shared" si="1"/>
        <v>NSE:MIDCAP</v>
      </c>
      <c r="V1634" s="18"/>
      <c r="W1634" s="18"/>
      <c r="X1634" s="18"/>
    </row>
    <row r="1635">
      <c r="A1635" s="20"/>
      <c r="B1635" s="3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35"/>
      <c r="N1635" s="18"/>
      <c r="O1635" s="18"/>
      <c r="P1635" s="18"/>
      <c r="Q1635" s="34"/>
      <c r="R1635" s="18"/>
      <c r="S1635" s="18"/>
      <c r="T1635" s="19" t="s">
        <v>1655</v>
      </c>
      <c r="U1635" s="9" t="str">
        <f t="shared" si="1"/>
        <v>NSE:MUNJALSHOW</v>
      </c>
      <c r="V1635" s="18"/>
      <c r="W1635" s="18"/>
      <c r="X1635" s="18"/>
    </row>
    <row r="1636">
      <c r="A1636" s="20"/>
      <c r="B1636" s="3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35"/>
      <c r="N1636" s="18"/>
      <c r="O1636" s="18"/>
      <c r="P1636" s="18"/>
      <c r="Q1636" s="34"/>
      <c r="R1636" s="18"/>
      <c r="S1636" s="18"/>
      <c r="T1636" s="19" t="s">
        <v>1656</v>
      </c>
      <c r="U1636" s="9" t="str">
        <f t="shared" si="1"/>
        <v>NSE:DICIND</v>
      </c>
      <c r="V1636" s="18"/>
      <c r="W1636" s="18"/>
      <c r="X1636" s="18"/>
    </row>
    <row r="1637">
      <c r="A1637" s="20"/>
      <c r="B1637" s="3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35"/>
      <c r="N1637" s="18"/>
      <c r="O1637" s="18"/>
      <c r="P1637" s="18"/>
      <c r="Q1637" s="34"/>
      <c r="R1637" s="18"/>
      <c r="S1637" s="18"/>
      <c r="T1637" s="19" t="s">
        <v>1657</v>
      </c>
      <c r="U1637" s="9" t="str">
        <f t="shared" si="1"/>
        <v>NSE:NDGL</v>
      </c>
      <c r="V1637" s="18"/>
      <c r="W1637" s="18"/>
      <c r="X1637" s="18"/>
    </row>
    <row r="1638">
      <c r="A1638" s="20"/>
      <c r="B1638" s="3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35"/>
      <c r="N1638" s="18"/>
      <c r="O1638" s="18"/>
      <c r="P1638" s="18"/>
      <c r="Q1638" s="34"/>
      <c r="R1638" s="18"/>
      <c r="S1638" s="18"/>
      <c r="T1638" s="19" t="s">
        <v>1658</v>
      </c>
      <c r="U1638" s="9" t="str">
        <f t="shared" si="1"/>
        <v>NSE:NRAIL</v>
      </c>
      <c r="V1638" s="18"/>
      <c r="W1638" s="18"/>
      <c r="X1638" s="18"/>
    </row>
    <row r="1639">
      <c r="A1639" s="20"/>
      <c r="B1639" s="3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35"/>
      <c r="N1639" s="18"/>
      <c r="O1639" s="18"/>
      <c r="P1639" s="18"/>
      <c r="Q1639" s="34"/>
      <c r="R1639" s="18"/>
      <c r="S1639" s="18"/>
      <c r="T1639" s="19" t="s">
        <v>1659</v>
      </c>
      <c r="U1639" s="9" t="str">
        <f t="shared" si="1"/>
        <v>NSE:BANARISUG</v>
      </c>
      <c r="V1639" s="18"/>
      <c r="W1639" s="18"/>
      <c r="X1639" s="18"/>
    </row>
    <row r="1640">
      <c r="A1640" s="20"/>
      <c r="B1640" s="3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35"/>
      <c r="N1640" s="18"/>
      <c r="O1640" s="18"/>
      <c r="P1640" s="18"/>
      <c r="Q1640" s="34"/>
      <c r="R1640" s="18"/>
      <c r="S1640" s="18"/>
      <c r="T1640" s="19" t="s">
        <v>1660</v>
      </c>
      <c r="U1640" s="9" t="str">
        <f t="shared" si="1"/>
        <v>NSE:MAWANASUG</v>
      </c>
      <c r="V1640" s="18"/>
      <c r="W1640" s="18"/>
      <c r="X1640" s="18"/>
    </row>
    <row r="1641">
      <c r="A1641" s="20"/>
      <c r="B1641" s="3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35"/>
      <c r="N1641" s="18"/>
      <c r="O1641" s="18"/>
      <c r="P1641" s="18"/>
      <c r="Q1641" s="34"/>
      <c r="R1641" s="18"/>
      <c r="S1641" s="18"/>
      <c r="T1641" s="19" t="s">
        <v>1661</v>
      </c>
      <c r="U1641" s="9" t="str">
        <f t="shared" si="1"/>
        <v>NSE:MANORG</v>
      </c>
      <c r="V1641" s="18"/>
      <c r="W1641" s="18"/>
      <c r="X1641" s="18"/>
    </row>
    <row r="1642">
      <c r="A1642" s="20"/>
      <c r="B1642" s="3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35"/>
      <c r="N1642" s="18"/>
      <c r="O1642" s="18"/>
      <c r="P1642" s="18"/>
      <c r="Q1642" s="34"/>
      <c r="R1642" s="18"/>
      <c r="S1642" s="18"/>
      <c r="T1642" s="19" t="s">
        <v>1662</v>
      </c>
      <c r="U1642" s="9" t="str">
        <f t="shared" si="1"/>
        <v>NSE:PRAENG</v>
      </c>
      <c r="V1642" s="18"/>
      <c r="W1642" s="18"/>
      <c r="X1642" s="18"/>
    </row>
    <row r="1643">
      <c r="A1643" s="20"/>
      <c r="B1643" s="3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35"/>
      <c r="N1643" s="18"/>
      <c r="O1643" s="18"/>
      <c r="P1643" s="18"/>
      <c r="Q1643" s="34"/>
      <c r="R1643" s="18"/>
      <c r="S1643" s="18"/>
      <c r="T1643" s="19" t="s">
        <v>1663</v>
      </c>
      <c r="U1643" s="9" t="str">
        <f t="shared" si="1"/>
        <v>NSE:MENONBE</v>
      </c>
      <c r="V1643" s="18"/>
      <c r="W1643" s="18"/>
      <c r="X1643" s="18"/>
    </row>
    <row r="1644">
      <c r="A1644" s="20"/>
      <c r="B1644" s="3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35"/>
      <c r="N1644" s="18"/>
      <c r="O1644" s="18"/>
      <c r="P1644" s="18"/>
      <c r="Q1644" s="34"/>
      <c r="R1644" s="18"/>
      <c r="S1644" s="18"/>
      <c r="T1644" s="19" t="s">
        <v>1664</v>
      </c>
      <c r="U1644" s="9" t="str">
        <f t="shared" si="1"/>
        <v>NSE:TOP100CASE</v>
      </c>
      <c r="V1644" s="18"/>
      <c r="W1644" s="18"/>
      <c r="X1644" s="18"/>
    </row>
    <row r="1645">
      <c r="A1645" s="20"/>
      <c r="B1645" s="3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35"/>
      <c r="N1645" s="18"/>
      <c r="O1645" s="18"/>
      <c r="P1645" s="18"/>
      <c r="Q1645" s="34"/>
      <c r="R1645" s="18"/>
      <c r="S1645" s="18"/>
      <c r="T1645" s="19" t="s">
        <v>1665</v>
      </c>
      <c r="U1645" s="9" t="str">
        <f t="shared" si="1"/>
        <v>NSE:ALPA</v>
      </c>
      <c r="V1645" s="18"/>
      <c r="W1645" s="18"/>
      <c r="X1645" s="18"/>
    </row>
    <row r="1646">
      <c r="A1646" s="20"/>
      <c r="B1646" s="3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35"/>
      <c r="N1646" s="18"/>
      <c r="O1646" s="18"/>
      <c r="P1646" s="18"/>
      <c r="Q1646" s="34"/>
      <c r="R1646" s="18"/>
      <c r="S1646" s="18"/>
      <c r="T1646" s="19" t="s">
        <v>1666</v>
      </c>
      <c r="U1646" s="9" t="str">
        <f t="shared" si="1"/>
        <v>NSE:MANCREDIT</v>
      </c>
      <c r="V1646" s="18"/>
      <c r="W1646" s="18"/>
      <c r="X1646" s="18"/>
    </row>
    <row r="1647">
      <c r="A1647" s="20"/>
      <c r="B1647" s="3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35"/>
      <c r="N1647" s="18"/>
      <c r="O1647" s="18"/>
      <c r="P1647" s="18"/>
      <c r="Q1647" s="34"/>
      <c r="R1647" s="18"/>
      <c r="S1647" s="18"/>
      <c r="T1647" s="19" t="s">
        <v>1667</v>
      </c>
      <c r="U1647" s="9" t="str">
        <f t="shared" si="1"/>
        <v>NSE:SUPERHOUSE</v>
      </c>
      <c r="V1647" s="18"/>
      <c r="W1647" s="18"/>
      <c r="X1647" s="18"/>
    </row>
    <row r="1648">
      <c r="A1648" s="20"/>
      <c r="B1648" s="3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35"/>
      <c r="N1648" s="18"/>
      <c r="O1648" s="18"/>
      <c r="P1648" s="18"/>
      <c r="Q1648" s="34"/>
      <c r="R1648" s="18"/>
      <c r="S1648" s="18"/>
      <c r="T1648" s="19" t="s">
        <v>1668</v>
      </c>
      <c r="U1648" s="9" t="str">
        <f t="shared" si="1"/>
        <v>NSE:SBIETFIT</v>
      </c>
      <c r="V1648" s="18"/>
      <c r="W1648" s="18"/>
      <c r="X1648" s="18"/>
    </row>
    <row r="1649">
      <c r="A1649" s="20"/>
      <c r="B1649" s="3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35"/>
      <c r="N1649" s="18"/>
      <c r="O1649" s="18"/>
      <c r="P1649" s="18"/>
      <c r="Q1649" s="34"/>
      <c r="R1649" s="18"/>
      <c r="S1649" s="18"/>
      <c r="T1649" s="19" t="s">
        <v>1669</v>
      </c>
      <c r="U1649" s="9" t="str">
        <f t="shared" si="1"/>
        <v>NSE:SHIVAMAUTO</v>
      </c>
      <c r="V1649" s="18"/>
      <c r="W1649" s="18"/>
      <c r="X1649" s="18"/>
    </row>
    <row r="1650">
      <c r="A1650" s="20"/>
      <c r="B1650" s="3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35"/>
      <c r="N1650" s="18"/>
      <c r="O1650" s="18"/>
      <c r="P1650" s="18"/>
      <c r="Q1650" s="34"/>
      <c r="R1650" s="18"/>
      <c r="S1650" s="18"/>
      <c r="T1650" s="19" t="s">
        <v>1670</v>
      </c>
      <c r="U1650" s="9" t="str">
        <f t="shared" si="1"/>
        <v>NSE:ISFT</v>
      </c>
      <c r="V1650" s="18"/>
      <c r="W1650" s="18"/>
      <c r="X1650" s="18"/>
    </row>
    <row r="1651">
      <c r="A1651" s="20"/>
      <c r="B1651" s="3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35"/>
      <c r="N1651" s="18"/>
      <c r="O1651" s="18"/>
      <c r="P1651" s="18"/>
      <c r="Q1651" s="34"/>
      <c r="R1651" s="18"/>
      <c r="S1651" s="18"/>
      <c r="T1651" s="19" t="s">
        <v>1671</v>
      </c>
      <c r="U1651" s="9" t="str">
        <f t="shared" si="1"/>
        <v>NSE:HDFCVALUE</v>
      </c>
      <c r="V1651" s="18"/>
      <c r="W1651" s="18"/>
      <c r="X1651" s="18"/>
    </row>
    <row r="1652">
      <c r="A1652" s="20"/>
      <c r="B1652" s="3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35"/>
      <c r="N1652" s="18"/>
      <c r="O1652" s="18"/>
      <c r="P1652" s="18"/>
      <c r="Q1652" s="34"/>
      <c r="R1652" s="18"/>
      <c r="S1652" s="18"/>
      <c r="T1652" s="19" t="s">
        <v>1672</v>
      </c>
      <c r="U1652" s="9" t="str">
        <f t="shared" si="1"/>
        <v>NSE:STARPAPER</v>
      </c>
      <c r="V1652" s="18"/>
      <c r="W1652" s="18"/>
      <c r="X1652" s="18"/>
    </row>
    <row r="1653">
      <c r="A1653" s="20"/>
      <c r="B1653" s="3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35"/>
      <c r="N1653" s="18"/>
      <c r="O1653" s="18"/>
      <c r="P1653" s="18"/>
      <c r="Q1653" s="34"/>
      <c r="R1653" s="18"/>
      <c r="S1653" s="18"/>
      <c r="T1653" s="19" t="s">
        <v>1673</v>
      </c>
      <c r="U1653" s="9" t="str">
        <f t="shared" si="1"/>
        <v>NSE:MASTERTR</v>
      </c>
      <c r="V1653" s="18"/>
      <c r="W1653" s="18"/>
      <c r="X1653" s="18"/>
    </row>
    <row r="1654">
      <c r="A1654" s="20"/>
      <c r="B1654" s="3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35"/>
      <c r="N1654" s="18"/>
      <c r="O1654" s="18"/>
      <c r="P1654" s="18"/>
      <c r="Q1654" s="34"/>
      <c r="R1654" s="18"/>
      <c r="S1654" s="18"/>
      <c r="T1654" s="19" t="s">
        <v>1674</v>
      </c>
      <c r="U1654" s="9" t="str">
        <f t="shared" si="1"/>
        <v>NSE:DPWIRES</v>
      </c>
      <c r="V1654" s="18"/>
      <c r="W1654" s="18"/>
      <c r="X1654" s="18"/>
    </row>
    <row r="1655">
      <c r="A1655" s="20"/>
      <c r="B1655" s="3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35"/>
      <c r="N1655" s="18"/>
      <c r="O1655" s="18"/>
      <c r="P1655" s="18"/>
      <c r="Q1655" s="34"/>
      <c r="R1655" s="18"/>
      <c r="S1655" s="18"/>
      <c r="T1655" s="19" t="s">
        <v>1675</v>
      </c>
      <c r="U1655" s="9" t="str">
        <f t="shared" si="1"/>
        <v>NSE:NATCAPSUQ</v>
      </c>
      <c r="V1655" s="18"/>
      <c r="W1655" s="18"/>
      <c r="X1655" s="18"/>
    </row>
    <row r="1656">
      <c r="A1656" s="20"/>
      <c r="B1656" s="3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35"/>
      <c r="N1656" s="18"/>
      <c r="O1656" s="18"/>
      <c r="P1656" s="18"/>
      <c r="Q1656" s="34"/>
      <c r="R1656" s="18"/>
      <c r="S1656" s="18"/>
      <c r="T1656" s="19" t="s">
        <v>1676</v>
      </c>
      <c r="U1656" s="9" t="str">
        <f t="shared" si="1"/>
        <v>NSE:FAZE3Q</v>
      </c>
      <c r="V1656" s="18"/>
      <c r="W1656" s="18"/>
      <c r="X1656" s="18"/>
    </row>
    <row r="1657">
      <c r="A1657" s="20"/>
      <c r="B1657" s="3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35"/>
      <c r="N1657" s="18"/>
      <c r="O1657" s="18"/>
      <c r="P1657" s="18"/>
      <c r="Q1657" s="34"/>
      <c r="R1657" s="18"/>
      <c r="S1657" s="18"/>
      <c r="T1657" s="19" t="s">
        <v>1677</v>
      </c>
      <c r="U1657" s="9" t="str">
        <f t="shared" si="1"/>
        <v>NSE:MANAKSTEEL</v>
      </c>
      <c r="V1657" s="18"/>
      <c r="W1657" s="18"/>
      <c r="X1657" s="18"/>
    </row>
    <row r="1658">
      <c r="A1658" s="20"/>
      <c r="B1658" s="3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35"/>
      <c r="N1658" s="18"/>
      <c r="O1658" s="18"/>
      <c r="P1658" s="18"/>
      <c r="Q1658" s="34"/>
      <c r="R1658" s="18"/>
      <c r="S1658" s="18"/>
      <c r="T1658" s="19" t="s">
        <v>1678</v>
      </c>
      <c r="U1658" s="9" t="str">
        <f t="shared" si="1"/>
        <v>NSE:SHAH</v>
      </c>
      <c r="V1658" s="18"/>
      <c r="W1658" s="18"/>
      <c r="X1658" s="18"/>
    </row>
    <row r="1659">
      <c r="A1659" s="20"/>
      <c r="B1659" s="3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35"/>
      <c r="N1659" s="18"/>
      <c r="O1659" s="18"/>
      <c r="P1659" s="18"/>
      <c r="Q1659" s="34"/>
      <c r="R1659" s="18"/>
      <c r="S1659" s="18"/>
      <c r="T1659" s="19" t="s">
        <v>1679</v>
      </c>
      <c r="U1659" s="9" t="str">
        <f t="shared" si="1"/>
        <v>NSE:SANDESH</v>
      </c>
      <c r="V1659" s="18"/>
      <c r="W1659" s="18"/>
      <c r="X1659" s="18"/>
    </row>
    <row r="1660">
      <c r="A1660" s="20"/>
      <c r="B1660" s="3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35"/>
      <c r="N1660" s="18"/>
      <c r="O1660" s="18"/>
      <c r="P1660" s="18"/>
      <c r="Q1660" s="34"/>
      <c r="R1660" s="18"/>
      <c r="S1660" s="18"/>
      <c r="T1660" s="19" t="s">
        <v>1680</v>
      </c>
      <c r="U1660" s="9" t="str">
        <f t="shared" si="1"/>
        <v>NSE:RUBYMILLS</v>
      </c>
      <c r="V1660" s="18"/>
      <c r="W1660" s="18"/>
      <c r="X1660" s="18"/>
    </row>
    <row r="1661">
      <c r="A1661" s="20"/>
      <c r="B1661" s="3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35"/>
      <c r="N1661" s="18"/>
      <c r="O1661" s="18"/>
      <c r="P1661" s="18"/>
      <c r="Q1661" s="34"/>
      <c r="R1661" s="18"/>
      <c r="S1661" s="18"/>
      <c r="T1661" s="19" t="s">
        <v>1681</v>
      </c>
      <c r="U1661" s="9" t="str">
        <f t="shared" si="1"/>
        <v>NSE:STARTECK</v>
      </c>
      <c r="V1661" s="18"/>
      <c r="W1661" s="18"/>
      <c r="X1661" s="18"/>
    </row>
    <row r="1662">
      <c r="A1662" s="20"/>
      <c r="B1662" s="3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35"/>
      <c r="N1662" s="18"/>
      <c r="O1662" s="18"/>
      <c r="P1662" s="18"/>
      <c r="Q1662" s="34"/>
      <c r="R1662" s="18"/>
      <c r="S1662" s="18"/>
      <c r="T1662" s="19" t="s">
        <v>1682</v>
      </c>
      <c r="U1662" s="9" t="str">
        <f t="shared" si="1"/>
        <v>NSE:VHL</v>
      </c>
      <c r="V1662" s="18"/>
      <c r="W1662" s="18"/>
      <c r="X1662" s="18"/>
    </row>
    <row r="1663">
      <c r="A1663" s="20"/>
      <c r="B1663" s="3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35"/>
      <c r="N1663" s="18"/>
      <c r="O1663" s="18"/>
      <c r="P1663" s="18"/>
      <c r="Q1663" s="34"/>
      <c r="R1663" s="18"/>
      <c r="S1663" s="18"/>
      <c r="T1663" s="19" t="s">
        <v>1683</v>
      </c>
      <c r="U1663" s="9" t="str">
        <f t="shared" si="1"/>
        <v>NSE:HDFCSENSEX</v>
      </c>
      <c r="V1663" s="18"/>
      <c r="W1663" s="18"/>
      <c r="X1663" s="18"/>
    </row>
    <row r="1664">
      <c r="A1664" s="20"/>
      <c r="B1664" s="3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35"/>
      <c r="N1664" s="18"/>
      <c r="O1664" s="18"/>
      <c r="P1664" s="18"/>
      <c r="Q1664" s="34"/>
      <c r="R1664" s="18"/>
      <c r="S1664" s="18"/>
      <c r="T1664" s="19" t="s">
        <v>1684</v>
      </c>
      <c r="U1664" s="9" t="str">
        <f t="shared" si="1"/>
        <v>NSE:RACLGEAR</v>
      </c>
      <c r="V1664" s="18"/>
      <c r="W1664" s="18"/>
      <c r="X1664" s="18"/>
    </row>
    <row r="1665">
      <c r="A1665" s="20"/>
      <c r="B1665" s="3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35"/>
      <c r="N1665" s="18"/>
      <c r="O1665" s="18"/>
      <c r="P1665" s="18"/>
      <c r="Q1665" s="34"/>
      <c r="R1665" s="18"/>
      <c r="S1665" s="18"/>
      <c r="T1665" s="19" t="s">
        <v>1685</v>
      </c>
      <c r="U1665" s="9" t="str">
        <f t="shared" si="1"/>
        <v>NSE:UNIDT</v>
      </c>
      <c r="V1665" s="18"/>
      <c r="W1665" s="18"/>
      <c r="X1665" s="18"/>
    </row>
    <row r="1666">
      <c r="A1666" s="20"/>
      <c r="B1666" s="3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35"/>
      <c r="N1666" s="18"/>
      <c r="O1666" s="18"/>
      <c r="P1666" s="18"/>
      <c r="Q1666" s="34"/>
      <c r="R1666" s="18"/>
      <c r="S1666" s="18"/>
      <c r="T1666" s="19" t="s">
        <v>1686</v>
      </c>
      <c r="U1666" s="9" t="str">
        <f t="shared" si="1"/>
        <v>NSE:TARMAT</v>
      </c>
      <c r="V1666" s="18"/>
      <c r="W1666" s="18"/>
      <c r="X1666" s="18"/>
    </row>
    <row r="1667">
      <c r="A1667" s="20"/>
      <c r="B1667" s="3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35"/>
      <c r="N1667" s="18"/>
      <c r="O1667" s="18"/>
      <c r="P1667" s="18"/>
      <c r="Q1667" s="34"/>
      <c r="R1667" s="18"/>
      <c r="S1667" s="18"/>
      <c r="T1667" s="19" t="s">
        <v>1687</v>
      </c>
      <c r="U1667" s="9" t="str">
        <f t="shared" si="1"/>
        <v>NSE:LASA</v>
      </c>
      <c r="V1667" s="18"/>
      <c r="W1667" s="18"/>
      <c r="X1667" s="18"/>
    </row>
    <row r="1668">
      <c r="A1668" s="20"/>
      <c r="B1668" s="3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35"/>
      <c r="N1668" s="18"/>
      <c r="O1668" s="18"/>
      <c r="P1668" s="18"/>
      <c r="Q1668" s="34"/>
      <c r="R1668" s="18"/>
      <c r="S1668" s="18"/>
      <c r="T1668" s="19" t="s">
        <v>1688</v>
      </c>
      <c r="U1668" s="9" t="str">
        <f t="shared" si="1"/>
        <v>NSE:PSUBANK</v>
      </c>
      <c r="V1668" s="18"/>
      <c r="W1668" s="18"/>
      <c r="X1668" s="18"/>
    </row>
    <row r="1669">
      <c r="A1669" s="20"/>
      <c r="B1669" s="3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35"/>
      <c r="N1669" s="18"/>
      <c r="O1669" s="18"/>
      <c r="P1669" s="18"/>
      <c r="Q1669" s="34"/>
      <c r="R1669" s="18"/>
      <c r="S1669" s="18"/>
      <c r="T1669" s="19" t="s">
        <v>1689</v>
      </c>
      <c r="U1669" s="9" t="str">
        <f t="shared" si="1"/>
        <v>NSE:ACL</v>
      </c>
      <c r="V1669" s="18"/>
      <c r="W1669" s="18"/>
      <c r="X1669" s="18"/>
    </row>
    <row r="1670">
      <c r="A1670" s="20"/>
      <c r="B1670" s="3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35"/>
      <c r="N1670" s="18"/>
      <c r="O1670" s="18"/>
      <c r="P1670" s="18"/>
      <c r="Q1670" s="34"/>
      <c r="R1670" s="18"/>
      <c r="S1670" s="18"/>
      <c r="T1670" s="19" t="s">
        <v>1690</v>
      </c>
      <c r="U1670" s="9" t="str">
        <f t="shared" si="1"/>
        <v>NSE:IT</v>
      </c>
      <c r="V1670" s="18"/>
      <c r="W1670" s="18"/>
      <c r="X1670" s="18"/>
    </row>
    <row r="1671">
      <c r="A1671" s="20"/>
      <c r="B1671" s="3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35"/>
      <c r="N1671" s="18"/>
      <c r="O1671" s="18"/>
      <c r="P1671" s="18"/>
      <c r="Q1671" s="34"/>
      <c r="R1671" s="18"/>
      <c r="S1671" s="18"/>
      <c r="T1671" s="19" t="s">
        <v>1691</v>
      </c>
      <c r="U1671" s="9" t="str">
        <f t="shared" si="1"/>
        <v>NSE:OCCL</v>
      </c>
      <c r="V1671" s="18"/>
      <c r="W1671" s="18"/>
      <c r="X1671" s="18"/>
    </row>
    <row r="1672">
      <c r="A1672" s="20"/>
      <c r="B1672" s="3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35"/>
      <c r="N1672" s="18"/>
      <c r="O1672" s="18"/>
      <c r="P1672" s="18"/>
      <c r="Q1672" s="34"/>
      <c r="R1672" s="18"/>
      <c r="S1672" s="18"/>
      <c r="T1672" s="19" t="s">
        <v>1692</v>
      </c>
      <c r="U1672" s="9" t="str">
        <f t="shared" si="1"/>
        <v>NSE:SUKHJITS</v>
      </c>
      <c r="V1672" s="18"/>
      <c r="W1672" s="18"/>
      <c r="X1672" s="18"/>
    </row>
    <row r="1673">
      <c r="A1673" s="20"/>
      <c r="B1673" s="3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35"/>
      <c r="N1673" s="18"/>
      <c r="O1673" s="18"/>
      <c r="P1673" s="18"/>
      <c r="Q1673" s="34"/>
      <c r="R1673" s="18"/>
      <c r="S1673" s="18"/>
      <c r="T1673" s="19" t="s">
        <v>1693</v>
      </c>
      <c r="U1673" s="9" t="str">
        <f t="shared" si="1"/>
        <v>NSE:JISLDVREQS</v>
      </c>
      <c r="V1673" s="18"/>
      <c r="W1673" s="18"/>
      <c r="X1673" s="18"/>
    </row>
    <row r="1674">
      <c r="A1674" s="20"/>
      <c r="B1674" s="3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35"/>
      <c r="N1674" s="18"/>
      <c r="O1674" s="18"/>
      <c r="P1674" s="18"/>
      <c r="Q1674" s="34"/>
      <c r="R1674" s="18"/>
      <c r="S1674" s="18"/>
      <c r="T1674" s="19" t="s">
        <v>1694</v>
      </c>
      <c r="U1674" s="9" t="str">
        <f t="shared" si="1"/>
        <v>NSE:SAKHTISUG</v>
      </c>
      <c r="V1674" s="18"/>
      <c r="W1674" s="18"/>
      <c r="X1674" s="18"/>
    </row>
    <row r="1675">
      <c r="A1675" s="20"/>
      <c r="B1675" s="3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35"/>
      <c r="N1675" s="18"/>
      <c r="O1675" s="18"/>
      <c r="P1675" s="18"/>
      <c r="Q1675" s="34"/>
      <c r="R1675" s="18"/>
      <c r="S1675" s="18"/>
      <c r="T1675" s="19" t="s">
        <v>1695</v>
      </c>
      <c r="U1675" s="9" t="str">
        <f t="shared" si="1"/>
        <v>NSE:BSLNIFTY</v>
      </c>
      <c r="V1675" s="18"/>
      <c r="W1675" s="18"/>
      <c r="X1675" s="18"/>
    </row>
    <row r="1676">
      <c r="A1676" s="20"/>
      <c r="B1676" s="3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35"/>
      <c r="N1676" s="18"/>
      <c r="O1676" s="18"/>
      <c r="P1676" s="18"/>
      <c r="Q1676" s="34"/>
      <c r="R1676" s="18"/>
      <c r="S1676" s="18"/>
      <c r="T1676" s="19" t="s">
        <v>1696</v>
      </c>
      <c r="U1676" s="9" t="str">
        <f t="shared" si="1"/>
        <v>NSE:LOTUSEYE</v>
      </c>
      <c r="V1676" s="18"/>
      <c r="W1676" s="18"/>
      <c r="X1676" s="18"/>
    </row>
    <row r="1677">
      <c r="A1677" s="20"/>
      <c r="B1677" s="3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35"/>
      <c r="N1677" s="18"/>
      <c r="O1677" s="18"/>
      <c r="P1677" s="18"/>
      <c r="Q1677" s="34"/>
      <c r="R1677" s="18"/>
      <c r="S1677" s="18"/>
      <c r="T1677" s="19" t="s">
        <v>1697</v>
      </c>
      <c r="U1677" s="9" t="str">
        <f t="shared" si="1"/>
        <v>NSE:GATECH</v>
      </c>
      <c r="V1677" s="18"/>
      <c r="W1677" s="18"/>
      <c r="X1677" s="18"/>
    </row>
    <row r="1678">
      <c r="A1678" s="20"/>
      <c r="B1678" s="3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35"/>
      <c r="N1678" s="18"/>
      <c r="O1678" s="18"/>
      <c r="P1678" s="18"/>
      <c r="Q1678" s="34"/>
      <c r="R1678" s="18"/>
      <c r="S1678" s="18"/>
      <c r="T1678" s="19" t="s">
        <v>1698</v>
      </c>
      <c r="U1678" s="9" t="str">
        <f t="shared" si="1"/>
        <v>NSE:GALLANTT</v>
      </c>
      <c r="V1678" s="18"/>
      <c r="W1678" s="18"/>
      <c r="X1678" s="18"/>
    </row>
    <row r="1679">
      <c r="A1679" s="20"/>
      <c r="B1679" s="3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35"/>
      <c r="N1679" s="18"/>
      <c r="O1679" s="18"/>
      <c r="P1679" s="18"/>
      <c r="Q1679" s="34"/>
      <c r="R1679" s="18"/>
      <c r="S1679" s="18"/>
      <c r="T1679" s="19" t="s">
        <v>1699</v>
      </c>
      <c r="U1679" s="9" t="str">
        <f t="shared" si="1"/>
        <v>NSE:SREEL</v>
      </c>
      <c r="V1679" s="18"/>
      <c r="W1679" s="18"/>
      <c r="X1679" s="18"/>
    </row>
    <row r="1680">
      <c r="A1680" s="20"/>
      <c r="B1680" s="3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35"/>
      <c r="N1680" s="18"/>
      <c r="O1680" s="18"/>
      <c r="P1680" s="18"/>
      <c r="Q1680" s="34"/>
      <c r="R1680" s="18"/>
      <c r="S1680" s="18"/>
      <c r="T1680" s="19" t="s">
        <v>1700</v>
      </c>
      <c r="U1680" s="9" t="str">
        <f t="shared" si="1"/>
        <v>NSE:SETF10GILT</v>
      </c>
      <c r="V1680" s="18"/>
      <c r="W1680" s="18"/>
      <c r="X1680" s="18"/>
    </row>
    <row r="1681">
      <c r="A1681" s="20"/>
      <c r="B1681" s="3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35"/>
      <c r="N1681" s="18"/>
      <c r="O1681" s="18"/>
      <c r="P1681" s="18"/>
      <c r="Q1681" s="34"/>
      <c r="R1681" s="18"/>
      <c r="S1681" s="18"/>
      <c r="T1681" s="19" t="s">
        <v>1701</v>
      </c>
      <c r="U1681" s="9" t="str">
        <f t="shared" si="1"/>
        <v>NSE:ADVANIHOTR</v>
      </c>
      <c r="V1681" s="18"/>
      <c r="W1681" s="18"/>
      <c r="X1681" s="18"/>
    </row>
    <row r="1682">
      <c r="A1682" s="20"/>
      <c r="B1682" s="3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35"/>
      <c r="N1682" s="18"/>
      <c r="O1682" s="18"/>
      <c r="P1682" s="18"/>
      <c r="Q1682" s="34"/>
      <c r="R1682" s="18"/>
      <c r="S1682" s="18"/>
      <c r="T1682" s="19" t="s">
        <v>1702</v>
      </c>
      <c r="U1682" s="9" t="str">
        <f t="shared" si="1"/>
        <v>NSE:ACEINTEG</v>
      </c>
      <c r="V1682" s="18"/>
      <c r="W1682" s="18"/>
      <c r="X1682" s="18"/>
    </row>
    <row r="1683">
      <c r="A1683" s="20"/>
      <c r="B1683" s="3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35"/>
      <c r="N1683" s="18"/>
      <c r="O1683" s="18"/>
      <c r="P1683" s="18"/>
      <c r="Q1683" s="34"/>
      <c r="R1683" s="18"/>
      <c r="S1683" s="18"/>
      <c r="T1683" s="19" t="s">
        <v>1703</v>
      </c>
      <c r="U1683" s="9" t="str">
        <f t="shared" si="1"/>
        <v>NSE:TEXMOPIPES</v>
      </c>
      <c r="V1683" s="18"/>
      <c r="W1683" s="18"/>
      <c r="X1683" s="18"/>
    </row>
    <row r="1684">
      <c r="A1684" s="20"/>
      <c r="B1684" s="3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35"/>
      <c r="N1684" s="18"/>
      <c r="O1684" s="18"/>
      <c r="P1684" s="18"/>
      <c r="Q1684" s="34"/>
      <c r="R1684" s="18"/>
      <c r="S1684" s="18"/>
      <c r="T1684" s="19" t="s">
        <v>1704</v>
      </c>
      <c r="U1684" s="9" t="str">
        <f t="shared" si="1"/>
        <v>NSE:AHLADA</v>
      </c>
      <c r="V1684" s="18"/>
      <c r="W1684" s="18"/>
      <c r="X1684" s="18"/>
    </row>
    <row r="1685">
      <c r="A1685" s="20"/>
      <c r="B1685" s="3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35"/>
      <c r="N1685" s="18"/>
      <c r="O1685" s="18"/>
      <c r="P1685" s="18"/>
      <c r="Q1685" s="34"/>
      <c r="R1685" s="18"/>
      <c r="S1685" s="18"/>
      <c r="T1685" s="19" t="s">
        <v>1705</v>
      </c>
      <c r="U1685" s="9" t="str">
        <f t="shared" si="1"/>
        <v>NSE:LOVABLE</v>
      </c>
      <c r="V1685" s="18"/>
      <c r="W1685" s="18"/>
      <c r="X1685" s="18"/>
    </row>
    <row r="1686">
      <c r="A1686" s="20"/>
      <c r="B1686" s="3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35"/>
      <c r="N1686" s="18"/>
      <c r="O1686" s="18"/>
      <c r="P1686" s="18"/>
      <c r="Q1686" s="34"/>
      <c r="R1686" s="18"/>
      <c r="S1686" s="18"/>
      <c r="T1686" s="19" t="s">
        <v>1706</v>
      </c>
      <c r="U1686" s="9" t="str">
        <f t="shared" si="1"/>
        <v>NSE:BBETF0432</v>
      </c>
      <c r="V1686" s="18"/>
      <c r="W1686" s="18"/>
      <c r="X1686" s="18"/>
    </row>
    <row r="1687">
      <c r="A1687" s="20"/>
      <c r="B1687" s="3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35"/>
      <c r="N1687" s="18"/>
      <c r="O1687" s="18"/>
      <c r="P1687" s="18"/>
      <c r="Q1687" s="34"/>
      <c r="R1687" s="18"/>
      <c r="S1687" s="18"/>
      <c r="T1687" s="19" t="s">
        <v>1707</v>
      </c>
      <c r="U1687" s="9" t="str">
        <f t="shared" si="1"/>
        <v>NSE:NECCLTD</v>
      </c>
      <c r="V1687" s="18"/>
      <c r="W1687" s="18"/>
      <c r="X1687" s="18"/>
    </row>
    <row r="1688">
      <c r="A1688" s="20"/>
      <c r="B1688" s="3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35"/>
      <c r="N1688" s="18"/>
      <c r="O1688" s="18"/>
      <c r="P1688" s="18"/>
      <c r="Q1688" s="34"/>
      <c r="R1688" s="18"/>
      <c r="S1688" s="18"/>
      <c r="T1688" s="19" t="s">
        <v>1708</v>
      </c>
      <c r="U1688" s="9" t="str">
        <f t="shared" si="1"/>
        <v>NSE:GINNIFILA</v>
      </c>
      <c r="V1688" s="18"/>
      <c r="W1688" s="18"/>
      <c r="X1688" s="18"/>
    </row>
    <row r="1689">
      <c r="A1689" s="20"/>
      <c r="B1689" s="3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35"/>
      <c r="N1689" s="18"/>
      <c r="O1689" s="18"/>
      <c r="P1689" s="18"/>
      <c r="Q1689" s="34"/>
      <c r="R1689" s="18"/>
      <c r="S1689" s="18"/>
      <c r="T1689" s="19" t="s">
        <v>1709</v>
      </c>
      <c r="U1689" s="9" t="str">
        <f t="shared" si="1"/>
        <v>NSE:ZODIACLOTH</v>
      </c>
      <c r="V1689" s="18"/>
      <c r="W1689" s="18"/>
      <c r="X1689" s="18"/>
    </row>
    <row r="1690">
      <c r="A1690" s="20"/>
      <c r="B1690" s="3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35"/>
      <c r="N1690" s="18"/>
      <c r="O1690" s="18"/>
      <c r="P1690" s="18"/>
      <c r="Q1690" s="34"/>
      <c r="R1690" s="18"/>
      <c r="S1690" s="18"/>
      <c r="T1690" s="19" t="s">
        <v>1710</v>
      </c>
      <c r="U1690" s="9" t="str">
        <f t="shared" si="1"/>
        <v>NSE:TICL</v>
      </c>
      <c r="V1690" s="18"/>
      <c r="W1690" s="18"/>
      <c r="X1690" s="18"/>
    </row>
    <row r="1691">
      <c r="A1691" s="20"/>
      <c r="B1691" s="3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35"/>
      <c r="N1691" s="18"/>
      <c r="O1691" s="18"/>
      <c r="P1691" s="18"/>
      <c r="Q1691" s="34"/>
      <c r="R1691" s="18"/>
      <c r="S1691" s="18"/>
      <c r="T1691" s="19" t="s">
        <v>1711</v>
      </c>
      <c r="U1691" s="9" t="str">
        <f t="shared" si="1"/>
        <v>NSE:PLAZACABLE</v>
      </c>
      <c r="V1691" s="18"/>
      <c r="W1691" s="18"/>
      <c r="X1691" s="18"/>
    </row>
    <row r="1692">
      <c r="A1692" s="20"/>
      <c r="B1692" s="3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35"/>
      <c r="N1692" s="18"/>
      <c r="O1692" s="18"/>
      <c r="P1692" s="18"/>
      <c r="Q1692" s="34"/>
      <c r="R1692" s="18"/>
      <c r="S1692" s="18"/>
      <c r="T1692" s="19" t="s">
        <v>1712</v>
      </c>
      <c r="U1692" s="9" t="str">
        <f t="shared" si="1"/>
        <v>NSE:AAREYDRUGS</v>
      </c>
      <c r="V1692" s="18"/>
      <c r="W1692" s="18"/>
      <c r="X1692" s="18"/>
    </row>
    <row r="1693">
      <c r="A1693" s="20"/>
      <c r="B1693" s="3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35"/>
      <c r="N1693" s="18"/>
      <c r="O1693" s="18"/>
      <c r="P1693" s="18"/>
      <c r="Q1693" s="34"/>
      <c r="R1693" s="18"/>
      <c r="S1693" s="18"/>
      <c r="T1693" s="19" t="s">
        <v>1713</v>
      </c>
      <c r="U1693" s="9" t="str">
        <f t="shared" si="1"/>
        <v>NSE:NIRAJ</v>
      </c>
      <c r="V1693" s="18"/>
      <c r="W1693" s="18"/>
      <c r="X1693" s="18"/>
    </row>
    <row r="1694">
      <c r="A1694" s="20"/>
      <c r="B1694" s="3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35"/>
      <c r="N1694" s="18"/>
      <c r="O1694" s="18"/>
      <c r="P1694" s="18"/>
      <c r="Q1694" s="34"/>
      <c r="R1694" s="18"/>
      <c r="S1694" s="18"/>
      <c r="T1694" s="19" t="s">
        <v>1714</v>
      </c>
      <c r="U1694" s="9" t="str">
        <f t="shared" si="1"/>
        <v>NSE:LIQUIDSBI</v>
      </c>
      <c r="V1694" s="18"/>
      <c r="W1694" s="18"/>
      <c r="X1694" s="18"/>
    </row>
    <row r="1695">
      <c r="A1695" s="20"/>
      <c r="B1695" s="3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35"/>
      <c r="N1695" s="18"/>
      <c r="O1695" s="18"/>
      <c r="P1695" s="18"/>
      <c r="Q1695" s="34"/>
      <c r="R1695" s="18"/>
      <c r="S1695" s="18"/>
      <c r="T1695" s="19" t="s">
        <v>1715</v>
      </c>
      <c r="U1695" s="9" t="str">
        <f t="shared" si="1"/>
        <v>NSE:TPLPLASTEH</v>
      </c>
      <c r="V1695" s="18"/>
      <c r="W1695" s="18"/>
      <c r="X1695" s="18"/>
    </row>
    <row r="1696">
      <c r="A1696" s="20"/>
      <c r="B1696" s="3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35"/>
      <c r="N1696" s="18"/>
      <c r="O1696" s="18"/>
      <c r="P1696" s="18"/>
      <c r="Q1696" s="34"/>
      <c r="R1696" s="18"/>
      <c r="S1696" s="18"/>
      <c r="T1696" s="19" t="s">
        <v>1716</v>
      </c>
      <c r="U1696" s="9" t="str">
        <f t="shared" si="1"/>
        <v>NSE:SONAMLTD</v>
      </c>
      <c r="V1696" s="18"/>
      <c r="W1696" s="18"/>
      <c r="X1696" s="18"/>
    </row>
    <row r="1697">
      <c r="A1697" s="20"/>
      <c r="B1697" s="3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35"/>
      <c r="N1697" s="18"/>
      <c r="O1697" s="18"/>
      <c r="P1697" s="18"/>
      <c r="Q1697" s="34"/>
      <c r="R1697" s="18"/>
      <c r="S1697" s="18"/>
      <c r="T1697" s="19" t="s">
        <v>1717</v>
      </c>
      <c r="U1697" s="9" t="str">
        <f t="shared" si="1"/>
        <v>NSE:UMAEXPORTS</v>
      </c>
      <c r="V1697" s="18"/>
      <c r="W1697" s="18"/>
      <c r="X1697" s="18"/>
    </row>
    <row r="1698">
      <c r="A1698" s="20"/>
      <c r="B1698" s="3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35"/>
      <c r="N1698" s="18"/>
      <c r="O1698" s="18"/>
      <c r="P1698" s="18"/>
      <c r="Q1698" s="34"/>
      <c r="R1698" s="18"/>
      <c r="S1698" s="18"/>
      <c r="T1698" s="19" t="s">
        <v>1718</v>
      </c>
      <c r="U1698" s="9" t="str">
        <f t="shared" si="1"/>
        <v>NSE:RADIOCITY</v>
      </c>
      <c r="V1698" s="18"/>
      <c r="W1698" s="18"/>
      <c r="X1698" s="18"/>
    </row>
    <row r="1699">
      <c r="A1699" s="20"/>
      <c r="B1699" s="3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35"/>
      <c r="N1699" s="18"/>
      <c r="O1699" s="18"/>
      <c r="P1699" s="18"/>
      <c r="Q1699" s="34"/>
      <c r="R1699" s="18"/>
      <c r="S1699" s="18"/>
      <c r="T1699" s="19" t="s">
        <v>1719</v>
      </c>
      <c r="U1699" s="9" t="str">
        <f t="shared" si="1"/>
        <v>NSE:COMPUSOFT</v>
      </c>
      <c r="V1699" s="18"/>
      <c r="W1699" s="18"/>
      <c r="X1699" s="18"/>
    </row>
    <row r="1700">
      <c r="A1700" s="20"/>
      <c r="B1700" s="3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35"/>
      <c r="N1700" s="18"/>
      <c r="O1700" s="18"/>
      <c r="P1700" s="18"/>
      <c r="Q1700" s="34"/>
      <c r="R1700" s="18"/>
      <c r="S1700" s="18"/>
      <c r="T1700" s="19" t="s">
        <v>1720</v>
      </c>
      <c r="U1700" s="9" t="str">
        <f t="shared" si="1"/>
        <v>NSE:COMMOIETF</v>
      </c>
      <c r="V1700" s="18"/>
      <c r="W1700" s="18"/>
      <c r="X1700" s="18"/>
    </row>
    <row r="1701">
      <c r="A1701" s="20"/>
      <c r="B1701" s="3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35"/>
      <c r="N1701" s="18"/>
      <c r="O1701" s="18"/>
      <c r="P1701" s="18"/>
      <c r="Q1701" s="34"/>
      <c r="R1701" s="18"/>
      <c r="S1701" s="18"/>
      <c r="T1701" s="19" t="s">
        <v>1721</v>
      </c>
      <c r="U1701" s="9" t="str">
        <f t="shared" si="1"/>
        <v>NSE:MEGASTAR</v>
      </c>
      <c r="V1701" s="18"/>
      <c r="W1701" s="18"/>
      <c r="X1701" s="18"/>
    </row>
    <row r="1702">
      <c r="A1702" s="20"/>
      <c r="B1702" s="3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35"/>
      <c r="N1702" s="18"/>
      <c r="O1702" s="18"/>
      <c r="P1702" s="18"/>
      <c r="Q1702" s="34"/>
      <c r="R1702" s="18"/>
      <c r="S1702" s="18"/>
      <c r="T1702" s="19" t="s">
        <v>1722</v>
      </c>
      <c r="U1702" s="9" t="str">
        <f t="shared" si="1"/>
        <v>NSE:HEALTHIETF</v>
      </c>
      <c r="V1702" s="18"/>
      <c r="W1702" s="18"/>
      <c r="X1702" s="18"/>
    </row>
    <row r="1703">
      <c r="A1703" s="20"/>
      <c r="B1703" s="3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35"/>
      <c r="N1703" s="18"/>
      <c r="O1703" s="18"/>
      <c r="P1703" s="18"/>
      <c r="Q1703" s="34"/>
      <c r="R1703" s="18"/>
      <c r="S1703" s="18"/>
      <c r="T1703" s="19" t="s">
        <v>1723</v>
      </c>
      <c r="U1703" s="9" t="str">
        <f t="shared" si="1"/>
        <v>NSE:RELIABLE</v>
      </c>
      <c r="V1703" s="18"/>
      <c r="W1703" s="18"/>
      <c r="X1703" s="18"/>
    </row>
    <row r="1704">
      <c r="A1704" s="20"/>
      <c r="B1704" s="3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35"/>
      <c r="N1704" s="18"/>
      <c r="O1704" s="18"/>
      <c r="P1704" s="18"/>
      <c r="Q1704" s="34"/>
      <c r="R1704" s="18"/>
      <c r="S1704" s="18"/>
      <c r="T1704" s="19" t="s">
        <v>1724</v>
      </c>
      <c r="U1704" s="9" t="str">
        <f t="shared" si="1"/>
        <v>NSE:IFBAGRO</v>
      </c>
      <c r="V1704" s="18"/>
      <c r="W1704" s="18"/>
      <c r="X1704" s="18"/>
    </row>
    <row r="1705">
      <c r="A1705" s="20"/>
      <c r="B1705" s="3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35"/>
      <c r="N1705" s="18"/>
      <c r="O1705" s="18"/>
      <c r="P1705" s="18"/>
      <c r="Q1705" s="34"/>
      <c r="R1705" s="18"/>
      <c r="S1705" s="18"/>
      <c r="T1705" s="19" t="s">
        <v>1725</v>
      </c>
      <c r="U1705" s="9" t="str">
        <f t="shared" si="1"/>
        <v>NSE:SRD</v>
      </c>
      <c r="V1705" s="18"/>
      <c r="W1705" s="18"/>
      <c r="X1705" s="18"/>
    </row>
    <row r="1706">
      <c r="A1706" s="20"/>
      <c r="B1706" s="3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35"/>
      <c r="N1706" s="18"/>
      <c r="O1706" s="18"/>
      <c r="P1706" s="18"/>
      <c r="Q1706" s="34"/>
      <c r="R1706" s="18"/>
      <c r="S1706" s="18"/>
      <c r="T1706" s="19" t="s">
        <v>1726</v>
      </c>
      <c r="U1706" s="9" t="str">
        <f t="shared" si="1"/>
        <v>NSE:CORDSCABLE</v>
      </c>
      <c r="V1706" s="18"/>
      <c r="W1706" s="18"/>
      <c r="X1706" s="18"/>
    </row>
    <row r="1707">
      <c r="A1707" s="20"/>
      <c r="B1707" s="3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35"/>
      <c r="N1707" s="18"/>
      <c r="O1707" s="18"/>
      <c r="P1707" s="18"/>
      <c r="Q1707" s="34"/>
      <c r="R1707" s="18"/>
      <c r="S1707" s="18"/>
      <c r="T1707" s="19" t="s">
        <v>1727</v>
      </c>
      <c r="U1707" s="9" t="str">
        <f t="shared" si="1"/>
        <v>NSE:BHAGYANGR</v>
      </c>
      <c r="V1707" s="18"/>
      <c r="W1707" s="18"/>
      <c r="X1707" s="18"/>
    </row>
    <row r="1708">
      <c r="A1708" s="20"/>
      <c r="B1708" s="3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35"/>
      <c r="N1708" s="18"/>
      <c r="O1708" s="18"/>
      <c r="P1708" s="18"/>
      <c r="Q1708" s="34"/>
      <c r="R1708" s="18"/>
      <c r="S1708" s="18"/>
      <c r="T1708" s="19" t="s">
        <v>1728</v>
      </c>
      <c r="U1708" s="9" t="str">
        <f t="shared" si="1"/>
        <v>NSE:CHEVIOT</v>
      </c>
      <c r="V1708" s="18"/>
      <c r="W1708" s="18"/>
      <c r="X1708" s="18"/>
    </row>
    <row r="1709">
      <c r="A1709" s="20"/>
      <c r="B1709" s="3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35"/>
      <c r="N1709" s="18"/>
      <c r="O1709" s="18"/>
      <c r="P1709" s="18"/>
      <c r="Q1709" s="34"/>
      <c r="R1709" s="18"/>
      <c r="S1709" s="18"/>
      <c r="T1709" s="19" t="s">
        <v>1729</v>
      </c>
      <c r="U1709" s="9" t="str">
        <f t="shared" si="1"/>
        <v>NSE:NILKAMAL</v>
      </c>
      <c r="V1709" s="18"/>
      <c r="W1709" s="18"/>
      <c r="X1709" s="18"/>
    </row>
    <row r="1710">
      <c r="A1710" s="20"/>
      <c r="B1710" s="3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35"/>
      <c r="N1710" s="18"/>
      <c r="O1710" s="18"/>
      <c r="P1710" s="18"/>
      <c r="Q1710" s="34"/>
      <c r="R1710" s="18"/>
      <c r="S1710" s="18"/>
      <c r="T1710" s="19" t="s">
        <v>1730</v>
      </c>
      <c r="U1710" s="9" t="str">
        <f t="shared" si="1"/>
        <v>NSE:BANKBETF</v>
      </c>
      <c r="V1710" s="18"/>
      <c r="W1710" s="18"/>
      <c r="X1710" s="18"/>
    </row>
    <row r="1711">
      <c r="A1711" s="20"/>
      <c r="B1711" s="3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35"/>
      <c r="N1711" s="18"/>
      <c r="O1711" s="18"/>
      <c r="P1711" s="18"/>
      <c r="Q1711" s="34"/>
      <c r="R1711" s="18"/>
      <c r="S1711" s="18"/>
      <c r="T1711" s="19" t="s">
        <v>1731</v>
      </c>
      <c r="U1711" s="9" t="str">
        <f t="shared" si="1"/>
        <v>NSE:XELPMOC</v>
      </c>
      <c r="V1711" s="18"/>
      <c r="W1711" s="18"/>
      <c r="X1711" s="18"/>
    </row>
    <row r="1712">
      <c r="A1712" s="20"/>
      <c r="B1712" s="3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35"/>
      <c r="N1712" s="18"/>
      <c r="O1712" s="18"/>
      <c r="P1712" s="18"/>
      <c r="Q1712" s="34"/>
      <c r="R1712" s="18"/>
      <c r="S1712" s="18"/>
      <c r="T1712" s="19" t="s">
        <v>1732</v>
      </c>
      <c r="U1712" s="9" t="str">
        <f t="shared" si="1"/>
        <v>NSE:ORIENTCER</v>
      </c>
      <c r="V1712" s="18"/>
      <c r="W1712" s="18"/>
      <c r="X1712" s="18"/>
    </row>
    <row r="1713">
      <c r="A1713" s="20"/>
      <c r="B1713" s="3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35"/>
      <c r="N1713" s="18"/>
      <c r="O1713" s="18"/>
      <c r="P1713" s="18"/>
      <c r="Q1713" s="34"/>
      <c r="R1713" s="18"/>
      <c r="S1713" s="18"/>
      <c r="T1713" s="19" t="s">
        <v>1733</v>
      </c>
      <c r="U1713" s="9" t="str">
        <f t="shared" si="1"/>
        <v>NSE:SUNDARAM</v>
      </c>
      <c r="V1713" s="18"/>
      <c r="W1713" s="18"/>
      <c r="X1713" s="18"/>
    </row>
    <row r="1714">
      <c r="A1714" s="20"/>
      <c r="B1714" s="3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35"/>
      <c r="N1714" s="18"/>
      <c r="O1714" s="18"/>
      <c r="P1714" s="18"/>
      <c r="Q1714" s="34"/>
      <c r="R1714" s="18"/>
      <c r="S1714" s="18"/>
      <c r="T1714" s="19" t="s">
        <v>1734</v>
      </c>
      <c r="U1714" s="9" t="str">
        <f t="shared" si="1"/>
        <v>NSE:HDFCNIFBAN</v>
      </c>
      <c r="V1714" s="18"/>
      <c r="W1714" s="18"/>
      <c r="X1714" s="18"/>
    </row>
    <row r="1715">
      <c r="A1715" s="20"/>
      <c r="B1715" s="3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35"/>
      <c r="N1715" s="18"/>
      <c r="O1715" s="18"/>
      <c r="P1715" s="18"/>
      <c r="Q1715" s="34"/>
      <c r="R1715" s="18"/>
      <c r="S1715" s="18"/>
      <c r="T1715" s="19" t="s">
        <v>1735</v>
      </c>
      <c r="U1715" s="9" t="str">
        <f t="shared" si="1"/>
        <v>NSE:OMAXAUTO</v>
      </c>
      <c r="V1715" s="18"/>
      <c r="W1715" s="18"/>
      <c r="X1715" s="18"/>
    </row>
    <row r="1716">
      <c r="A1716" s="20"/>
      <c r="B1716" s="3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35"/>
      <c r="N1716" s="18"/>
      <c r="O1716" s="18"/>
      <c r="P1716" s="18"/>
      <c r="Q1716" s="34"/>
      <c r="R1716" s="18"/>
      <c r="S1716" s="18"/>
      <c r="T1716" s="19" t="s">
        <v>1736</v>
      </c>
      <c r="U1716" s="9" t="str">
        <f t="shared" si="1"/>
        <v>NSE:SILVERADD</v>
      </c>
      <c r="V1716" s="18"/>
      <c r="W1716" s="18"/>
      <c r="X1716" s="18"/>
    </row>
    <row r="1717">
      <c r="A1717" s="20"/>
      <c r="B1717" s="3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35"/>
      <c r="N1717" s="18"/>
      <c r="O1717" s="18"/>
      <c r="P1717" s="18"/>
      <c r="Q1717" s="34"/>
      <c r="R1717" s="18"/>
      <c r="S1717" s="18"/>
      <c r="T1717" s="19" t="s">
        <v>1737</v>
      </c>
      <c r="U1717" s="9" t="str">
        <f t="shared" si="1"/>
        <v>NSE:INVENTURE</v>
      </c>
      <c r="V1717" s="18"/>
      <c r="W1717" s="18"/>
      <c r="X1717" s="18"/>
    </row>
    <row r="1718">
      <c r="A1718" s="20"/>
      <c r="B1718" s="3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35"/>
      <c r="N1718" s="18"/>
      <c r="O1718" s="18"/>
      <c r="P1718" s="18"/>
      <c r="Q1718" s="34"/>
      <c r="R1718" s="18"/>
      <c r="S1718" s="18"/>
      <c r="T1718" s="19" t="s">
        <v>1738</v>
      </c>
      <c r="U1718" s="9" t="str">
        <f t="shared" si="1"/>
        <v>NSE:NITIRAJ</v>
      </c>
      <c r="V1718" s="18"/>
      <c r="W1718" s="18"/>
      <c r="X1718" s="18"/>
    </row>
    <row r="1719">
      <c r="A1719" s="20"/>
      <c r="B1719" s="3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35"/>
      <c r="N1719" s="18"/>
      <c r="O1719" s="18"/>
      <c r="P1719" s="18"/>
      <c r="Q1719" s="34"/>
      <c r="R1719" s="18"/>
      <c r="S1719" s="18"/>
      <c r="T1719" s="19" t="s">
        <v>1739</v>
      </c>
      <c r="U1719" s="9" t="str">
        <f t="shared" si="1"/>
        <v>NSE:MANGALAM</v>
      </c>
      <c r="V1719" s="18"/>
      <c r="W1719" s="18"/>
      <c r="X1719" s="18"/>
    </row>
    <row r="1720">
      <c r="A1720" s="20"/>
      <c r="B1720" s="3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35"/>
      <c r="N1720" s="18"/>
      <c r="O1720" s="18"/>
      <c r="P1720" s="18"/>
      <c r="Q1720" s="34"/>
      <c r="R1720" s="18"/>
      <c r="S1720" s="18"/>
      <c r="T1720" s="19" t="s">
        <v>1740</v>
      </c>
      <c r="U1720" s="9" t="str">
        <f t="shared" si="1"/>
        <v>NSE:BHARATGEAR</v>
      </c>
      <c r="V1720" s="18"/>
      <c r="W1720" s="18"/>
      <c r="X1720" s="18"/>
    </row>
    <row r="1721">
      <c r="A1721" s="20"/>
      <c r="B1721" s="3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35"/>
      <c r="N1721" s="18"/>
      <c r="O1721" s="18"/>
      <c r="P1721" s="18"/>
      <c r="Q1721" s="34"/>
      <c r="R1721" s="18"/>
      <c r="S1721" s="18"/>
      <c r="T1721" s="19" t="s">
        <v>1741</v>
      </c>
      <c r="U1721" s="9" t="str">
        <f t="shared" si="1"/>
        <v>NSE:CELEBRITY</v>
      </c>
      <c r="V1721" s="18"/>
      <c r="W1721" s="18"/>
      <c r="X1721" s="18"/>
    </row>
    <row r="1722">
      <c r="A1722" s="20"/>
      <c r="B1722" s="3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35"/>
      <c r="N1722" s="18"/>
      <c r="O1722" s="18"/>
      <c r="P1722" s="18"/>
      <c r="Q1722" s="34"/>
      <c r="R1722" s="18"/>
      <c r="S1722" s="18"/>
      <c r="T1722" s="19" t="s">
        <v>1742</v>
      </c>
      <c r="U1722" s="9" t="str">
        <f t="shared" si="1"/>
        <v>NSE:AARON</v>
      </c>
      <c r="V1722" s="18"/>
      <c r="W1722" s="18"/>
      <c r="X1722" s="18"/>
    </row>
    <row r="1723">
      <c r="A1723" s="20"/>
      <c r="B1723" s="3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35"/>
      <c r="N1723" s="18"/>
      <c r="O1723" s="18"/>
      <c r="P1723" s="18"/>
      <c r="Q1723" s="34"/>
      <c r="R1723" s="18"/>
      <c r="S1723" s="18"/>
      <c r="T1723" s="19" t="s">
        <v>1743</v>
      </c>
      <c r="U1723" s="9" t="str">
        <f t="shared" si="1"/>
        <v>NSE:BEDMUTHA</v>
      </c>
      <c r="V1723" s="18"/>
      <c r="W1723" s="18"/>
      <c r="X1723" s="18"/>
    </row>
    <row r="1724">
      <c r="A1724" s="20"/>
      <c r="B1724" s="3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35"/>
      <c r="N1724" s="18"/>
      <c r="O1724" s="18"/>
      <c r="P1724" s="18"/>
      <c r="Q1724" s="34"/>
      <c r="R1724" s="18"/>
      <c r="S1724" s="18"/>
      <c r="T1724" s="19" t="s">
        <v>1744</v>
      </c>
      <c r="U1724" s="9" t="str">
        <f t="shared" si="1"/>
        <v>NSE:PATINTLOG</v>
      </c>
      <c r="V1724" s="18"/>
      <c r="W1724" s="18"/>
      <c r="X1724" s="18"/>
    </row>
    <row r="1725">
      <c r="A1725" s="20"/>
      <c r="B1725" s="3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35"/>
      <c r="N1725" s="18"/>
      <c r="O1725" s="18"/>
      <c r="P1725" s="18"/>
      <c r="Q1725" s="34"/>
      <c r="R1725" s="18"/>
      <c r="S1725" s="18"/>
      <c r="T1725" s="19" t="s">
        <v>1745</v>
      </c>
      <c r="U1725" s="9" t="str">
        <f t="shared" si="1"/>
        <v>NSE:NV20</v>
      </c>
      <c r="V1725" s="18"/>
      <c r="W1725" s="18"/>
      <c r="X1725" s="18"/>
    </row>
    <row r="1726">
      <c r="A1726" s="20"/>
      <c r="B1726" s="3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35"/>
      <c r="N1726" s="18"/>
      <c r="O1726" s="18"/>
      <c r="P1726" s="18"/>
      <c r="Q1726" s="34"/>
      <c r="R1726" s="18"/>
      <c r="S1726" s="18"/>
      <c r="T1726" s="19" t="s">
        <v>1746</v>
      </c>
      <c r="U1726" s="9" t="str">
        <f t="shared" si="1"/>
        <v>NSE:MODISONLTD</v>
      </c>
      <c r="V1726" s="18"/>
      <c r="W1726" s="18"/>
      <c r="X1726" s="18"/>
    </row>
    <row r="1727">
      <c r="A1727" s="20"/>
      <c r="B1727" s="3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35"/>
      <c r="N1727" s="18"/>
      <c r="O1727" s="18"/>
      <c r="P1727" s="18"/>
      <c r="Q1727" s="34"/>
      <c r="R1727" s="18"/>
      <c r="S1727" s="18"/>
      <c r="T1727" s="19" t="s">
        <v>1747</v>
      </c>
      <c r="U1727" s="9" t="str">
        <f t="shared" si="1"/>
        <v>NSE:MAHESHWARI</v>
      </c>
      <c r="V1727" s="18"/>
      <c r="W1727" s="18"/>
      <c r="X1727" s="18"/>
    </row>
    <row r="1728">
      <c r="A1728" s="20"/>
      <c r="B1728" s="3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35"/>
      <c r="N1728" s="18"/>
      <c r="O1728" s="18"/>
      <c r="P1728" s="18"/>
      <c r="Q1728" s="34"/>
      <c r="R1728" s="18"/>
      <c r="S1728" s="18"/>
      <c r="T1728" s="19" t="s">
        <v>1748</v>
      </c>
      <c r="U1728" s="9" t="str">
        <f t="shared" si="1"/>
        <v>NSE:HDFCLOWVOL</v>
      </c>
      <c r="V1728" s="18"/>
      <c r="W1728" s="18"/>
      <c r="X1728" s="18"/>
    </row>
    <row r="1729">
      <c r="A1729" s="20"/>
      <c r="B1729" s="3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35"/>
      <c r="N1729" s="18"/>
      <c r="O1729" s="18"/>
      <c r="P1729" s="18"/>
      <c r="Q1729" s="34"/>
      <c r="R1729" s="18"/>
      <c r="S1729" s="18"/>
      <c r="T1729" s="19" t="s">
        <v>1749</v>
      </c>
      <c r="U1729" s="9" t="str">
        <f t="shared" si="1"/>
        <v>NSE:TVSELECT</v>
      </c>
      <c r="V1729" s="18"/>
      <c r="W1729" s="18"/>
      <c r="X1729" s="18"/>
    </row>
    <row r="1730">
      <c r="A1730" s="20"/>
      <c r="B1730" s="3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35"/>
      <c r="N1730" s="18"/>
      <c r="O1730" s="18"/>
      <c r="P1730" s="18"/>
      <c r="Q1730" s="34"/>
      <c r="R1730" s="18"/>
      <c r="S1730" s="18"/>
      <c r="T1730" s="19" t="s">
        <v>1750</v>
      </c>
      <c r="U1730" s="9" t="str">
        <f t="shared" si="1"/>
        <v>NSE:IVC</v>
      </c>
      <c r="V1730" s="18"/>
      <c r="W1730" s="18"/>
      <c r="X1730" s="18"/>
    </row>
    <row r="1731">
      <c r="A1731" s="20"/>
      <c r="B1731" s="3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35"/>
      <c r="N1731" s="18"/>
      <c r="O1731" s="18"/>
      <c r="P1731" s="18"/>
      <c r="Q1731" s="34"/>
      <c r="R1731" s="18"/>
      <c r="S1731" s="18"/>
      <c r="T1731" s="19" t="s">
        <v>1751</v>
      </c>
      <c r="U1731" s="9" t="str">
        <f t="shared" si="1"/>
        <v>NSE:AMNPLST</v>
      </c>
      <c r="V1731" s="18"/>
      <c r="W1731" s="18"/>
      <c r="X1731" s="18"/>
    </row>
    <row r="1732">
      <c r="A1732" s="20"/>
      <c r="B1732" s="3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35"/>
      <c r="N1732" s="18"/>
      <c r="O1732" s="18"/>
      <c r="P1732" s="18"/>
      <c r="Q1732" s="34"/>
      <c r="R1732" s="18"/>
      <c r="S1732" s="18"/>
      <c r="T1732" s="19" t="s">
        <v>1752</v>
      </c>
      <c r="U1732" s="9" t="str">
        <f t="shared" si="1"/>
        <v>NSE:MOVALUE</v>
      </c>
      <c r="V1732" s="18"/>
      <c r="W1732" s="18"/>
      <c r="X1732" s="18"/>
    </row>
    <row r="1733">
      <c r="A1733" s="20"/>
      <c r="B1733" s="3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35"/>
      <c r="N1733" s="18"/>
      <c r="O1733" s="18"/>
      <c r="P1733" s="18"/>
      <c r="Q1733" s="34"/>
      <c r="R1733" s="18"/>
      <c r="S1733" s="18"/>
      <c r="T1733" s="19" t="s">
        <v>1753</v>
      </c>
      <c r="U1733" s="9" t="str">
        <f t="shared" si="1"/>
        <v>NSE:NAHARPOLY</v>
      </c>
      <c r="V1733" s="18"/>
      <c r="W1733" s="18"/>
      <c r="X1733" s="18"/>
    </row>
    <row r="1734">
      <c r="A1734" s="20"/>
      <c r="B1734" s="3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35"/>
      <c r="N1734" s="18"/>
      <c r="O1734" s="18"/>
      <c r="P1734" s="18"/>
      <c r="Q1734" s="34"/>
      <c r="R1734" s="18"/>
      <c r="S1734" s="18"/>
      <c r="T1734" s="19" t="s">
        <v>1754</v>
      </c>
      <c r="U1734" s="9" t="str">
        <f t="shared" si="1"/>
        <v>NSE:NAHARINDUS</v>
      </c>
      <c r="V1734" s="18"/>
      <c r="W1734" s="18"/>
      <c r="X1734" s="18"/>
    </row>
    <row r="1735">
      <c r="A1735" s="20"/>
      <c r="B1735" s="3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35"/>
      <c r="N1735" s="18"/>
      <c r="O1735" s="18"/>
      <c r="P1735" s="18"/>
      <c r="Q1735" s="34"/>
      <c r="R1735" s="18"/>
      <c r="S1735" s="18"/>
      <c r="T1735" s="19" t="s">
        <v>1755</v>
      </c>
      <c r="U1735" s="9" t="str">
        <f t="shared" si="1"/>
        <v>NSE:BANARBEADS</v>
      </c>
      <c r="V1735" s="18"/>
      <c r="W1735" s="18"/>
      <c r="X1735" s="18"/>
    </row>
    <row r="1736">
      <c r="A1736" s="20"/>
      <c r="B1736" s="3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35"/>
      <c r="N1736" s="18"/>
      <c r="O1736" s="18"/>
      <c r="P1736" s="18"/>
      <c r="Q1736" s="34"/>
      <c r="R1736" s="18"/>
      <c r="S1736" s="18"/>
      <c r="T1736" s="19" t="s">
        <v>1756</v>
      </c>
      <c r="U1736" s="9" t="str">
        <f t="shared" si="1"/>
        <v>NSE:NINSYS</v>
      </c>
      <c r="V1736" s="18"/>
      <c r="W1736" s="18"/>
      <c r="X1736" s="18"/>
    </row>
    <row r="1737">
      <c r="A1737" s="20"/>
      <c r="B1737" s="3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35"/>
      <c r="N1737" s="18"/>
      <c r="O1737" s="18"/>
      <c r="P1737" s="18"/>
      <c r="Q1737" s="34"/>
      <c r="R1737" s="18"/>
      <c r="S1737" s="18"/>
      <c r="T1737" s="19" t="s">
        <v>1757</v>
      </c>
      <c r="U1737" s="9" t="str">
        <f t="shared" si="1"/>
        <v>NSE:EMAMIPAP</v>
      </c>
      <c r="V1737" s="18"/>
      <c r="W1737" s="18"/>
      <c r="X1737" s="18"/>
    </row>
    <row r="1738">
      <c r="A1738" s="20"/>
      <c r="B1738" s="3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35"/>
      <c r="N1738" s="18"/>
      <c r="O1738" s="18"/>
      <c r="P1738" s="18"/>
      <c r="Q1738" s="34"/>
      <c r="R1738" s="18"/>
      <c r="S1738" s="18"/>
      <c r="T1738" s="19" t="s">
        <v>1758</v>
      </c>
      <c r="U1738" s="9" t="str">
        <f t="shared" si="1"/>
        <v>NSE:JAYAGROGN</v>
      </c>
      <c r="V1738" s="18"/>
      <c r="W1738" s="18"/>
      <c r="X1738" s="18"/>
    </row>
    <row r="1739">
      <c r="A1739" s="20"/>
      <c r="B1739" s="3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35"/>
      <c r="N1739" s="18"/>
      <c r="O1739" s="18"/>
      <c r="P1739" s="18"/>
      <c r="Q1739" s="34"/>
      <c r="R1739" s="18"/>
      <c r="S1739" s="18"/>
      <c r="T1739" s="19" t="s">
        <v>1759</v>
      </c>
      <c r="U1739" s="9" t="str">
        <f t="shared" si="1"/>
        <v>NSE:AXISNIFTY</v>
      </c>
      <c r="V1739" s="18"/>
      <c r="W1739" s="18"/>
      <c r="X1739" s="18"/>
    </row>
    <row r="1740">
      <c r="A1740" s="20"/>
      <c r="B1740" s="3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35"/>
      <c r="N1740" s="18"/>
      <c r="O1740" s="18"/>
      <c r="P1740" s="18"/>
      <c r="Q1740" s="34"/>
      <c r="R1740" s="18"/>
      <c r="S1740" s="18"/>
      <c r="T1740" s="19" t="s">
        <v>1760</v>
      </c>
      <c r="U1740" s="9" t="str">
        <f t="shared" si="1"/>
        <v>NSE:OILCOUNTUB</v>
      </c>
      <c r="V1740" s="18"/>
      <c r="W1740" s="18"/>
      <c r="X1740" s="18"/>
    </row>
    <row r="1741">
      <c r="A1741" s="20"/>
      <c r="B1741" s="3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35"/>
      <c r="N1741" s="18"/>
      <c r="O1741" s="18"/>
      <c r="P1741" s="18"/>
      <c r="Q1741" s="34"/>
      <c r="R1741" s="18"/>
      <c r="S1741" s="18"/>
      <c r="T1741" s="19" t="s">
        <v>1761</v>
      </c>
      <c r="U1741" s="9" t="str">
        <f t="shared" si="1"/>
        <v>NSE:KOTARISUG</v>
      </c>
      <c r="V1741" s="18"/>
      <c r="W1741" s="18"/>
      <c r="X1741" s="18"/>
    </row>
    <row r="1742">
      <c r="A1742" s="20"/>
      <c r="B1742" s="3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35"/>
      <c r="N1742" s="18"/>
      <c r="O1742" s="18"/>
      <c r="P1742" s="18"/>
      <c r="Q1742" s="34"/>
      <c r="R1742" s="18"/>
      <c r="S1742" s="18"/>
      <c r="T1742" s="19" t="s">
        <v>1762</v>
      </c>
      <c r="U1742" s="9" t="str">
        <f t="shared" si="1"/>
        <v>NSE:GROWWN200</v>
      </c>
      <c r="V1742" s="18"/>
      <c r="W1742" s="18"/>
      <c r="X1742" s="18"/>
    </row>
    <row r="1743">
      <c r="A1743" s="20"/>
      <c r="B1743" s="3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35"/>
      <c r="N1743" s="18"/>
      <c r="O1743" s="18"/>
      <c r="P1743" s="18"/>
      <c r="Q1743" s="34"/>
      <c r="R1743" s="18"/>
      <c r="S1743" s="18"/>
      <c r="T1743" s="19" t="s">
        <v>1763</v>
      </c>
      <c r="U1743" s="9" t="str">
        <f t="shared" si="1"/>
        <v>NSE:AMBICAAGAR</v>
      </c>
      <c r="V1743" s="18"/>
      <c r="W1743" s="18"/>
      <c r="X1743" s="18"/>
    </row>
    <row r="1744">
      <c r="A1744" s="20"/>
      <c r="B1744" s="3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35"/>
      <c r="N1744" s="18"/>
      <c r="O1744" s="18"/>
      <c r="P1744" s="18"/>
      <c r="Q1744" s="34"/>
      <c r="R1744" s="18"/>
      <c r="S1744" s="18"/>
      <c r="T1744" s="19" t="s">
        <v>1764</v>
      </c>
      <c r="U1744" s="9" t="str">
        <f t="shared" si="1"/>
        <v>NSE:INDORAMA</v>
      </c>
      <c r="V1744" s="18"/>
      <c r="W1744" s="18"/>
      <c r="X1744" s="18"/>
    </row>
    <row r="1745">
      <c r="A1745" s="20"/>
      <c r="B1745" s="3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35"/>
      <c r="N1745" s="18"/>
      <c r="O1745" s="18"/>
      <c r="P1745" s="18"/>
      <c r="Q1745" s="34"/>
      <c r="R1745" s="18"/>
      <c r="S1745" s="18"/>
      <c r="T1745" s="19" t="s">
        <v>1765</v>
      </c>
      <c r="U1745" s="9" t="str">
        <f t="shared" si="1"/>
        <v>NSE:SHARIABEES</v>
      </c>
      <c r="V1745" s="18"/>
      <c r="W1745" s="18"/>
      <c r="X1745" s="18"/>
    </row>
    <row r="1746">
      <c r="A1746" s="20"/>
      <c r="B1746" s="3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35"/>
      <c r="N1746" s="18"/>
      <c r="O1746" s="18"/>
      <c r="P1746" s="18"/>
      <c r="Q1746" s="34"/>
      <c r="R1746" s="18"/>
      <c r="S1746" s="18"/>
      <c r="T1746" s="19" t="s">
        <v>1766</v>
      </c>
      <c r="U1746" s="9" t="str">
        <f t="shared" si="1"/>
        <v>NSE:SURANAT&amp;P</v>
      </c>
      <c r="V1746" s="18"/>
      <c r="W1746" s="18"/>
      <c r="X1746" s="18"/>
    </row>
    <row r="1747">
      <c r="A1747" s="20"/>
      <c r="B1747" s="3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35"/>
      <c r="N1747" s="18"/>
      <c r="O1747" s="18"/>
      <c r="P1747" s="18"/>
      <c r="Q1747" s="34"/>
      <c r="R1747" s="18"/>
      <c r="S1747" s="18"/>
      <c r="T1747" s="19" t="s">
        <v>1767</v>
      </c>
      <c r="U1747" s="9" t="str">
        <f t="shared" si="1"/>
        <v>NSE:KMSUGAR</v>
      </c>
      <c r="V1747" s="18"/>
      <c r="W1747" s="18"/>
      <c r="X1747" s="18"/>
    </row>
    <row r="1748">
      <c r="A1748" s="20"/>
      <c r="B1748" s="3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35"/>
      <c r="N1748" s="18"/>
      <c r="O1748" s="18"/>
      <c r="P1748" s="18"/>
      <c r="Q1748" s="34"/>
      <c r="R1748" s="18"/>
      <c r="S1748" s="18"/>
      <c r="T1748" s="19" t="s">
        <v>1768</v>
      </c>
      <c r="U1748" s="9" t="str">
        <f t="shared" si="1"/>
        <v>NSE:HOVS</v>
      </c>
      <c r="V1748" s="18"/>
      <c r="W1748" s="18"/>
      <c r="X1748" s="18"/>
    </row>
    <row r="1749">
      <c r="A1749" s="20"/>
      <c r="B1749" s="3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35"/>
      <c r="N1749" s="18"/>
      <c r="O1749" s="18"/>
      <c r="P1749" s="18"/>
      <c r="Q1749" s="34"/>
      <c r="R1749" s="18"/>
      <c r="S1749" s="18"/>
      <c r="T1749" s="19" t="s">
        <v>1769</v>
      </c>
      <c r="U1749" s="9" t="str">
        <f t="shared" si="1"/>
        <v>NSE:MAKEINDIA</v>
      </c>
      <c r="V1749" s="18"/>
      <c r="W1749" s="18"/>
      <c r="X1749" s="18"/>
    </row>
    <row r="1750">
      <c r="A1750" s="20"/>
      <c r="B1750" s="3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35"/>
      <c r="N1750" s="18"/>
      <c r="O1750" s="18"/>
      <c r="P1750" s="18"/>
      <c r="Q1750" s="34"/>
      <c r="R1750" s="18"/>
      <c r="S1750" s="18"/>
      <c r="T1750" s="19" t="s">
        <v>1770</v>
      </c>
      <c r="U1750" s="9" t="str">
        <f t="shared" si="1"/>
        <v>NSE:PILITA</v>
      </c>
      <c r="V1750" s="18"/>
      <c r="W1750" s="18"/>
      <c r="X1750" s="18"/>
    </row>
    <row r="1751">
      <c r="A1751" s="20"/>
      <c r="B1751" s="3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35"/>
      <c r="N1751" s="18"/>
      <c r="O1751" s="18"/>
      <c r="P1751" s="18"/>
      <c r="Q1751" s="34"/>
      <c r="R1751" s="18"/>
      <c r="S1751" s="18"/>
      <c r="T1751" s="19" t="s">
        <v>1771</v>
      </c>
      <c r="U1751" s="9" t="str">
        <f t="shared" si="1"/>
        <v>NSE:STEL</v>
      </c>
      <c r="V1751" s="18"/>
      <c r="W1751" s="18"/>
      <c r="X1751" s="18"/>
    </row>
    <row r="1752">
      <c r="A1752" s="20"/>
      <c r="B1752" s="3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35"/>
      <c r="N1752" s="18"/>
      <c r="O1752" s="18"/>
      <c r="P1752" s="18"/>
      <c r="Q1752" s="34"/>
      <c r="R1752" s="18"/>
      <c r="S1752" s="18"/>
      <c r="T1752" s="19" t="s">
        <v>1772</v>
      </c>
      <c r="U1752" s="9" t="str">
        <f t="shared" si="1"/>
        <v>NSE:DRCSYSTEMS</v>
      </c>
      <c r="V1752" s="18"/>
      <c r="W1752" s="18"/>
      <c r="X1752" s="18"/>
    </row>
    <row r="1753">
      <c r="A1753" s="20"/>
      <c r="B1753" s="3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35"/>
      <c r="N1753" s="18"/>
      <c r="O1753" s="18"/>
      <c r="P1753" s="18"/>
      <c r="Q1753" s="34"/>
      <c r="R1753" s="18"/>
      <c r="S1753" s="18"/>
      <c r="T1753" s="19" t="s">
        <v>1773</v>
      </c>
      <c r="U1753" s="9" t="str">
        <f t="shared" si="1"/>
        <v>NSE:NIFTY50ADD</v>
      </c>
      <c r="V1753" s="18"/>
      <c r="W1753" s="18"/>
      <c r="X1753" s="18"/>
    </row>
    <row r="1754">
      <c r="A1754" s="20"/>
      <c r="B1754" s="3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35"/>
      <c r="N1754" s="18"/>
      <c r="O1754" s="18"/>
      <c r="P1754" s="18"/>
      <c r="Q1754" s="34"/>
      <c r="R1754" s="18"/>
      <c r="S1754" s="18"/>
      <c r="T1754" s="19" t="s">
        <v>1774</v>
      </c>
      <c r="U1754" s="9" t="str">
        <f t="shared" si="1"/>
        <v>NSE:MITCON</v>
      </c>
      <c r="V1754" s="18"/>
      <c r="W1754" s="18"/>
      <c r="X1754" s="18"/>
    </row>
    <row r="1755">
      <c r="A1755" s="20"/>
      <c r="B1755" s="3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35"/>
      <c r="N1755" s="18"/>
      <c r="O1755" s="18"/>
      <c r="P1755" s="18"/>
      <c r="Q1755" s="34"/>
      <c r="R1755" s="18"/>
      <c r="S1755" s="18"/>
      <c r="T1755" s="19" t="s">
        <v>1775</v>
      </c>
      <c r="U1755" s="9" t="str">
        <f t="shared" si="1"/>
        <v>NSE:SAH</v>
      </c>
      <c r="V1755" s="18"/>
      <c r="W1755" s="18"/>
      <c r="X1755" s="18"/>
    </row>
    <row r="1756">
      <c r="A1756" s="20"/>
      <c r="B1756" s="3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35"/>
      <c r="N1756" s="18"/>
      <c r="O1756" s="18"/>
      <c r="P1756" s="18"/>
      <c r="Q1756" s="34"/>
      <c r="R1756" s="18"/>
      <c r="S1756" s="18"/>
      <c r="T1756" s="19" t="s">
        <v>1776</v>
      </c>
      <c r="U1756" s="9" t="str">
        <f t="shared" si="1"/>
        <v>NSE:HPIL</v>
      </c>
      <c r="V1756" s="18"/>
      <c r="W1756" s="18"/>
      <c r="X1756" s="18"/>
    </row>
    <row r="1757">
      <c r="A1757" s="20"/>
      <c r="B1757" s="3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35"/>
      <c r="N1757" s="18"/>
      <c r="O1757" s="18"/>
      <c r="P1757" s="18"/>
      <c r="Q1757" s="34"/>
      <c r="R1757" s="18"/>
      <c r="S1757" s="18"/>
      <c r="T1757" s="19" t="s">
        <v>1777</v>
      </c>
      <c r="U1757" s="9" t="str">
        <f t="shared" si="1"/>
        <v>NSE:ANUHPHR</v>
      </c>
      <c r="V1757" s="18"/>
      <c r="W1757" s="18"/>
      <c r="X1757" s="18"/>
    </row>
    <row r="1758">
      <c r="A1758" s="20"/>
      <c r="B1758" s="3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35"/>
      <c r="N1758" s="18"/>
      <c r="O1758" s="18"/>
      <c r="P1758" s="18"/>
      <c r="Q1758" s="34"/>
      <c r="R1758" s="18"/>
      <c r="S1758" s="18"/>
      <c r="T1758" s="19" t="s">
        <v>1778</v>
      </c>
      <c r="U1758" s="9" t="str">
        <f t="shared" si="1"/>
        <v>NSE:SURYALAXMI</v>
      </c>
      <c r="V1758" s="18"/>
      <c r="W1758" s="18"/>
      <c r="X1758" s="18"/>
    </row>
    <row r="1759">
      <c r="A1759" s="20"/>
      <c r="B1759" s="3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35"/>
      <c r="N1759" s="18"/>
      <c r="O1759" s="18"/>
      <c r="P1759" s="18"/>
      <c r="Q1759" s="34"/>
      <c r="R1759" s="18"/>
      <c r="S1759" s="18"/>
      <c r="T1759" s="19" t="s">
        <v>1779</v>
      </c>
      <c r="U1759" s="9" t="str">
        <f t="shared" si="1"/>
        <v>NSE:RUCHIRA</v>
      </c>
      <c r="V1759" s="18"/>
      <c r="W1759" s="18"/>
      <c r="X1759" s="18"/>
    </row>
    <row r="1760">
      <c r="A1760" s="20"/>
      <c r="B1760" s="3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35"/>
      <c r="N1760" s="18"/>
      <c r="O1760" s="18"/>
      <c r="P1760" s="18"/>
      <c r="Q1760" s="34"/>
      <c r="R1760" s="18"/>
      <c r="S1760" s="18"/>
      <c r="T1760" s="19" t="s">
        <v>1780</v>
      </c>
      <c r="U1760" s="9" t="str">
        <f t="shared" si="1"/>
        <v>NSE:FINIETF</v>
      </c>
      <c r="V1760" s="18"/>
      <c r="W1760" s="18"/>
      <c r="X1760" s="18"/>
    </row>
    <row r="1761">
      <c r="A1761" s="20"/>
      <c r="B1761" s="3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35"/>
      <c r="N1761" s="18"/>
      <c r="O1761" s="18"/>
      <c r="P1761" s="18"/>
      <c r="Q1761" s="34"/>
      <c r="R1761" s="18"/>
      <c r="S1761" s="18"/>
      <c r="T1761" s="19" t="s">
        <v>1781</v>
      </c>
      <c r="U1761" s="9" t="str">
        <f t="shared" si="1"/>
        <v>NSE:TREJHARA</v>
      </c>
      <c r="V1761" s="18"/>
      <c r="W1761" s="18"/>
      <c r="X1761" s="18"/>
    </row>
    <row r="1762">
      <c r="A1762" s="20"/>
      <c r="B1762" s="3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35"/>
      <c r="N1762" s="18"/>
      <c r="O1762" s="18"/>
      <c r="P1762" s="18"/>
      <c r="Q1762" s="34"/>
      <c r="R1762" s="18"/>
      <c r="S1762" s="18"/>
      <c r="T1762" s="19" t="s">
        <v>1782</v>
      </c>
      <c r="U1762" s="9" t="str">
        <f t="shared" si="1"/>
        <v>NSE:DCM</v>
      </c>
      <c r="V1762" s="18"/>
      <c r="W1762" s="18"/>
      <c r="X1762" s="18"/>
    </row>
    <row r="1763">
      <c r="A1763" s="20"/>
      <c r="B1763" s="3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35"/>
      <c r="N1763" s="18"/>
      <c r="O1763" s="18"/>
      <c r="P1763" s="18"/>
      <c r="Q1763" s="34"/>
      <c r="R1763" s="18"/>
      <c r="S1763" s="18"/>
      <c r="T1763" s="19" t="s">
        <v>1783</v>
      </c>
      <c r="U1763" s="9" t="str">
        <f t="shared" si="1"/>
        <v>NSE:NIPPOBATRY</v>
      </c>
      <c r="V1763" s="18"/>
      <c r="W1763" s="18"/>
      <c r="X1763" s="18"/>
    </row>
    <row r="1764">
      <c r="A1764" s="20"/>
      <c r="B1764" s="3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35"/>
      <c r="N1764" s="18"/>
      <c r="O1764" s="18"/>
      <c r="P1764" s="18"/>
      <c r="Q1764" s="34"/>
      <c r="R1764" s="18"/>
      <c r="S1764" s="18"/>
      <c r="T1764" s="19" t="s">
        <v>1784</v>
      </c>
      <c r="U1764" s="9" t="str">
        <f t="shared" si="1"/>
        <v>NSE:SMLT</v>
      </c>
      <c r="V1764" s="18"/>
      <c r="W1764" s="18"/>
      <c r="X1764" s="18"/>
    </row>
    <row r="1765">
      <c r="A1765" s="20"/>
      <c r="B1765" s="3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35"/>
      <c r="N1765" s="18"/>
      <c r="O1765" s="18"/>
      <c r="P1765" s="18"/>
      <c r="Q1765" s="34"/>
      <c r="R1765" s="18"/>
      <c r="S1765" s="18"/>
      <c r="T1765" s="19" t="s">
        <v>1785</v>
      </c>
      <c r="U1765" s="9" t="str">
        <f t="shared" si="1"/>
        <v>NSE:CONSOFINVT</v>
      </c>
      <c r="V1765" s="18"/>
      <c r="W1765" s="18"/>
      <c r="X1765" s="18"/>
    </row>
    <row r="1766">
      <c r="A1766" s="20"/>
      <c r="B1766" s="3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35"/>
      <c r="N1766" s="18"/>
      <c r="O1766" s="18"/>
      <c r="P1766" s="18"/>
      <c r="Q1766" s="34"/>
      <c r="R1766" s="18"/>
      <c r="S1766" s="18"/>
      <c r="T1766" s="19" t="s">
        <v>1786</v>
      </c>
      <c r="U1766" s="9" t="str">
        <f t="shared" si="1"/>
        <v>NSE:AHLEAST</v>
      </c>
      <c r="V1766" s="18"/>
      <c r="W1766" s="18"/>
      <c r="X1766" s="18"/>
    </row>
    <row r="1767">
      <c r="A1767" s="20"/>
      <c r="B1767" s="3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35"/>
      <c r="N1767" s="18"/>
      <c r="O1767" s="18"/>
      <c r="P1767" s="18"/>
      <c r="Q1767" s="34"/>
      <c r="R1767" s="18"/>
      <c r="S1767" s="18"/>
      <c r="T1767" s="19" t="s">
        <v>1787</v>
      </c>
      <c r="U1767" s="9" t="str">
        <f t="shared" si="1"/>
        <v>NSE:VASWANI</v>
      </c>
      <c r="V1767" s="18"/>
      <c r="W1767" s="18"/>
      <c r="X1767" s="18"/>
    </row>
    <row r="1768">
      <c r="A1768" s="20"/>
      <c r="B1768" s="3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35"/>
      <c r="N1768" s="18"/>
      <c r="O1768" s="18"/>
      <c r="P1768" s="18"/>
      <c r="Q1768" s="34"/>
      <c r="R1768" s="18"/>
      <c r="S1768" s="18"/>
      <c r="T1768" s="19" t="s">
        <v>1788</v>
      </c>
      <c r="U1768" s="9" t="str">
        <f t="shared" si="1"/>
        <v>NSE:KEYFINSERV</v>
      </c>
      <c r="V1768" s="18"/>
      <c r="W1768" s="18"/>
      <c r="X1768" s="18"/>
    </row>
    <row r="1769">
      <c r="A1769" s="20"/>
      <c r="B1769" s="3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35"/>
      <c r="N1769" s="18"/>
      <c r="O1769" s="18"/>
      <c r="P1769" s="18"/>
      <c r="Q1769" s="34"/>
      <c r="R1769" s="18"/>
      <c r="S1769" s="18"/>
      <c r="T1769" s="19" t="s">
        <v>1789</v>
      </c>
      <c r="U1769" s="9" t="str">
        <f t="shared" si="1"/>
        <v>NSE:RAJSREESUG</v>
      </c>
      <c r="V1769" s="18"/>
      <c r="W1769" s="18"/>
      <c r="X1769" s="18"/>
    </row>
    <row r="1770">
      <c r="A1770" s="20"/>
      <c r="B1770" s="3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35"/>
      <c r="N1770" s="18"/>
      <c r="O1770" s="18"/>
      <c r="P1770" s="18"/>
      <c r="Q1770" s="34"/>
      <c r="R1770" s="18"/>
      <c r="S1770" s="18"/>
      <c r="T1770" s="19" t="s">
        <v>1790</v>
      </c>
      <c r="U1770" s="9" t="str">
        <f t="shared" si="1"/>
        <v>NSE:JAIPURKURT</v>
      </c>
      <c r="V1770" s="18"/>
      <c r="W1770" s="18"/>
      <c r="X1770" s="18"/>
    </row>
    <row r="1771">
      <c r="A1771" s="20"/>
      <c r="B1771" s="3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35"/>
      <c r="N1771" s="18"/>
      <c r="O1771" s="18"/>
      <c r="P1771" s="18"/>
      <c r="Q1771" s="34"/>
      <c r="R1771" s="18"/>
      <c r="S1771" s="18"/>
      <c r="T1771" s="19" t="s">
        <v>1791</v>
      </c>
      <c r="U1771" s="9" t="str">
        <f t="shared" si="1"/>
        <v>NSE:INSPIRISYS</v>
      </c>
      <c r="V1771" s="18"/>
      <c r="W1771" s="18"/>
      <c r="X1771" s="18"/>
    </row>
    <row r="1772">
      <c r="A1772" s="20"/>
      <c r="B1772" s="3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35"/>
      <c r="N1772" s="18"/>
      <c r="O1772" s="18"/>
      <c r="P1772" s="18"/>
      <c r="Q1772" s="34"/>
      <c r="R1772" s="18"/>
      <c r="S1772" s="18"/>
      <c r="T1772" s="19" t="s">
        <v>1792</v>
      </c>
      <c r="U1772" s="9" t="str">
        <f t="shared" si="1"/>
        <v>NSE:RVTH</v>
      </c>
      <c r="V1772" s="18"/>
      <c r="W1772" s="18"/>
      <c r="X1772" s="18"/>
    </row>
    <row r="1773">
      <c r="A1773" s="20"/>
      <c r="B1773" s="3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35"/>
      <c r="N1773" s="18"/>
      <c r="O1773" s="18"/>
      <c r="P1773" s="18"/>
      <c r="Q1773" s="34"/>
      <c r="R1773" s="18"/>
      <c r="S1773" s="18"/>
      <c r="T1773" s="19" t="s">
        <v>1793</v>
      </c>
      <c r="U1773" s="9" t="str">
        <f t="shared" si="1"/>
        <v>NSE:MULTICAP</v>
      </c>
      <c r="V1773" s="18"/>
      <c r="W1773" s="18"/>
      <c r="X1773" s="18"/>
    </row>
    <row r="1774">
      <c r="A1774" s="20"/>
      <c r="B1774" s="3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35"/>
      <c r="N1774" s="18"/>
      <c r="O1774" s="18"/>
      <c r="P1774" s="18"/>
      <c r="Q1774" s="34"/>
      <c r="R1774" s="18"/>
      <c r="S1774" s="18"/>
      <c r="T1774" s="19" t="s">
        <v>1794</v>
      </c>
      <c r="U1774" s="9" t="str">
        <f t="shared" si="1"/>
        <v>NSE:AGRITECH</v>
      </c>
      <c r="V1774" s="18"/>
      <c r="W1774" s="18"/>
      <c r="X1774" s="18"/>
    </row>
    <row r="1775">
      <c r="A1775" s="20"/>
      <c r="B1775" s="3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35"/>
      <c r="N1775" s="18"/>
      <c r="O1775" s="18"/>
      <c r="P1775" s="18"/>
      <c r="Q1775" s="34"/>
      <c r="R1775" s="18"/>
      <c r="S1775" s="18"/>
      <c r="T1775" s="19" t="s">
        <v>1795</v>
      </c>
      <c r="U1775" s="9" t="str">
        <f t="shared" si="1"/>
        <v>NSE:ACCURACY</v>
      </c>
      <c r="V1775" s="18"/>
      <c r="W1775" s="18"/>
      <c r="X1775" s="18"/>
    </row>
    <row r="1776">
      <c r="A1776" s="20"/>
      <c r="B1776" s="3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35"/>
      <c r="N1776" s="18"/>
      <c r="O1776" s="18"/>
      <c r="P1776" s="18"/>
      <c r="Q1776" s="34"/>
      <c r="R1776" s="18"/>
      <c r="S1776" s="18"/>
      <c r="T1776" s="19" t="s">
        <v>1796</v>
      </c>
      <c r="U1776" s="9" t="str">
        <f t="shared" si="1"/>
        <v>NSE:AXISILVER</v>
      </c>
      <c r="V1776" s="18"/>
      <c r="W1776" s="18"/>
      <c r="X1776" s="18"/>
    </row>
    <row r="1777">
      <c r="A1777" s="20"/>
      <c r="B1777" s="3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35"/>
      <c r="N1777" s="18"/>
      <c r="O1777" s="18"/>
      <c r="P1777" s="18"/>
      <c r="Q1777" s="34"/>
      <c r="R1777" s="18"/>
      <c r="S1777" s="18"/>
      <c r="T1777" s="19" t="s">
        <v>1797</v>
      </c>
      <c r="U1777" s="9" t="str">
        <f t="shared" si="1"/>
        <v>NSE:SALSTEEL</v>
      </c>
      <c r="V1777" s="18"/>
      <c r="W1777" s="18"/>
      <c r="X1777" s="18"/>
    </row>
    <row r="1778">
      <c r="A1778" s="20"/>
      <c r="B1778" s="3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35"/>
      <c r="N1778" s="18"/>
      <c r="O1778" s="18"/>
      <c r="P1778" s="18"/>
      <c r="Q1778" s="34"/>
      <c r="R1778" s="18"/>
      <c r="S1778" s="18"/>
      <c r="T1778" s="19" t="s">
        <v>1798</v>
      </c>
      <c r="U1778" s="9" t="str">
        <f t="shared" si="1"/>
        <v>NSE:EMULTIMQ</v>
      </c>
      <c r="V1778" s="18"/>
      <c r="W1778" s="18"/>
      <c r="X1778" s="18"/>
    </row>
    <row r="1779">
      <c r="A1779" s="20"/>
      <c r="B1779" s="3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35"/>
      <c r="N1779" s="18"/>
      <c r="O1779" s="18"/>
      <c r="P1779" s="18"/>
      <c r="Q1779" s="34"/>
      <c r="R1779" s="18"/>
      <c r="S1779" s="18"/>
      <c r="T1779" s="19" t="s">
        <v>1799</v>
      </c>
      <c r="U1779" s="9" t="str">
        <f t="shared" si="1"/>
        <v>NSE:BHANDARI</v>
      </c>
      <c r="V1779" s="18"/>
      <c r="W1779" s="18"/>
      <c r="X1779" s="18"/>
    </row>
    <row r="1780">
      <c r="A1780" s="20"/>
      <c r="B1780" s="3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35"/>
      <c r="N1780" s="18"/>
      <c r="O1780" s="18"/>
      <c r="P1780" s="18"/>
      <c r="Q1780" s="34"/>
      <c r="R1780" s="18"/>
      <c r="S1780" s="18"/>
      <c r="T1780" s="19" t="s">
        <v>1800</v>
      </c>
      <c r="U1780" s="9" t="str">
        <f t="shared" si="1"/>
        <v>NSE:ARCHIDPLY</v>
      </c>
      <c r="V1780" s="18"/>
      <c r="W1780" s="18"/>
      <c r="X1780" s="18"/>
    </row>
    <row r="1781">
      <c r="A1781" s="20"/>
      <c r="B1781" s="3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35"/>
      <c r="N1781" s="18"/>
      <c r="O1781" s="18"/>
      <c r="P1781" s="18"/>
      <c r="Q1781" s="34"/>
      <c r="R1781" s="18"/>
      <c r="S1781" s="18"/>
      <c r="T1781" s="19" t="s">
        <v>1801</v>
      </c>
      <c r="U1781" s="9" t="str">
        <f t="shared" si="1"/>
        <v>NSE:SHANTI</v>
      </c>
      <c r="V1781" s="18"/>
      <c r="W1781" s="18"/>
      <c r="X1781" s="18"/>
    </row>
    <row r="1782">
      <c r="A1782" s="20"/>
      <c r="B1782" s="3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35"/>
      <c r="N1782" s="18"/>
      <c r="O1782" s="18"/>
      <c r="P1782" s="18"/>
      <c r="Q1782" s="34"/>
      <c r="R1782" s="18"/>
      <c r="S1782" s="18"/>
      <c r="T1782" s="19" t="s">
        <v>1802</v>
      </c>
      <c r="U1782" s="9" t="str">
        <f t="shared" si="1"/>
        <v>NSE:AKSHARCHEM</v>
      </c>
      <c r="V1782" s="18"/>
      <c r="W1782" s="18"/>
      <c r="X1782" s="18"/>
    </row>
    <row r="1783">
      <c r="A1783" s="20"/>
      <c r="B1783" s="3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35"/>
      <c r="N1783" s="18"/>
      <c r="O1783" s="18"/>
      <c r="P1783" s="18"/>
      <c r="Q1783" s="34"/>
      <c r="R1783" s="18"/>
      <c r="S1783" s="18"/>
      <c r="T1783" s="19" t="s">
        <v>1803</v>
      </c>
      <c r="U1783" s="9" t="str">
        <f t="shared" si="1"/>
        <v>NSE:SUPREME</v>
      </c>
      <c r="V1783" s="18"/>
      <c r="W1783" s="18"/>
      <c r="X1783" s="18"/>
    </row>
    <row r="1784">
      <c r="A1784" s="20"/>
      <c r="B1784" s="3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35"/>
      <c r="N1784" s="18"/>
      <c r="O1784" s="18"/>
      <c r="P1784" s="18"/>
      <c r="Q1784" s="34"/>
      <c r="R1784" s="18"/>
      <c r="S1784" s="18"/>
      <c r="T1784" s="19" t="s">
        <v>1804</v>
      </c>
      <c r="U1784" s="9" t="str">
        <f t="shared" si="1"/>
        <v>NSE:KILITCH</v>
      </c>
      <c r="V1784" s="18"/>
      <c r="W1784" s="18"/>
      <c r="X1784" s="18"/>
    </row>
    <row r="1785">
      <c r="A1785" s="20"/>
      <c r="B1785" s="3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35"/>
      <c r="N1785" s="18"/>
      <c r="O1785" s="18"/>
      <c r="P1785" s="18"/>
      <c r="Q1785" s="34"/>
      <c r="R1785" s="18"/>
      <c r="S1785" s="18"/>
      <c r="T1785" s="19" t="s">
        <v>1805</v>
      </c>
      <c r="U1785" s="9" t="str">
        <f t="shared" si="1"/>
        <v>NSE:UTISENSETF</v>
      </c>
      <c r="V1785" s="18"/>
      <c r="W1785" s="18"/>
      <c r="X1785" s="18"/>
    </row>
    <row r="1786">
      <c r="A1786" s="20"/>
      <c r="B1786" s="3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35"/>
      <c r="N1786" s="18"/>
      <c r="O1786" s="18"/>
      <c r="P1786" s="18"/>
      <c r="Q1786" s="34"/>
      <c r="R1786" s="18"/>
      <c r="S1786" s="18"/>
      <c r="T1786" s="19" t="s">
        <v>1806</v>
      </c>
      <c r="U1786" s="9" t="str">
        <f t="shared" si="1"/>
        <v>NSE:SILVRETF</v>
      </c>
      <c r="V1786" s="18"/>
      <c r="W1786" s="18"/>
      <c r="X1786" s="18"/>
    </row>
    <row r="1787">
      <c r="A1787" s="20"/>
      <c r="B1787" s="3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35"/>
      <c r="N1787" s="18"/>
      <c r="O1787" s="18"/>
      <c r="P1787" s="18"/>
      <c r="Q1787" s="34"/>
      <c r="R1787" s="18"/>
      <c r="S1787" s="18"/>
      <c r="T1787" s="19" t="s">
        <v>1807</v>
      </c>
      <c r="U1787" s="9" t="str">
        <f t="shared" si="1"/>
        <v>NSE:IMPAL</v>
      </c>
      <c r="V1787" s="18"/>
      <c r="W1787" s="18"/>
      <c r="X1787" s="18"/>
    </row>
    <row r="1788">
      <c r="A1788" s="20"/>
      <c r="B1788" s="3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35"/>
      <c r="N1788" s="18"/>
      <c r="O1788" s="18"/>
      <c r="P1788" s="18"/>
      <c r="Q1788" s="34"/>
      <c r="R1788" s="18"/>
      <c r="S1788" s="18"/>
      <c r="T1788" s="19" t="s">
        <v>1808</v>
      </c>
      <c r="U1788" s="9" t="str">
        <f t="shared" si="1"/>
        <v>NSE:SMARTLINK</v>
      </c>
      <c r="V1788" s="18"/>
      <c r="W1788" s="18"/>
      <c r="X1788" s="18"/>
    </row>
    <row r="1789">
      <c r="A1789" s="20"/>
      <c r="B1789" s="3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35"/>
      <c r="N1789" s="18"/>
      <c r="O1789" s="18"/>
      <c r="P1789" s="18"/>
      <c r="Q1789" s="34"/>
      <c r="R1789" s="18"/>
      <c r="S1789" s="18"/>
      <c r="T1789" s="19" t="s">
        <v>1809</v>
      </c>
      <c r="U1789" s="9" t="str">
        <f t="shared" si="1"/>
        <v>NSE:ARCHIES</v>
      </c>
      <c r="V1789" s="18"/>
      <c r="W1789" s="18"/>
      <c r="X1789" s="18"/>
    </row>
    <row r="1790">
      <c r="A1790" s="20"/>
      <c r="B1790" s="3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35"/>
      <c r="N1790" s="18"/>
      <c r="O1790" s="18"/>
      <c r="P1790" s="18"/>
      <c r="Q1790" s="34"/>
      <c r="R1790" s="18"/>
      <c r="S1790" s="18"/>
      <c r="T1790" s="19" t="s">
        <v>1810</v>
      </c>
      <c r="U1790" s="9" t="str">
        <f t="shared" si="1"/>
        <v>NSE:FIBERWEB</v>
      </c>
      <c r="V1790" s="18"/>
      <c r="W1790" s="18"/>
      <c r="X1790" s="18"/>
    </row>
    <row r="1791">
      <c r="A1791" s="20"/>
      <c r="B1791" s="3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35"/>
      <c r="N1791" s="18"/>
      <c r="O1791" s="18"/>
      <c r="P1791" s="18"/>
      <c r="Q1791" s="34"/>
      <c r="R1791" s="18"/>
      <c r="S1791" s="18"/>
      <c r="T1791" s="19" t="s">
        <v>1811</v>
      </c>
      <c r="U1791" s="9" t="str">
        <f t="shared" si="1"/>
        <v>NSE:AIROLAM</v>
      </c>
      <c r="V1791" s="18"/>
      <c r="W1791" s="18"/>
      <c r="X1791" s="18"/>
    </row>
    <row r="1792">
      <c r="A1792" s="20"/>
      <c r="B1792" s="3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35"/>
      <c r="N1792" s="18"/>
      <c r="O1792" s="18"/>
      <c r="P1792" s="18"/>
      <c r="Q1792" s="34"/>
      <c r="R1792" s="18"/>
      <c r="S1792" s="18"/>
      <c r="T1792" s="19" t="s">
        <v>1812</v>
      </c>
      <c r="U1792" s="9" t="str">
        <f t="shared" si="1"/>
        <v>NSE:DIGIDRIVE</v>
      </c>
      <c r="V1792" s="18"/>
      <c r="W1792" s="18"/>
      <c r="X1792" s="18"/>
    </row>
    <row r="1793">
      <c r="A1793" s="20"/>
      <c r="B1793" s="3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35"/>
      <c r="N1793" s="18"/>
      <c r="O1793" s="18"/>
      <c r="P1793" s="18"/>
      <c r="Q1793" s="34"/>
      <c r="R1793" s="18"/>
      <c r="S1793" s="18"/>
      <c r="T1793" s="19" t="s">
        <v>1813</v>
      </c>
      <c r="U1793" s="9" t="str">
        <f t="shared" si="1"/>
        <v>NSE:INDBANK</v>
      </c>
      <c r="V1793" s="18"/>
      <c r="W1793" s="18"/>
      <c r="X1793" s="18"/>
    </row>
    <row r="1794">
      <c r="A1794" s="20"/>
      <c r="B1794" s="3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35"/>
      <c r="N1794" s="18"/>
      <c r="O1794" s="18"/>
      <c r="P1794" s="18"/>
      <c r="Q1794" s="34"/>
      <c r="R1794" s="18"/>
      <c r="S1794" s="18"/>
      <c r="T1794" s="19" t="s">
        <v>1814</v>
      </c>
      <c r="U1794" s="9" t="str">
        <f t="shared" si="1"/>
        <v>NSE:AONETOTAL</v>
      </c>
      <c r="V1794" s="18"/>
      <c r="W1794" s="18"/>
      <c r="X1794" s="18"/>
    </row>
    <row r="1795">
      <c r="A1795" s="20"/>
      <c r="B1795" s="3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35"/>
      <c r="N1795" s="18"/>
      <c r="O1795" s="18"/>
      <c r="P1795" s="18"/>
      <c r="Q1795" s="34"/>
      <c r="R1795" s="18"/>
      <c r="S1795" s="18"/>
      <c r="T1795" s="19" t="s">
        <v>1815</v>
      </c>
      <c r="U1795" s="9" t="str">
        <f t="shared" si="1"/>
        <v>NSE:STEELCITY</v>
      </c>
      <c r="V1795" s="18"/>
      <c r="W1795" s="18"/>
      <c r="X1795" s="18"/>
    </row>
    <row r="1796">
      <c r="A1796" s="20"/>
      <c r="B1796" s="3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35"/>
      <c r="N1796" s="18"/>
      <c r="O1796" s="18"/>
      <c r="P1796" s="18"/>
      <c r="Q1796" s="34"/>
      <c r="R1796" s="18"/>
      <c r="S1796" s="18"/>
      <c r="T1796" s="19" t="s">
        <v>1816</v>
      </c>
      <c r="U1796" s="9" t="str">
        <f t="shared" si="1"/>
        <v>NSE:WORTH</v>
      </c>
      <c r="V1796" s="18"/>
      <c r="W1796" s="18"/>
      <c r="X1796" s="18"/>
    </row>
    <row r="1797">
      <c r="A1797" s="20"/>
      <c r="B1797" s="3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35"/>
      <c r="N1797" s="18"/>
      <c r="O1797" s="18"/>
      <c r="P1797" s="18"/>
      <c r="Q1797" s="34"/>
      <c r="R1797" s="18"/>
      <c r="S1797" s="18"/>
      <c r="T1797" s="19" t="s">
        <v>1817</v>
      </c>
      <c r="U1797" s="9" t="str">
        <f t="shared" si="1"/>
        <v>NSE:KHAITANLTD</v>
      </c>
      <c r="V1797" s="18"/>
      <c r="W1797" s="18"/>
      <c r="X1797" s="18"/>
    </row>
    <row r="1798">
      <c r="A1798" s="20"/>
      <c r="B1798" s="3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35"/>
      <c r="N1798" s="18"/>
      <c r="O1798" s="18"/>
      <c r="P1798" s="18"/>
      <c r="Q1798" s="34"/>
      <c r="R1798" s="18"/>
      <c r="S1798" s="18"/>
      <c r="T1798" s="19" t="s">
        <v>1818</v>
      </c>
      <c r="U1798" s="9" t="str">
        <f t="shared" si="1"/>
        <v>NSE:GLOBAL</v>
      </c>
      <c r="V1798" s="18"/>
      <c r="W1798" s="18"/>
      <c r="X1798" s="18"/>
    </row>
    <row r="1799">
      <c r="A1799" s="20"/>
      <c r="B1799" s="3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35"/>
      <c r="N1799" s="18"/>
      <c r="O1799" s="18"/>
      <c r="P1799" s="18"/>
      <c r="Q1799" s="34"/>
      <c r="R1799" s="18"/>
      <c r="S1799" s="18"/>
      <c r="T1799" s="19" t="s">
        <v>1819</v>
      </c>
      <c r="U1799" s="9" t="str">
        <f t="shared" si="1"/>
        <v>NSE:MUKTAARTS</v>
      </c>
      <c r="V1799" s="18"/>
      <c r="W1799" s="18"/>
      <c r="X1799" s="18"/>
    </row>
    <row r="1800">
      <c r="A1800" s="20"/>
      <c r="B1800" s="3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35"/>
      <c r="N1800" s="18"/>
      <c r="O1800" s="18"/>
      <c r="P1800" s="18"/>
      <c r="Q1800" s="34"/>
      <c r="R1800" s="18"/>
      <c r="S1800" s="18"/>
      <c r="T1800" s="19" t="s">
        <v>1820</v>
      </c>
      <c r="U1800" s="9" t="str">
        <f t="shared" si="1"/>
        <v>NSE:NIFTYBETF</v>
      </c>
      <c r="V1800" s="18"/>
      <c r="W1800" s="18"/>
      <c r="X1800" s="18"/>
    </row>
    <row r="1801">
      <c r="A1801" s="20"/>
      <c r="B1801" s="3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35"/>
      <c r="N1801" s="18"/>
      <c r="O1801" s="18"/>
      <c r="P1801" s="18"/>
      <c r="Q1801" s="34"/>
      <c r="R1801" s="18"/>
      <c r="S1801" s="18"/>
      <c r="T1801" s="19" t="s">
        <v>1821</v>
      </c>
      <c r="U1801" s="9" t="str">
        <f t="shared" si="1"/>
        <v>NSE:HEXATRADEX</v>
      </c>
      <c r="V1801" s="18"/>
      <c r="W1801" s="18"/>
      <c r="X1801" s="18"/>
    </row>
    <row r="1802">
      <c r="A1802" s="20"/>
      <c r="B1802" s="3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35"/>
      <c r="N1802" s="18"/>
      <c r="O1802" s="18"/>
      <c r="P1802" s="18"/>
      <c r="Q1802" s="34"/>
      <c r="R1802" s="18"/>
      <c r="S1802" s="18"/>
      <c r="T1802" s="19" t="s">
        <v>1822</v>
      </c>
      <c r="U1802" s="9" t="str">
        <f t="shared" si="1"/>
        <v>NSE:CORALFINAC</v>
      </c>
      <c r="V1802" s="18"/>
      <c r="W1802" s="18"/>
      <c r="X1802" s="18"/>
    </row>
    <row r="1803">
      <c r="A1803" s="20"/>
      <c r="B1803" s="3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35"/>
      <c r="N1803" s="18"/>
      <c r="O1803" s="18"/>
      <c r="P1803" s="18"/>
      <c r="Q1803" s="34"/>
      <c r="R1803" s="18"/>
      <c r="S1803" s="18"/>
      <c r="T1803" s="19" t="s">
        <v>1823</v>
      </c>
      <c r="U1803" s="9" t="str">
        <f t="shared" si="1"/>
        <v>NSE:HISARMETAL</v>
      </c>
      <c r="V1803" s="18"/>
      <c r="W1803" s="18"/>
      <c r="X1803" s="18"/>
    </row>
    <row r="1804">
      <c r="A1804" s="20"/>
      <c r="B1804" s="3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35"/>
      <c r="N1804" s="18"/>
      <c r="O1804" s="18"/>
      <c r="P1804" s="18"/>
      <c r="Q1804" s="34"/>
      <c r="R1804" s="18"/>
      <c r="S1804" s="18"/>
      <c r="T1804" s="19" t="s">
        <v>1824</v>
      </c>
      <c r="U1804" s="9" t="str">
        <f t="shared" si="1"/>
        <v>NSE:BALPHARMA</v>
      </c>
      <c r="V1804" s="18"/>
      <c r="W1804" s="18"/>
      <c r="X1804" s="18"/>
    </row>
    <row r="1805">
      <c r="A1805" s="20"/>
      <c r="B1805" s="3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35"/>
      <c r="N1805" s="18"/>
      <c r="O1805" s="18"/>
      <c r="P1805" s="18"/>
      <c r="Q1805" s="34"/>
      <c r="R1805" s="18"/>
      <c r="S1805" s="18"/>
      <c r="T1805" s="19" t="s">
        <v>1825</v>
      </c>
      <c r="U1805" s="9" t="str">
        <f t="shared" si="1"/>
        <v>NSE:BSHSL</v>
      </c>
      <c r="V1805" s="18"/>
      <c r="W1805" s="18"/>
      <c r="X1805" s="18"/>
    </row>
    <row r="1806">
      <c r="A1806" s="20"/>
      <c r="B1806" s="3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35"/>
      <c r="N1806" s="18"/>
      <c r="O1806" s="18"/>
      <c r="P1806" s="18"/>
      <c r="Q1806" s="34"/>
      <c r="R1806" s="18"/>
      <c r="S1806" s="18"/>
      <c r="T1806" s="19" t="s">
        <v>1826</v>
      </c>
      <c r="U1806" s="9" t="str">
        <f t="shared" si="1"/>
        <v>NSE:BALKRISHNA</v>
      </c>
      <c r="V1806" s="18"/>
      <c r="W1806" s="18"/>
      <c r="X1806" s="18"/>
    </row>
    <row r="1807">
      <c r="A1807" s="20"/>
      <c r="B1807" s="3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35"/>
      <c r="N1807" s="18"/>
      <c r="O1807" s="18"/>
      <c r="P1807" s="18"/>
      <c r="Q1807" s="34"/>
      <c r="R1807" s="18"/>
      <c r="S1807" s="18"/>
      <c r="T1807" s="19" t="s">
        <v>1827</v>
      </c>
      <c r="U1807" s="9" t="str">
        <f t="shared" si="1"/>
        <v>NSE:PEARLPOLY</v>
      </c>
      <c r="V1807" s="18"/>
      <c r="W1807" s="18"/>
      <c r="X1807" s="18"/>
    </row>
    <row r="1808">
      <c r="A1808" s="20"/>
      <c r="B1808" s="3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35"/>
      <c r="N1808" s="18"/>
      <c r="O1808" s="18"/>
      <c r="P1808" s="18"/>
      <c r="Q1808" s="34"/>
      <c r="R1808" s="18"/>
      <c r="S1808" s="18"/>
      <c r="T1808" s="19" t="s">
        <v>1828</v>
      </c>
      <c r="U1808" s="9" t="str">
        <f t="shared" si="1"/>
        <v>NSE:PRAKASHSTL</v>
      </c>
      <c r="V1808" s="18"/>
      <c r="W1808" s="18"/>
      <c r="X1808" s="18"/>
    </row>
    <row r="1809">
      <c r="A1809" s="20"/>
      <c r="B1809" s="3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35"/>
      <c r="N1809" s="18"/>
      <c r="O1809" s="18"/>
      <c r="P1809" s="18"/>
      <c r="Q1809" s="34"/>
      <c r="R1809" s="18"/>
      <c r="S1809" s="18"/>
      <c r="T1809" s="19" t="s">
        <v>1829</v>
      </c>
      <c r="U1809" s="9" t="str">
        <f t="shared" si="1"/>
        <v>NSE:AARVI</v>
      </c>
      <c r="V1809" s="18"/>
      <c r="W1809" s="18"/>
      <c r="X1809" s="18"/>
    </row>
    <row r="1810">
      <c r="A1810" s="20"/>
      <c r="B1810" s="3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35"/>
      <c r="N1810" s="18"/>
      <c r="O1810" s="18"/>
      <c r="P1810" s="18"/>
      <c r="Q1810" s="34"/>
      <c r="R1810" s="18"/>
      <c r="S1810" s="18"/>
      <c r="T1810" s="19" t="s">
        <v>1830</v>
      </c>
      <c r="U1810" s="9" t="str">
        <f t="shared" si="1"/>
        <v>NSE:ANIKINDS</v>
      </c>
      <c r="V1810" s="18"/>
      <c r="W1810" s="18"/>
      <c r="X1810" s="18"/>
    </row>
    <row r="1811">
      <c r="A1811" s="20"/>
      <c r="B1811" s="3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35"/>
      <c r="N1811" s="18"/>
      <c r="O1811" s="18"/>
      <c r="P1811" s="18"/>
      <c r="Q1811" s="34"/>
      <c r="R1811" s="18"/>
      <c r="S1811" s="18"/>
      <c r="T1811" s="19" t="s">
        <v>1831</v>
      </c>
      <c r="U1811" s="9" t="str">
        <f t="shared" si="1"/>
        <v>NSE:GOKUL</v>
      </c>
      <c r="V1811" s="18"/>
      <c r="W1811" s="18"/>
      <c r="X1811" s="18"/>
    </row>
    <row r="1812">
      <c r="A1812" s="20"/>
      <c r="B1812" s="3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35"/>
      <c r="N1812" s="18"/>
      <c r="O1812" s="18"/>
      <c r="P1812" s="18"/>
      <c r="Q1812" s="34"/>
      <c r="R1812" s="18"/>
      <c r="S1812" s="18"/>
      <c r="T1812" s="19" t="s">
        <v>1832</v>
      </c>
      <c r="U1812" s="9" t="str">
        <f t="shared" si="1"/>
        <v>NSE:PTL</v>
      </c>
      <c r="V1812" s="18"/>
      <c r="W1812" s="18"/>
      <c r="X1812" s="18"/>
    </row>
    <row r="1813">
      <c r="A1813" s="20"/>
      <c r="B1813" s="3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35"/>
      <c r="N1813" s="18"/>
      <c r="O1813" s="18"/>
      <c r="P1813" s="18"/>
      <c r="Q1813" s="34"/>
      <c r="R1813" s="18"/>
      <c r="S1813" s="18"/>
      <c r="T1813" s="19" t="s">
        <v>1833</v>
      </c>
      <c r="U1813" s="9" t="str">
        <f t="shared" si="1"/>
        <v>NSE:BIOFILCHEM</v>
      </c>
      <c r="V1813" s="18"/>
      <c r="W1813" s="18"/>
      <c r="X1813" s="18"/>
    </row>
    <row r="1814">
      <c r="A1814" s="20"/>
      <c r="B1814" s="3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35"/>
      <c r="N1814" s="18"/>
      <c r="O1814" s="18"/>
      <c r="P1814" s="18"/>
      <c r="Q1814" s="34"/>
      <c r="R1814" s="18"/>
      <c r="S1814" s="18"/>
      <c r="T1814" s="19" t="s">
        <v>1834</v>
      </c>
      <c r="U1814" s="9" t="str">
        <f t="shared" si="1"/>
        <v>NSE:CENTEXT</v>
      </c>
      <c r="V1814" s="18"/>
      <c r="W1814" s="18"/>
      <c r="X1814" s="18"/>
    </row>
    <row r="1815">
      <c r="A1815" s="20"/>
      <c r="B1815" s="3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35"/>
      <c r="N1815" s="18"/>
      <c r="O1815" s="18"/>
      <c r="P1815" s="18"/>
      <c r="Q1815" s="34"/>
      <c r="R1815" s="18"/>
      <c r="S1815" s="18"/>
      <c r="T1815" s="19" t="s">
        <v>1835</v>
      </c>
      <c r="U1815" s="9" t="str">
        <f t="shared" si="1"/>
        <v>NSE:MAHAPEXLTD</v>
      </c>
      <c r="V1815" s="18"/>
      <c r="W1815" s="18"/>
      <c r="X1815" s="18"/>
    </row>
    <row r="1816">
      <c r="A1816" s="20"/>
      <c r="B1816" s="3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35"/>
      <c r="N1816" s="18"/>
      <c r="O1816" s="18"/>
      <c r="P1816" s="18"/>
      <c r="Q1816" s="34"/>
      <c r="R1816" s="18"/>
      <c r="S1816" s="18"/>
      <c r="T1816" s="19" t="s">
        <v>1836</v>
      </c>
      <c r="U1816" s="9" t="str">
        <f t="shared" si="1"/>
        <v>NSE:SIGIND</v>
      </c>
      <c r="V1816" s="18"/>
      <c r="W1816" s="18"/>
      <c r="X1816" s="18"/>
    </row>
    <row r="1817">
      <c r="A1817" s="20"/>
      <c r="B1817" s="3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35"/>
      <c r="N1817" s="18"/>
      <c r="O1817" s="18"/>
      <c r="P1817" s="18"/>
      <c r="Q1817" s="34"/>
      <c r="R1817" s="18"/>
      <c r="S1817" s="18"/>
      <c r="T1817" s="19" t="s">
        <v>1837</v>
      </c>
      <c r="U1817" s="9" t="str">
        <f t="shared" si="1"/>
        <v>NSE:THEINVEST</v>
      </c>
      <c r="V1817" s="18"/>
      <c r="W1817" s="18"/>
      <c r="X1817" s="18"/>
    </row>
    <row r="1818">
      <c r="A1818" s="20"/>
      <c r="B1818" s="3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35"/>
      <c r="N1818" s="18"/>
      <c r="O1818" s="18"/>
      <c r="P1818" s="18"/>
      <c r="Q1818" s="34"/>
      <c r="R1818" s="18"/>
      <c r="S1818" s="18"/>
      <c r="T1818" s="19" t="s">
        <v>1838</v>
      </c>
      <c r="U1818" s="9" t="str">
        <f t="shared" si="1"/>
        <v>NSE:NDLVENTURE</v>
      </c>
      <c r="V1818" s="18"/>
      <c r="W1818" s="18"/>
      <c r="X1818" s="18"/>
    </row>
    <row r="1819">
      <c r="A1819" s="20"/>
      <c r="B1819" s="3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35"/>
      <c r="N1819" s="18"/>
      <c r="O1819" s="18"/>
      <c r="P1819" s="18"/>
      <c r="Q1819" s="34"/>
      <c r="R1819" s="18"/>
      <c r="S1819" s="18"/>
      <c r="T1819" s="19" t="s">
        <v>1839</v>
      </c>
      <c r="U1819" s="9" t="str">
        <f t="shared" si="1"/>
        <v>NSE:NPBET</v>
      </c>
      <c r="V1819" s="18"/>
      <c r="W1819" s="18"/>
      <c r="X1819" s="18"/>
    </row>
    <row r="1820">
      <c r="A1820" s="20"/>
      <c r="B1820" s="3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35"/>
      <c r="N1820" s="18"/>
      <c r="O1820" s="18"/>
      <c r="P1820" s="18"/>
      <c r="Q1820" s="34"/>
      <c r="R1820" s="18"/>
      <c r="S1820" s="18"/>
      <c r="T1820" s="19" t="s">
        <v>1840</v>
      </c>
      <c r="U1820" s="9" t="str">
        <f t="shared" si="1"/>
        <v>NSE:SAHYADRI</v>
      </c>
      <c r="V1820" s="18"/>
      <c r="W1820" s="18"/>
      <c r="X1820" s="18"/>
    </row>
    <row r="1821">
      <c r="A1821" s="20"/>
      <c r="B1821" s="3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35"/>
      <c r="N1821" s="18"/>
      <c r="O1821" s="18"/>
      <c r="P1821" s="18"/>
      <c r="Q1821" s="34"/>
      <c r="R1821" s="18"/>
      <c r="S1821" s="18"/>
      <c r="T1821" s="19" t="s">
        <v>1841</v>
      </c>
      <c r="U1821" s="9" t="str">
        <f t="shared" si="1"/>
        <v>NSE:IVZINGOLD</v>
      </c>
      <c r="V1821" s="18"/>
      <c r="W1821" s="18"/>
      <c r="X1821" s="18"/>
    </row>
    <row r="1822">
      <c r="A1822" s="20"/>
      <c r="B1822" s="3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35"/>
      <c r="N1822" s="18"/>
      <c r="O1822" s="18"/>
      <c r="P1822" s="18"/>
      <c r="Q1822" s="34"/>
      <c r="R1822" s="18"/>
      <c r="S1822" s="18"/>
      <c r="T1822" s="19" t="s">
        <v>1842</v>
      </c>
      <c r="U1822" s="9" t="str">
        <f t="shared" si="1"/>
        <v>NSE:UYFINCORP</v>
      </c>
      <c r="V1822" s="18"/>
      <c r="W1822" s="18"/>
      <c r="X1822" s="18"/>
    </row>
    <row r="1823">
      <c r="A1823" s="20"/>
      <c r="B1823" s="3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35"/>
      <c r="N1823" s="18"/>
      <c r="O1823" s="18"/>
      <c r="P1823" s="18"/>
      <c r="Q1823" s="34"/>
      <c r="R1823" s="18"/>
      <c r="S1823" s="18"/>
      <c r="T1823" s="19" t="s">
        <v>1843</v>
      </c>
      <c r="U1823" s="9" t="str">
        <f t="shared" si="1"/>
        <v>NSE:SEJALLTD</v>
      </c>
      <c r="V1823" s="18"/>
      <c r="W1823" s="18"/>
      <c r="X1823" s="18"/>
    </row>
    <row r="1824">
      <c r="A1824" s="20"/>
      <c r="B1824" s="3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35"/>
      <c r="N1824" s="18"/>
      <c r="O1824" s="18"/>
      <c r="P1824" s="18"/>
      <c r="Q1824" s="34"/>
      <c r="R1824" s="18"/>
      <c r="S1824" s="18"/>
      <c r="T1824" s="19" t="s">
        <v>1844</v>
      </c>
      <c r="U1824" s="9" t="str">
        <f t="shared" si="1"/>
        <v>NSE:WELINV</v>
      </c>
      <c r="V1824" s="18"/>
      <c r="W1824" s="18"/>
      <c r="X1824" s="18"/>
    </row>
    <row r="1825">
      <c r="A1825" s="20"/>
      <c r="B1825" s="3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35"/>
      <c r="N1825" s="18"/>
      <c r="O1825" s="18"/>
      <c r="P1825" s="18"/>
      <c r="Q1825" s="34"/>
      <c r="R1825" s="18"/>
      <c r="S1825" s="18"/>
      <c r="T1825" s="19" t="s">
        <v>1845</v>
      </c>
      <c r="U1825" s="9" t="str">
        <f t="shared" si="1"/>
        <v>NSE:HEALTHY</v>
      </c>
      <c r="V1825" s="18"/>
      <c r="W1825" s="18"/>
      <c r="X1825" s="18"/>
    </row>
    <row r="1826">
      <c r="A1826" s="20"/>
      <c r="B1826" s="3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35"/>
      <c r="N1826" s="18"/>
      <c r="O1826" s="18"/>
      <c r="P1826" s="18"/>
      <c r="Q1826" s="34"/>
      <c r="R1826" s="18"/>
      <c r="S1826" s="18"/>
      <c r="T1826" s="19" t="s">
        <v>1846</v>
      </c>
      <c r="U1826" s="9" t="str">
        <f t="shared" si="1"/>
        <v>NSE:BBTCL</v>
      </c>
      <c r="V1826" s="18"/>
      <c r="W1826" s="18"/>
      <c r="X1826" s="18"/>
    </row>
    <row r="1827">
      <c r="A1827" s="20"/>
      <c r="B1827" s="3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35"/>
      <c r="N1827" s="18"/>
      <c r="O1827" s="18"/>
      <c r="P1827" s="18"/>
      <c r="Q1827" s="34"/>
      <c r="R1827" s="18"/>
      <c r="S1827" s="18"/>
      <c r="T1827" s="19" t="s">
        <v>1847</v>
      </c>
      <c r="U1827" s="9" t="str">
        <f t="shared" si="1"/>
        <v>NSE:SECURKLOUD</v>
      </c>
      <c r="V1827" s="18"/>
      <c r="W1827" s="18"/>
      <c r="X1827" s="18"/>
    </row>
    <row r="1828">
      <c r="A1828" s="20"/>
      <c r="B1828" s="3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35"/>
      <c r="N1828" s="18"/>
      <c r="O1828" s="18"/>
      <c r="P1828" s="18"/>
      <c r="Q1828" s="34"/>
      <c r="R1828" s="18"/>
      <c r="S1828" s="18"/>
      <c r="T1828" s="19" t="s">
        <v>1848</v>
      </c>
      <c r="U1828" s="9" t="str">
        <f t="shared" si="1"/>
        <v>NSE:CONSUMER</v>
      </c>
      <c r="V1828" s="18"/>
      <c r="W1828" s="18"/>
      <c r="X1828" s="18"/>
    </row>
    <row r="1829">
      <c r="A1829" s="20"/>
      <c r="B1829" s="3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35"/>
      <c r="N1829" s="18"/>
      <c r="O1829" s="18"/>
      <c r="P1829" s="18"/>
      <c r="Q1829" s="34"/>
      <c r="R1829" s="18"/>
      <c r="S1829" s="18"/>
      <c r="T1829" s="19" t="s">
        <v>1849</v>
      </c>
      <c r="U1829" s="9" t="str">
        <f t="shared" si="1"/>
        <v>NSE:RELCHEMQ</v>
      </c>
      <c r="V1829" s="18"/>
      <c r="W1829" s="18"/>
      <c r="X1829" s="18"/>
    </row>
    <row r="1830">
      <c r="A1830" s="20"/>
      <c r="B1830" s="3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35"/>
      <c r="N1830" s="18"/>
      <c r="O1830" s="18"/>
      <c r="P1830" s="18"/>
      <c r="Q1830" s="34"/>
      <c r="R1830" s="18"/>
      <c r="S1830" s="18"/>
      <c r="T1830" s="19" t="s">
        <v>1850</v>
      </c>
      <c r="U1830" s="9" t="str">
        <f t="shared" si="1"/>
        <v>NSE:BLBLIMITED</v>
      </c>
      <c r="V1830" s="18"/>
      <c r="W1830" s="18"/>
      <c r="X1830" s="18"/>
    </row>
    <row r="1831">
      <c r="A1831" s="20"/>
      <c r="B1831" s="3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35"/>
      <c r="N1831" s="18"/>
      <c r="O1831" s="18"/>
      <c r="P1831" s="18"/>
      <c r="Q1831" s="34"/>
      <c r="R1831" s="18"/>
      <c r="S1831" s="18"/>
      <c r="T1831" s="19" t="s">
        <v>1851</v>
      </c>
      <c r="U1831" s="9" t="str">
        <f t="shared" si="1"/>
        <v>NSE:AROGRANITE</v>
      </c>
      <c r="V1831" s="18"/>
      <c r="W1831" s="18"/>
      <c r="X1831" s="18"/>
    </row>
    <row r="1832">
      <c r="A1832" s="20"/>
      <c r="B1832" s="3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35"/>
      <c r="N1832" s="18"/>
      <c r="O1832" s="18"/>
      <c r="P1832" s="18"/>
      <c r="Q1832" s="34"/>
      <c r="R1832" s="18"/>
      <c r="S1832" s="18"/>
      <c r="T1832" s="19" t="s">
        <v>1852</v>
      </c>
      <c r="U1832" s="9" t="str">
        <f t="shared" si="1"/>
        <v>NSE:SILINV</v>
      </c>
      <c r="V1832" s="18"/>
      <c r="W1832" s="18"/>
      <c r="X1832" s="18"/>
    </row>
    <row r="1833">
      <c r="A1833" s="20"/>
      <c r="B1833" s="3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35"/>
      <c r="N1833" s="18"/>
      <c r="O1833" s="18"/>
      <c r="P1833" s="18"/>
      <c r="Q1833" s="34"/>
      <c r="R1833" s="18"/>
      <c r="S1833" s="18"/>
      <c r="T1833" s="19" t="s">
        <v>1853</v>
      </c>
      <c r="U1833" s="9" t="str">
        <f t="shared" si="1"/>
        <v>NSE:PPAP</v>
      </c>
      <c r="V1833" s="18"/>
      <c r="W1833" s="18"/>
      <c r="X1833" s="18"/>
    </row>
    <row r="1834">
      <c r="A1834" s="20"/>
      <c r="B1834" s="3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35"/>
      <c r="N1834" s="18"/>
      <c r="O1834" s="18"/>
      <c r="P1834" s="18"/>
      <c r="Q1834" s="34"/>
      <c r="R1834" s="18"/>
      <c r="S1834" s="18"/>
      <c r="T1834" s="19" t="s">
        <v>1854</v>
      </c>
      <c r="U1834" s="9" t="str">
        <f t="shared" si="1"/>
        <v>NSE:BVCL</v>
      </c>
      <c r="V1834" s="18"/>
      <c r="W1834" s="18"/>
      <c r="X1834" s="18"/>
    </row>
    <row r="1835">
      <c r="A1835" s="20"/>
      <c r="B1835" s="3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35"/>
      <c r="N1835" s="18"/>
      <c r="O1835" s="18"/>
      <c r="P1835" s="18"/>
      <c r="Q1835" s="34"/>
      <c r="R1835" s="18"/>
      <c r="S1835" s="18"/>
      <c r="T1835" s="19" t="s">
        <v>1855</v>
      </c>
      <c r="U1835" s="9" t="str">
        <f t="shared" si="1"/>
        <v>NSE:BRNL</v>
      </c>
      <c r="V1835" s="18"/>
      <c r="W1835" s="18"/>
      <c r="X1835" s="18"/>
    </row>
    <row r="1836">
      <c r="A1836" s="20"/>
      <c r="B1836" s="3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35"/>
      <c r="N1836" s="18"/>
      <c r="O1836" s="18"/>
      <c r="P1836" s="18"/>
      <c r="Q1836" s="34"/>
      <c r="R1836" s="18"/>
      <c r="S1836" s="18"/>
      <c r="T1836" s="19" t="s">
        <v>1856</v>
      </c>
      <c r="U1836" s="9" t="str">
        <f t="shared" si="1"/>
        <v>NSE:KANPRPLA</v>
      </c>
      <c r="V1836" s="18"/>
      <c r="W1836" s="18"/>
      <c r="X1836" s="18"/>
    </row>
    <row r="1837">
      <c r="A1837" s="20"/>
      <c r="B1837" s="3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35"/>
      <c r="N1837" s="18"/>
      <c r="O1837" s="18"/>
      <c r="P1837" s="18"/>
      <c r="Q1837" s="34"/>
      <c r="R1837" s="18"/>
      <c r="S1837" s="18"/>
      <c r="T1837" s="19" t="s">
        <v>1857</v>
      </c>
      <c r="U1837" s="9" t="str">
        <f t="shared" si="1"/>
        <v>NSE:NIFTYQLITY</v>
      </c>
      <c r="V1837" s="18"/>
      <c r="W1837" s="18"/>
      <c r="X1837" s="18"/>
    </row>
    <row r="1838">
      <c r="A1838" s="20"/>
      <c r="B1838" s="3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35"/>
      <c r="N1838" s="18"/>
      <c r="O1838" s="18"/>
      <c r="P1838" s="18"/>
      <c r="Q1838" s="34"/>
      <c r="R1838" s="18"/>
      <c r="S1838" s="18"/>
      <c r="T1838" s="19" t="s">
        <v>1858</v>
      </c>
      <c r="U1838" s="9" t="str">
        <f t="shared" si="1"/>
        <v>NSE:ABSLPSE</v>
      </c>
      <c r="V1838" s="18"/>
      <c r="W1838" s="18"/>
      <c r="X1838" s="18"/>
    </row>
    <row r="1839">
      <c r="A1839" s="20"/>
      <c r="B1839" s="3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35"/>
      <c r="N1839" s="18"/>
      <c r="O1839" s="18"/>
      <c r="P1839" s="18"/>
      <c r="Q1839" s="34"/>
      <c r="R1839" s="18"/>
      <c r="S1839" s="18"/>
      <c r="T1839" s="19" t="s">
        <v>1859</v>
      </c>
      <c r="U1839" s="9" t="str">
        <f t="shared" si="1"/>
        <v>NSE:SHAHALLOYS</v>
      </c>
      <c r="V1839" s="18"/>
      <c r="W1839" s="18"/>
      <c r="X1839" s="18"/>
    </row>
    <row r="1840">
      <c r="A1840" s="20"/>
      <c r="B1840" s="3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35"/>
      <c r="N1840" s="18"/>
      <c r="O1840" s="18"/>
      <c r="P1840" s="18"/>
      <c r="Q1840" s="34"/>
      <c r="R1840" s="18"/>
      <c r="S1840" s="18"/>
      <c r="T1840" s="19" t="s">
        <v>1860</v>
      </c>
      <c r="U1840" s="9" t="str">
        <f t="shared" si="1"/>
        <v>NSE:RAMAPHO</v>
      </c>
      <c r="V1840" s="18"/>
      <c r="W1840" s="18"/>
      <c r="X1840" s="18"/>
    </row>
    <row r="1841">
      <c r="A1841" s="20"/>
      <c r="B1841" s="3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35"/>
      <c r="N1841" s="18"/>
      <c r="O1841" s="18"/>
      <c r="P1841" s="18"/>
      <c r="Q1841" s="34"/>
      <c r="R1841" s="18"/>
      <c r="S1841" s="18"/>
      <c r="T1841" s="19" t="s">
        <v>1861</v>
      </c>
      <c r="U1841" s="9" t="str">
        <f t="shared" si="1"/>
        <v>NSE:SHIVATEX</v>
      </c>
      <c r="V1841" s="18"/>
      <c r="W1841" s="18"/>
      <c r="X1841" s="18"/>
    </row>
    <row r="1842">
      <c r="A1842" s="20"/>
      <c r="B1842" s="3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35"/>
      <c r="N1842" s="18"/>
      <c r="O1842" s="18"/>
      <c r="P1842" s="18"/>
      <c r="Q1842" s="34"/>
      <c r="R1842" s="18"/>
      <c r="S1842" s="18"/>
      <c r="T1842" s="19" t="s">
        <v>1862</v>
      </c>
      <c r="U1842" s="9" t="str">
        <f t="shared" si="1"/>
        <v>NSE:SHRENIK</v>
      </c>
      <c r="V1842" s="18"/>
      <c r="W1842" s="18"/>
      <c r="X1842" s="18"/>
    </row>
    <row r="1843">
      <c r="A1843" s="20"/>
      <c r="B1843" s="3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35"/>
      <c r="N1843" s="18"/>
      <c r="O1843" s="18"/>
      <c r="P1843" s="18"/>
      <c r="Q1843" s="34"/>
      <c r="R1843" s="18"/>
      <c r="S1843" s="18"/>
      <c r="T1843" s="19" t="s">
        <v>1863</v>
      </c>
      <c r="U1843" s="9" t="str">
        <f t="shared" si="1"/>
        <v>NSE:AMJLAND</v>
      </c>
      <c r="V1843" s="18"/>
      <c r="W1843" s="18"/>
      <c r="X1843" s="18"/>
    </row>
    <row r="1844">
      <c r="A1844" s="20"/>
      <c r="B1844" s="3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35"/>
      <c r="N1844" s="18"/>
      <c r="O1844" s="18"/>
      <c r="P1844" s="18"/>
      <c r="Q1844" s="34"/>
      <c r="R1844" s="18"/>
      <c r="S1844" s="18"/>
      <c r="T1844" s="19" t="s">
        <v>1864</v>
      </c>
      <c r="U1844" s="9" t="str">
        <f t="shared" si="1"/>
        <v>NSE:DANGEE</v>
      </c>
      <c r="V1844" s="18"/>
      <c r="W1844" s="18"/>
      <c r="X1844" s="18"/>
    </row>
    <row r="1845">
      <c r="A1845" s="20"/>
      <c r="B1845" s="3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35"/>
      <c r="N1845" s="18"/>
      <c r="O1845" s="18"/>
      <c r="P1845" s="18"/>
      <c r="Q1845" s="34"/>
      <c r="R1845" s="18"/>
      <c r="S1845" s="18"/>
      <c r="T1845" s="19" t="s">
        <v>1865</v>
      </c>
      <c r="U1845" s="9" t="str">
        <f t="shared" si="1"/>
        <v>NSE:MANOMAY</v>
      </c>
      <c r="V1845" s="18"/>
      <c r="W1845" s="18"/>
      <c r="X1845" s="18"/>
    </row>
    <row r="1846">
      <c r="A1846" s="20"/>
      <c r="B1846" s="3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35"/>
      <c r="N1846" s="18"/>
      <c r="O1846" s="18"/>
      <c r="P1846" s="18"/>
      <c r="Q1846" s="34"/>
      <c r="R1846" s="18"/>
      <c r="S1846" s="18"/>
      <c r="T1846" s="19" t="s">
        <v>1866</v>
      </c>
      <c r="U1846" s="9" t="str">
        <f t="shared" si="1"/>
        <v>NSE:MALUPAPER</v>
      </c>
      <c r="V1846" s="18"/>
      <c r="W1846" s="18"/>
      <c r="X1846" s="18"/>
    </row>
    <row r="1847">
      <c r="A1847" s="20"/>
      <c r="B1847" s="3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35"/>
      <c r="N1847" s="18"/>
      <c r="O1847" s="18"/>
      <c r="P1847" s="18"/>
      <c r="Q1847" s="34"/>
      <c r="R1847" s="18"/>
      <c r="S1847" s="18"/>
      <c r="T1847" s="19" t="s">
        <v>1867</v>
      </c>
      <c r="U1847" s="9" t="str">
        <f t="shared" si="1"/>
        <v>NSE:AGROPHOS</v>
      </c>
      <c r="V1847" s="18"/>
      <c r="W1847" s="18"/>
      <c r="X1847" s="18"/>
    </row>
    <row r="1848">
      <c r="A1848" s="20"/>
      <c r="B1848" s="3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35"/>
      <c r="N1848" s="18"/>
      <c r="O1848" s="18"/>
      <c r="P1848" s="18"/>
      <c r="Q1848" s="34"/>
      <c r="R1848" s="18"/>
      <c r="S1848" s="18"/>
      <c r="T1848" s="19" t="s">
        <v>1868</v>
      </c>
      <c r="U1848" s="9" t="str">
        <f t="shared" si="1"/>
        <v>NSE:HINDCOMPOS</v>
      </c>
      <c r="V1848" s="18"/>
      <c r="W1848" s="18"/>
      <c r="X1848" s="18"/>
    </row>
    <row r="1849">
      <c r="A1849" s="20"/>
      <c r="B1849" s="3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35"/>
      <c r="N1849" s="18"/>
      <c r="O1849" s="18"/>
      <c r="P1849" s="18"/>
      <c r="Q1849" s="34"/>
      <c r="R1849" s="18"/>
      <c r="S1849" s="18"/>
      <c r="T1849" s="19" t="s">
        <v>1869</v>
      </c>
      <c r="U1849" s="9" t="str">
        <f t="shared" si="1"/>
        <v>NSE:UNITEDTEA</v>
      </c>
      <c r="V1849" s="18"/>
      <c r="W1849" s="18"/>
      <c r="X1849" s="18"/>
    </row>
    <row r="1850">
      <c r="A1850" s="20"/>
      <c r="B1850" s="3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35"/>
      <c r="N1850" s="18"/>
      <c r="O1850" s="18"/>
      <c r="P1850" s="18"/>
      <c r="Q1850" s="34"/>
      <c r="R1850" s="18"/>
      <c r="S1850" s="18"/>
      <c r="T1850" s="19" t="s">
        <v>1870</v>
      </c>
      <c r="U1850" s="9" t="str">
        <f t="shared" si="1"/>
        <v>NSE:PARASPETRO</v>
      </c>
      <c r="V1850" s="18"/>
      <c r="W1850" s="18"/>
      <c r="X1850" s="18"/>
    </row>
    <row r="1851">
      <c r="A1851" s="20"/>
      <c r="B1851" s="3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35"/>
      <c r="N1851" s="18"/>
      <c r="O1851" s="18"/>
      <c r="P1851" s="18"/>
      <c r="Q1851" s="34"/>
      <c r="R1851" s="18"/>
      <c r="S1851" s="18"/>
      <c r="T1851" s="19" t="s">
        <v>1871</v>
      </c>
      <c r="U1851" s="9" t="str">
        <f t="shared" si="1"/>
        <v>NSE:EQUAL50ADD</v>
      </c>
      <c r="V1851" s="18"/>
      <c r="W1851" s="18"/>
      <c r="X1851" s="18"/>
    </row>
    <row r="1852">
      <c r="A1852" s="20"/>
      <c r="B1852" s="3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35"/>
      <c r="N1852" s="18"/>
      <c r="O1852" s="18"/>
      <c r="P1852" s="18"/>
      <c r="Q1852" s="34"/>
      <c r="R1852" s="18"/>
      <c r="S1852" s="18"/>
      <c r="T1852" s="19" t="s">
        <v>1872</v>
      </c>
      <c r="U1852" s="9" t="str">
        <f t="shared" si="1"/>
        <v>NSE:HDFCPVTBAN</v>
      </c>
      <c r="V1852" s="18"/>
      <c r="W1852" s="18"/>
      <c r="X1852" s="18"/>
    </row>
    <row r="1853">
      <c r="A1853" s="20"/>
      <c r="B1853" s="3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35"/>
      <c r="N1853" s="18"/>
      <c r="O1853" s="18"/>
      <c r="P1853" s="18"/>
      <c r="Q1853" s="34"/>
      <c r="R1853" s="18"/>
      <c r="S1853" s="18"/>
      <c r="T1853" s="19" t="s">
        <v>1873</v>
      </c>
      <c r="U1853" s="9" t="str">
        <f t="shared" si="1"/>
        <v>NSE:MOMENTUM</v>
      </c>
      <c r="V1853" s="18"/>
      <c r="W1853" s="18"/>
      <c r="X1853" s="18"/>
    </row>
    <row r="1854">
      <c r="A1854" s="20"/>
      <c r="B1854" s="3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35"/>
      <c r="N1854" s="18"/>
      <c r="O1854" s="18"/>
      <c r="P1854" s="18"/>
      <c r="Q1854" s="34"/>
      <c r="R1854" s="18"/>
      <c r="S1854" s="18"/>
      <c r="T1854" s="19" t="s">
        <v>1874</v>
      </c>
      <c r="U1854" s="9" t="str">
        <f t="shared" si="1"/>
        <v>NSE:GANGAFORGE</v>
      </c>
      <c r="V1854" s="18"/>
      <c r="W1854" s="18"/>
      <c r="X1854" s="18"/>
    </row>
    <row r="1855">
      <c r="A1855" s="20"/>
      <c r="B1855" s="3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35"/>
      <c r="N1855" s="18"/>
      <c r="O1855" s="18"/>
      <c r="P1855" s="18"/>
      <c r="Q1855" s="34"/>
      <c r="R1855" s="18"/>
      <c r="S1855" s="18"/>
      <c r="T1855" s="19" t="s">
        <v>1875</v>
      </c>
      <c r="U1855" s="9" t="str">
        <f t="shared" si="1"/>
        <v>NSE:GEECEE</v>
      </c>
      <c r="V1855" s="18"/>
      <c r="W1855" s="18"/>
      <c r="X1855" s="18"/>
    </row>
    <row r="1856">
      <c r="A1856" s="20"/>
      <c r="B1856" s="3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35"/>
      <c r="N1856" s="18"/>
      <c r="O1856" s="18"/>
      <c r="P1856" s="18"/>
      <c r="Q1856" s="34"/>
      <c r="R1856" s="18"/>
      <c r="S1856" s="18"/>
      <c r="T1856" s="19" t="s">
        <v>1876</v>
      </c>
      <c r="U1856" s="9" t="str">
        <f t="shared" si="1"/>
        <v>NSE:NAGREEKEXP</v>
      </c>
      <c r="V1856" s="18"/>
      <c r="W1856" s="18"/>
      <c r="X1856" s="18"/>
    </row>
    <row r="1857">
      <c r="A1857" s="20"/>
      <c r="B1857" s="3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35"/>
      <c r="N1857" s="18"/>
      <c r="O1857" s="18"/>
      <c r="P1857" s="18"/>
      <c r="Q1857" s="34"/>
      <c r="R1857" s="18"/>
      <c r="S1857" s="18"/>
      <c r="T1857" s="19" t="s">
        <v>1877</v>
      </c>
      <c r="U1857" s="9" t="str">
        <f t="shared" si="1"/>
        <v>NSE:HDFCNIF100</v>
      </c>
      <c r="V1857" s="18"/>
      <c r="W1857" s="18"/>
      <c r="X1857" s="18"/>
    </row>
    <row r="1858">
      <c r="A1858" s="20"/>
      <c r="B1858" s="3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35"/>
      <c r="N1858" s="18"/>
      <c r="O1858" s="18"/>
      <c r="P1858" s="18"/>
      <c r="Q1858" s="34"/>
      <c r="R1858" s="18"/>
      <c r="S1858" s="18"/>
      <c r="T1858" s="19" t="s">
        <v>1878</v>
      </c>
      <c r="U1858" s="9" t="str">
        <f t="shared" si="1"/>
        <v>NSE:LAGNAM</v>
      </c>
      <c r="V1858" s="18"/>
      <c r="W1858" s="18"/>
      <c r="X1858" s="18"/>
    </row>
    <row r="1859">
      <c r="A1859" s="20"/>
      <c r="B1859" s="3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35"/>
      <c r="N1859" s="18"/>
      <c r="O1859" s="18"/>
      <c r="P1859" s="18"/>
      <c r="Q1859" s="34"/>
      <c r="R1859" s="18"/>
      <c r="S1859" s="18"/>
      <c r="T1859" s="19" t="s">
        <v>1879</v>
      </c>
      <c r="U1859" s="9" t="str">
        <f t="shared" si="1"/>
        <v>NSE:LEXUS</v>
      </c>
      <c r="V1859" s="18"/>
      <c r="W1859" s="18"/>
      <c r="X1859" s="18"/>
    </row>
    <row r="1860">
      <c r="A1860" s="20"/>
      <c r="B1860" s="3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35"/>
      <c r="N1860" s="18"/>
      <c r="O1860" s="18"/>
      <c r="P1860" s="18"/>
      <c r="Q1860" s="34"/>
      <c r="R1860" s="18"/>
      <c r="S1860" s="18"/>
      <c r="T1860" s="19" t="s">
        <v>1880</v>
      </c>
      <c r="U1860" s="9" t="str">
        <f t="shared" si="1"/>
        <v>NSE:PALASHSECU</v>
      </c>
      <c r="V1860" s="18"/>
      <c r="W1860" s="18"/>
      <c r="X1860" s="18"/>
    </row>
    <row r="1861">
      <c r="A1861" s="20"/>
      <c r="B1861" s="3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35"/>
      <c r="N1861" s="18"/>
      <c r="O1861" s="18"/>
      <c r="P1861" s="18"/>
      <c r="Q1861" s="34"/>
      <c r="R1861" s="18"/>
      <c r="S1861" s="18"/>
      <c r="T1861" s="19" t="s">
        <v>1881</v>
      </c>
      <c r="U1861" s="9" t="str">
        <f t="shared" si="1"/>
        <v>NSE:ASTRON</v>
      </c>
      <c r="V1861" s="18"/>
      <c r="W1861" s="18"/>
      <c r="X1861" s="18"/>
    </row>
    <row r="1862">
      <c r="A1862" s="20"/>
      <c r="B1862" s="3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35"/>
      <c r="N1862" s="18"/>
      <c r="O1862" s="18"/>
      <c r="P1862" s="18"/>
      <c r="Q1862" s="34"/>
      <c r="R1862" s="18"/>
      <c r="S1862" s="18"/>
      <c r="T1862" s="19" t="s">
        <v>1882</v>
      </c>
      <c r="U1862" s="9" t="str">
        <f t="shared" si="1"/>
        <v>NSE:DTIL</v>
      </c>
      <c r="V1862" s="18"/>
      <c r="W1862" s="18"/>
      <c r="X1862" s="18"/>
    </row>
    <row r="1863">
      <c r="A1863" s="20"/>
      <c r="B1863" s="3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35"/>
      <c r="N1863" s="18"/>
      <c r="O1863" s="18"/>
      <c r="P1863" s="18"/>
      <c r="Q1863" s="34"/>
      <c r="R1863" s="18"/>
      <c r="S1863" s="18"/>
      <c r="T1863" s="19" t="s">
        <v>1883</v>
      </c>
      <c r="U1863" s="9" t="str">
        <f t="shared" si="1"/>
        <v>NSE:DCI</v>
      </c>
      <c r="V1863" s="18"/>
      <c r="W1863" s="18"/>
      <c r="X1863" s="18"/>
    </row>
    <row r="1864">
      <c r="A1864" s="20"/>
      <c r="B1864" s="3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35"/>
      <c r="N1864" s="18"/>
      <c r="O1864" s="18"/>
      <c r="P1864" s="18"/>
      <c r="Q1864" s="34"/>
      <c r="R1864" s="18"/>
      <c r="S1864" s="18"/>
      <c r="T1864" s="19" t="s">
        <v>1884</v>
      </c>
      <c r="U1864" s="9" t="str">
        <f t="shared" si="1"/>
        <v>NSE:VINEETLAB</v>
      </c>
      <c r="V1864" s="18"/>
      <c r="W1864" s="18"/>
      <c r="X1864" s="18"/>
    </row>
    <row r="1865">
      <c r="A1865" s="20"/>
      <c r="B1865" s="3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35"/>
      <c r="N1865" s="18"/>
      <c r="O1865" s="18"/>
      <c r="P1865" s="18"/>
      <c r="Q1865" s="34"/>
      <c r="R1865" s="18"/>
      <c r="S1865" s="18"/>
      <c r="T1865" s="19" t="s">
        <v>1885</v>
      </c>
      <c r="U1865" s="9" t="str">
        <f t="shared" si="1"/>
        <v>NSE:ZENITHSTL</v>
      </c>
      <c r="V1865" s="18"/>
      <c r="W1865" s="18"/>
      <c r="X1865" s="18"/>
    </row>
    <row r="1866">
      <c r="A1866" s="20"/>
      <c r="B1866" s="3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35"/>
      <c r="N1866" s="18"/>
      <c r="O1866" s="18"/>
      <c r="P1866" s="18"/>
      <c r="Q1866" s="34"/>
      <c r="R1866" s="18"/>
      <c r="S1866" s="18"/>
      <c r="T1866" s="19" t="s">
        <v>1886</v>
      </c>
      <c r="U1866" s="9" t="str">
        <f t="shared" si="1"/>
        <v>NSE:BEARDSELL</v>
      </c>
      <c r="V1866" s="18"/>
      <c r="W1866" s="18"/>
      <c r="X1866" s="18"/>
    </row>
    <row r="1867">
      <c r="A1867" s="20"/>
      <c r="B1867" s="3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35"/>
      <c r="N1867" s="18"/>
      <c r="O1867" s="18"/>
      <c r="P1867" s="18"/>
      <c r="Q1867" s="34"/>
      <c r="R1867" s="18"/>
      <c r="S1867" s="18"/>
      <c r="T1867" s="19" t="s">
        <v>1887</v>
      </c>
      <c r="U1867" s="9" t="str">
        <f t="shared" si="1"/>
        <v>NSE:MURUDCERA</v>
      </c>
      <c r="V1867" s="18"/>
      <c r="W1867" s="18"/>
      <c r="X1867" s="18"/>
    </row>
    <row r="1868">
      <c r="A1868" s="20"/>
      <c r="B1868" s="3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35"/>
      <c r="N1868" s="18"/>
      <c r="O1868" s="18"/>
      <c r="P1868" s="18"/>
      <c r="Q1868" s="34"/>
      <c r="R1868" s="18"/>
      <c r="S1868" s="18"/>
      <c r="T1868" s="19" t="s">
        <v>1888</v>
      </c>
      <c r="U1868" s="9" t="str">
        <f t="shared" si="1"/>
        <v>NSE:AMDIND</v>
      </c>
      <c r="V1868" s="18"/>
      <c r="W1868" s="18"/>
      <c r="X1868" s="18"/>
    </row>
    <row r="1869">
      <c r="A1869" s="20"/>
      <c r="B1869" s="3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35"/>
      <c r="N1869" s="18"/>
      <c r="O1869" s="18"/>
      <c r="P1869" s="18"/>
      <c r="Q1869" s="34"/>
      <c r="R1869" s="18"/>
      <c r="S1869" s="18"/>
      <c r="T1869" s="19" t="s">
        <v>1889</v>
      </c>
      <c r="U1869" s="9" t="str">
        <f t="shared" si="1"/>
        <v>NSE:OSWALSEEDS</v>
      </c>
      <c r="V1869" s="18"/>
      <c r="W1869" s="18"/>
      <c r="X1869" s="18"/>
    </row>
    <row r="1870">
      <c r="A1870" s="20"/>
      <c r="B1870" s="3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35"/>
      <c r="N1870" s="18"/>
      <c r="O1870" s="18"/>
      <c r="P1870" s="18"/>
      <c r="Q1870" s="34"/>
      <c r="R1870" s="18"/>
      <c r="S1870" s="18"/>
      <c r="T1870" s="19" t="s">
        <v>1890</v>
      </c>
      <c r="U1870" s="9" t="str">
        <f t="shared" si="1"/>
        <v>NSE:IITL</v>
      </c>
      <c r="V1870" s="18"/>
      <c r="W1870" s="18"/>
      <c r="X1870" s="18"/>
    </row>
    <row r="1871">
      <c r="A1871" s="20"/>
      <c r="B1871" s="3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35"/>
      <c r="N1871" s="18"/>
      <c r="O1871" s="18"/>
      <c r="P1871" s="18"/>
      <c r="Q1871" s="34"/>
      <c r="R1871" s="18"/>
      <c r="S1871" s="18"/>
      <c r="T1871" s="19" t="s">
        <v>1891</v>
      </c>
      <c r="U1871" s="9" t="str">
        <f t="shared" si="1"/>
        <v>NSE:RAJTV</v>
      </c>
      <c r="V1871" s="18"/>
      <c r="W1871" s="18"/>
      <c r="X1871" s="18"/>
    </row>
    <row r="1872">
      <c r="A1872" s="20"/>
      <c r="B1872" s="3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35"/>
      <c r="N1872" s="18"/>
      <c r="O1872" s="18"/>
      <c r="P1872" s="18"/>
      <c r="Q1872" s="34"/>
      <c r="R1872" s="18"/>
      <c r="S1872" s="18"/>
      <c r="T1872" s="19" t="s">
        <v>1892</v>
      </c>
      <c r="U1872" s="9" t="str">
        <f t="shared" si="1"/>
        <v>NSE:JOCIL</v>
      </c>
      <c r="V1872" s="18"/>
      <c r="W1872" s="18"/>
      <c r="X1872" s="18"/>
    </row>
    <row r="1873">
      <c r="A1873" s="20"/>
      <c r="B1873" s="3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35"/>
      <c r="N1873" s="18"/>
      <c r="O1873" s="18"/>
      <c r="P1873" s="18"/>
      <c r="Q1873" s="34"/>
      <c r="R1873" s="18"/>
      <c r="S1873" s="18"/>
      <c r="T1873" s="19" t="s">
        <v>1893</v>
      </c>
      <c r="U1873" s="9" t="str">
        <f t="shared" si="1"/>
        <v>NSE:SOMATEX</v>
      </c>
      <c r="V1873" s="18"/>
      <c r="W1873" s="18"/>
      <c r="X1873" s="18"/>
    </row>
    <row r="1874">
      <c r="A1874" s="20"/>
      <c r="B1874" s="3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35"/>
      <c r="N1874" s="18"/>
      <c r="O1874" s="18"/>
      <c r="P1874" s="18"/>
      <c r="Q1874" s="34"/>
      <c r="R1874" s="18"/>
      <c r="S1874" s="18"/>
      <c r="T1874" s="19" t="s">
        <v>1894</v>
      </c>
      <c r="U1874" s="9" t="str">
        <f t="shared" si="1"/>
        <v>NSE:SADBHIN</v>
      </c>
      <c r="V1874" s="18"/>
      <c r="W1874" s="18"/>
      <c r="X1874" s="18"/>
    </row>
    <row r="1875">
      <c r="A1875" s="20"/>
      <c r="B1875" s="3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35"/>
      <c r="N1875" s="18"/>
      <c r="O1875" s="18"/>
      <c r="P1875" s="18"/>
      <c r="Q1875" s="34"/>
      <c r="R1875" s="18"/>
      <c r="S1875" s="18"/>
      <c r="T1875" s="19" t="s">
        <v>1895</v>
      </c>
      <c r="U1875" s="9" t="str">
        <f t="shared" si="1"/>
        <v>NSE:ASPINWALL</v>
      </c>
      <c r="V1875" s="18"/>
      <c r="W1875" s="18"/>
      <c r="X1875" s="18"/>
    </row>
    <row r="1876">
      <c r="A1876" s="20"/>
      <c r="B1876" s="3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35"/>
      <c r="N1876" s="18"/>
      <c r="O1876" s="18"/>
      <c r="P1876" s="18"/>
      <c r="Q1876" s="34"/>
      <c r="R1876" s="18"/>
      <c r="S1876" s="18"/>
      <c r="T1876" s="19" t="s">
        <v>1896</v>
      </c>
      <c r="U1876" s="9" t="str">
        <f t="shared" si="1"/>
        <v>NSE:QNIFTY</v>
      </c>
      <c r="V1876" s="18"/>
      <c r="W1876" s="18"/>
      <c r="X1876" s="18"/>
    </row>
    <row r="1877">
      <c r="A1877" s="20"/>
      <c r="B1877" s="3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35"/>
      <c r="N1877" s="18"/>
      <c r="O1877" s="18"/>
      <c r="P1877" s="18"/>
      <c r="Q1877" s="34"/>
      <c r="R1877" s="18"/>
      <c r="S1877" s="18"/>
      <c r="T1877" s="19" t="s">
        <v>1897</v>
      </c>
      <c r="U1877" s="9" t="str">
        <f t="shared" si="1"/>
        <v>NSE:LIBAS</v>
      </c>
      <c r="V1877" s="18"/>
      <c r="W1877" s="18"/>
      <c r="X1877" s="18"/>
    </row>
    <row r="1878">
      <c r="A1878" s="20"/>
      <c r="B1878" s="3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35"/>
      <c r="N1878" s="18"/>
      <c r="O1878" s="18"/>
      <c r="P1878" s="18"/>
      <c r="Q1878" s="34"/>
      <c r="R1878" s="18"/>
      <c r="S1878" s="18"/>
      <c r="T1878" s="19" t="s">
        <v>1898</v>
      </c>
      <c r="U1878" s="9" t="str">
        <f t="shared" si="1"/>
        <v>NSE:QUAL30IETF</v>
      </c>
      <c r="V1878" s="18"/>
      <c r="W1878" s="18"/>
      <c r="X1878" s="18"/>
    </row>
    <row r="1879">
      <c r="A1879" s="20"/>
      <c r="B1879" s="3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35"/>
      <c r="N1879" s="18"/>
      <c r="O1879" s="18"/>
      <c r="P1879" s="18"/>
      <c r="Q1879" s="34"/>
      <c r="R1879" s="18"/>
      <c r="S1879" s="18"/>
      <c r="T1879" s="19" t="s">
        <v>1899</v>
      </c>
      <c r="U1879" s="9" t="str">
        <f t="shared" si="1"/>
        <v>NSE:ALKALI</v>
      </c>
      <c r="V1879" s="18"/>
      <c r="W1879" s="18"/>
      <c r="X1879" s="18"/>
    </row>
    <row r="1880">
      <c r="A1880" s="20"/>
      <c r="B1880" s="3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35"/>
      <c r="N1880" s="18"/>
      <c r="O1880" s="18"/>
      <c r="P1880" s="18"/>
      <c r="Q1880" s="34"/>
      <c r="R1880" s="18"/>
      <c r="S1880" s="18"/>
      <c r="T1880" s="19" t="s">
        <v>1900</v>
      </c>
      <c r="U1880" s="9" t="str">
        <f t="shared" si="1"/>
        <v>NSE:GLOSTERLTD</v>
      </c>
      <c r="V1880" s="18"/>
      <c r="W1880" s="18"/>
      <c r="X1880" s="18"/>
    </row>
    <row r="1881">
      <c r="A1881" s="20"/>
      <c r="B1881" s="3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35"/>
      <c r="N1881" s="18"/>
      <c r="O1881" s="18"/>
      <c r="P1881" s="18"/>
      <c r="Q1881" s="34"/>
      <c r="R1881" s="18"/>
      <c r="S1881" s="18"/>
      <c r="T1881" s="19" t="s">
        <v>1901</v>
      </c>
      <c r="U1881" s="9" t="str">
        <f t="shared" si="1"/>
        <v>NSE:SINTERCOM</v>
      </c>
      <c r="V1881" s="18"/>
      <c r="W1881" s="18"/>
      <c r="X1881" s="18"/>
    </row>
    <row r="1882">
      <c r="A1882" s="20"/>
      <c r="B1882" s="3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35"/>
      <c r="N1882" s="18"/>
      <c r="O1882" s="18"/>
      <c r="P1882" s="18"/>
      <c r="Q1882" s="34"/>
      <c r="R1882" s="18"/>
      <c r="S1882" s="18"/>
      <c r="T1882" s="19" t="s">
        <v>1902</v>
      </c>
      <c r="U1882" s="9" t="str">
        <f t="shared" si="1"/>
        <v>NSE:KAPSTON</v>
      </c>
      <c r="V1882" s="18"/>
      <c r="W1882" s="18"/>
      <c r="X1882" s="18"/>
    </row>
    <row r="1883">
      <c r="A1883" s="20"/>
      <c r="B1883" s="3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35"/>
      <c r="N1883" s="18"/>
      <c r="O1883" s="18"/>
      <c r="P1883" s="18"/>
      <c r="Q1883" s="34"/>
      <c r="R1883" s="18"/>
      <c r="S1883" s="18"/>
      <c r="T1883" s="19" t="s">
        <v>1903</v>
      </c>
      <c r="U1883" s="9" t="str">
        <f t="shared" si="1"/>
        <v>NSE:SUVIDHAA</v>
      </c>
      <c r="V1883" s="18"/>
      <c r="W1883" s="18"/>
      <c r="X1883" s="18"/>
    </row>
    <row r="1884">
      <c r="A1884" s="20"/>
      <c r="B1884" s="3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35"/>
      <c r="N1884" s="18"/>
      <c r="O1884" s="18"/>
      <c r="P1884" s="18"/>
      <c r="Q1884" s="34"/>
      <c r="R1884" s="18"/>
      <c r="S1884" s="18"/>
      <c r="T1884" s="19" t="s">
        <v>1904</v>
      </c>
      <c r="U1884" s="9" t="str">
        <f t="shared" si="1"/>
        <v>NSE:MOHEALTH</v>
      </c>
      <c r="V1884" s="18"/>
      <c r="W1884" s="18"/>
      <c r="X1884" s="18"/>
    </row>
    <row r="1885">
      <c r="A1885" s="20"/>
      <c r="B1885" s="3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35"/>
      <c r="N1885" s="18"/>
      <c r="O1885" s="18"/>
      <c r="P1885" s="18"/>
      <c r="Q1885" s="34"/>
      <c r="R1885" s="18"/>
      <c r="S1885" s="18"/>
      <c r="T1885" s="19" t="s">
        <v>1905</v>
      </c>
      <c r="U1885" s="9" t="str">
        <f t="shared" si="1"/>
        <v>NSE:LICNETFGSC</v>
      </c>
      <c r="V1885" s="18"/>
      <c r="W1885" s="18"/>
      <c r="X1885" s="18"/>
    </row>
    <row r="1886">
      <c r="A1886" s="20"/>
      <c r="B1886" s="3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35"/>
      <c r="N1886" s="18"/>
      <c r="O1886" s="18"/>
      <c r="P1886" s="18"/>
      <c r="Q1886" s="34"/>
      <c r="R1886" s="18"/>
      <c r="S1886" s="18"/>
      <c r="T1886" s="19" t="s">
        <v>1906</v>
      </c>
      <c r="U1886" s="9" t="str">
        <f t="shared" si="1"/>
        <v>NSE:GSEC5IETF</v>
      </c>
      <c r="V1886" s="18"/>
      <c r="W1886" s="18"/>
      <c r="X1886" s="18"/>
    </row>
    <row r="1887">
      <c r="A1887" s="20"/>
      <c r="B1887" s="3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35"/>
      <c r="N1887" s="18"/>
      <c r="O1887" s="18"/>
      <c r="P1887" s="18"/>
      <c r="Q1887" s="34"/>
      <c r="R1887" s="18"/>
      <c r="S1887" s="18"/>
      <c r="T1887" s="19" t="s">
        <v>1907</v>
      </c>
      <c r="U1887" s="9" t="str">
        <f t="shared" si="1"/>
        <v>NSE:GOYALALUM</v>
      </c>
      <c r="V1887" s="18"/>
      <c r="W1887" s="18"/>
      <c r="X1887" s="18"/>
    </row>
    <row r="1888">
      <c r="A1888" s="20"/>
      <c r="B1888" s="3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35"/>
      <c r="N1888" s="18"/>
      <c r="O1888" s="18"/>
      <c r="P1888" s="18"/>
      <c r="Q1888" s="34"/>
      <c r="R1888" s="18"/>
      <c r="S1888" s="18"/>
      <c r="T1888" s="19" t="s">
        <v>1908</v>
      </c>
      <c r="U1888" s="9" t="str">
        <f t="shared" si="1"/>
        <v>NSE:JMA</v>
      </c>
      <c r="V1888" s="18"/>
      <c r="W1888" s="18"/>
      <c r="X1888" s="18"/>
    </row>
    <row r="1889">
      <c r="A1889" s="20"/>
      <c r="B1889" s="3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35"/>
      <c r="N1889" s="18"/>
      <c r="O1889" s="18"/>
      <c r="P1889" s="18"/>
      <c r="Q1889" s="34"/>
      <c r="R1889" s="18"/>
      <c r="S1889" s="18"/>
      <c r="T1889" s="19" t="s">
        <v>1909</v>
      </c>
      <c r="U1889" s="9" t="str">
        <f t="shared" si="1"/>
        <v>NSE:LYPSAGEMS</v>
      </c>
      <c r="V1889" s="18"/>
      <c r="W1889" s="18"/>
      <c r="X1889" s="18"/>
    </row>
    <row r="1890">
      <c r="A1890" s="20"/>
      <c r="B1890" s="3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35"/>
      <c r="N1890" s="18"/>
      <c r="O1890" s="18"/>
      <c r="P1890" s="18"/>
      <c r="Q1890" s="34"/>
      <c r="R1890" s="18"/>
      <c r="S1890" s="18"/>
      <c r="T1890" s="19" t="s">
        <v>1910</v>
      </c>
      <c r="U1890" s="9" t="str">
        <f t="shared" si="1"/>
        <v>NSE:IVP</v>
      </c>
      <c r="V1890" s="18"/>
      <c r="W1890" s="18"/>
      <c r="X1890" s="18"/>
    </row>
    <row r="1891">
      <c r="A1891" s="20"/>
      <c r="B1891" s="3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35"/>
      <c r="N1891" s="18"/>
      <c r="O1891" s="18"/>
      <c r="P1891" s="18"/>
      <c r="Q1891" s="34"/>
      <c r="R1891" s="18"/>
      <c r="S1891" s="18"/>
      <c r="T1891" s="19" t="s">
        <v>1911</v>
      </c>
      <c r="U1891" s="9" t="str">
        <f t="shared" si="1"/>
        <v>NSE:SBIETFQLTY</v>
      </c>
      <c r="V1891" s="18"/>
      <c r="W1891" s="18"/>
      <c r="X1891" s="18"/>
    </row>
    <row r="1892">
      <c r="A1892" s="20"/>
      <c r="B1892" s="3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35"/>
      <c r="N1892" s="18"/>
      <c r="O1892" s="18"/>
      <c r="P1892" s="18"/>
      <c r="Q1892" s="34"/>
      <c r="R1892" s="18"/>
      <c r="S1892" s="18"/>
      <c r="T1892" s="19" t="s">
        <v>1912</v>
      </c>
      <c r="U1892" s="9" t="str">
        <f t="shared" si="1"/>
        <v>NSE:LFIC</v>
      </c>
      <c r="V1892" s="18"/>
      <c r="W1892" s="18"/>
      <c r="X1892" s="18"/>
    </row>
    <row r="1893">
      <c r="A1893" s="20"/>
      <c r="B1893" s="3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35"/>
      <c r="N1893" s="18"/>
      <c r="O1893" s="18"/>
      <c r="P1893" s="18"/>
      <c r="Q1893" s="34"/>
      <c r="R1893" s="18"/>
      <c r="S1893" s="18"/>
      <c r="T1893" s="19" t="s">
        <v>1913</v>
      </c>
      <c r="U1893" s="9" t="str">
        <f t="shared" si="1"/>
        <v>NSE:DHUNINV</v>
      </c>
      <c r="V1893" s="18"/>
      <c r="W1893" s="18"/>
      <c r="X1893" s="18"/>
    </row>
    <row r="1894">
      <c r="A1894" s="20"/>
      <c r="B1894" s="3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35"/>
      <c r="N1894" s="18"/>
      <c r="O1894" s="18"/>
      <c r="P1894" s="18"/>
      <c r="Q1894" s="34"/>
      <c r="R1894" s="18"/>
      <c r="S1894" s="18"/>
      <c r="T1894" s="19" t="s">
        <v>1914</v>
      </c>
      <c r="U1894" s="9" t="str">
        <f t="shared" si="1"/>
        <v>NSE:MNC</v>
      </c>
      <c r="V1894" s="18"/>
      <c r="W1894" s="18"/>
      <c r="X1894" s="18"/>
    </row>
    <row r="1895">
      <c r="A1895" s="20"/>
      <c r="B1895" s="3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35"/>
      <c r="N1895" s="18"/>
      <c r="O1895" s="18"/>
      <c r="P1895" s="18"/>
      <c r="Q1895" s="34"/>
      <c r="R1895" s="18"/>
      <c r="S1895" s="18"/>
      <c r="T1895" s="19" t="s">
        <v>1915</v>
      </c>
      <c r="U1895" s="9" t="str">
        <f t="shared" si="1"/>
        <v>NSE:SMSLIFE</v>
      </c>
      <c r="V1895" s="18"/>
      <c r="W1895" s="18"/>
      <c r="X1895" s="18"/>
    </row>
    <row r="1896">
      <c r="A1896" s="20"/>
      <c r="B1896" s="3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35"/>
      <c r="N1896" s="18"/>
      <c r="O1896" s="18"/>
      <c r="P1896" s="18"/>
      <c r="Q1896" s="34"/>
      <c r="R1896" s="18"/>
      <c r="S1896" s="18"/>
      <c r="T1896" s="19" t="s">
        <v>1916</v>
      </c>
      <c r="U1896" s="9" t="str">
        <f t="shared" si="1"/>
        <v>NSE:SECMARK</v>
      </c>
      <c r="V1896" s="18"/>
      <c r="W1896" s="18"/>
      <c r="X1896" s="18"/>
    </row>
    <row r="1897">
      <c r="A1897" s="20"/>
      <c r="B1897" s="3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35"/>
      <c r="N1897" s="18"/>
      <c r="O1897" s="18"/>
      <c r="P1897" s="18"/>
      <c r="Q1897" s="34"/>
      <c r="R1897" s="18"/>
      <c r="S1897" s="18"/>
      <c r="T1897" s="19" t="s">
        <v>1917</v>
      </c>
      <c r="U1897" s="9" t="str">
        <f t="shared" si="1"/>
        <v>NSE:ORCHASP</v>
      </c>
      <c r="V1897" s="18"/>
      <c r="W1897" s="18"/>
      <c r="X1897" s="18"/>
    </row>
    <row r="1898">
      <c r="A1898" s="20"/>
      <c r="B1898" s="3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35"/>
      <c r="N1898" s="18"/>
      <c r="O1898" s="18"/>
      <c r="P1898" s="18"/>
      <c r="Q1898" s="34"/>
      <c r="R1898" s="18"/>
      <c r="S1898" s="18"/>
      <c r="T1898" s="19" t="s">
        <v>1918</v>
      </c>
      <c r="U1898" s="9" t="str">
        <f t="shared" si="1"/>
        <v>NSE:HDFCNIFIT</v>
      </c>
      <c r="V1898" s="18"/>
      <c r="W1898" s="18"/>
      <c r="X1898" s="18"/>
    </row>
    <row r="1899">
      <c r="A1899" s="20"/>
      <c r="B1899" s="3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35"/>
      <c r="N1899" s="18"/>
      <c r="O1899" s="18"/>
      <c r="P1899" s="18"/>
      <c r="Q1899" s="34"/>
      <c r="R1899" s="18"/>
      <c r="S1899" s="18"/>
      <c r="T1899" s="19" t="s">
        <v>1919</v>
      </c>
      <c r="U1899" s="9" t="str">
        <f t="shared" si="1"/>
        <v>NSE:MOTOGENFIN</v>
      </c>
      <c r="V1899" s="18"/>
      <c r="W1899" s="18"/>
      <c r="X1899" s="18"/>
    </row>
    <row r="1900">
      <c r="A1900" s="20"/>
      <c r="B1900" s="3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35"/>
      <c r="N1900" s="18"/>
      <c r="O1900" s="18"/>
      <c r="P1900" s="18"/>
      <c r="Q1900" s="34"/>
      <c r="R1900" s="18"/>
      <c r="S1900" s="18"/>
      <c r="T1900" s="19" t="s">
        <v>1920</v>
      </c>
      <c r="U1900" s="9" t="str">
        <f t="shared" si="1"/>
        <v>NSE:PRITI</v>
      </c>
      <c r="V1900" s="18"/>
      <c r="W1900" s="18"/>
      <c r="X1900" s="18"/>
    </row>
    <row r="1901">
      <c r="A1901" s="20"/>
      <c r="B1901" s="3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35"/>
      <c r="N1901" s="18"/>
      <c r="O1901" s="18"/>
      <c r="P1901" s="18"/>
      <c r="Q1901" s="34"/>
      <c r="R1901" s="18"/>
      <c r="S1901" s="18"/>
      <c r="T1901" s="19" t="s">
        <v>1921</v>
      </c>
      <c r="U1901" s="9" t="str">
        <f t="shared" si="1"/>
        <v>NSE:HDFCGROWTH</v>
      </c>
      <c r="V1901" s="18"/>
      <c r="W1901" s="18"/>
      <c r="X1901" s="18"/>
    </row>
    <row r="1902">
      <c r="A1902" s="20"/>
      <c r="B1902" s="3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35"/>
      <c r="N1902" s="18"/>
      <c r="O1902" s="18"/>
      <c r="P1902" s="18"/>
      <c r="Q1902" s="34"/>
      <c r="R1902" s="18"/>
      <c r="S1902" s="18"/>
      <c r="T1902" s="19" t="s">
        <v>1922</v>
      </c>
      <c r="U1902" s="9" t="str">
        <f t="shared" si="1"/>
        <v>NSE:UNIONGOLD</v>
      </c>
      <c r="V1902" s="18"/>
      <c r="W1902" s="18"/>
      <c r="X1902" s="18"/>
    </row>
    <row r="1903">
      <c r="A1903" s="20"/>
      <c r="B1903" s="3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35"/>
      <c r="N1903" s="18"/>
      <c r="O1903" s="18"/>
      <c r="P1903" s="18"/>
      <c r="Q1903" s="34"/>
      <c r="R1903" s="18"/>
      <c r="S1903" s="18"/>
      <c r="T1903" s="19" t="s">
        <v>1923</v>
      </c>
      <c r="U1903" s="9" t="str">
        <f t="shared" si="1"/>
        <v>NSE:QGOLDHALF</v>
      </c>
      <c r="V1903" s="18"/>
      <c r="W1903" s="18"/>
      <c r="X1903" s="18"/>
    </row>
    <row r="1904">
      <c r="A1904" s="20"/>
      <c r="B1904" s="3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35"/>
      <c r="N1904" s="18"/>
      <c r="O1904" s="18"/>
      <c r="P1904" s="18"/>
      <c r="Q1904" s="34"/>
      <c r="R1904" s="18"/>
      <c r="S1904" s="18"/>
      <c r="T1904" s="19" t="s">
        <v>1924</v>
      </c>
      <c r="U1904" s="9" t="str">
        <f t="shared" si="1"/>
        <v>NSE:ELDEHSG</v>
      </c>
      <c r="V1904" s="18"/>
      <c r="W1904" s="18"/>
      <c r="X1904" s="18"/>
    </row>
    <row r="1905">
      <c r="A1905" s="20"/>
      <c r="B1905" s="3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35"/>
      <c r="N1905" s="18"/>
      <c r="O1905" s="18"/>
      <c r="P1905" s="18"/>
      <c r="Q1905" s="34"/>
      <c r="R1905" s="18"/>
      <c r="S1905" s="18"/>
      <c r="T1905" s="19" t="s">
        <v>1925</v>
      </c>
      <c r="U1905" s="9" t="str">
        <f t="shared" si="1"/>
        <v>NSE:LICNMID100</v>
      </c>
      <c r="V1905" s="18"/>
      <c r="W1905" s="18"/>
      <c r="X1905" s="18"/>
    </row>
    <row r="1906">
      <c r="A1906" s="20"/>
      <c r="B1906" s="3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35"/>
      <c r="N1906" s="18"/>
      <c r="O1906" s="18"/>
      <c r="P1906" s="18"/>
      <c r="Q1906" s="34"/>
      <c r="R1906" s="18"/>
      <c r="S1906" s="18"/>
      <c r="T1906" s="19" t="s">
        <v>1926</v>
      </c>
      <c r="U1906" s="9" t="str">
        <f t="shared" si="1"/>
        <v>NSE:DAMODARIND</v>
      </c>
      <c r="V1906" s="18"/>
      <c r="W1906" s="18"/>
      <c r="X1906" s="18"/>
    </row>
    <row r="1907">
      <c r="A1907" s="20"/>
      <c r="B1907" s="3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35"/>
      <c r="N1907" s="18"/>
      <c r="O1907" s="18"/>
      <c r="P1907" s="18"/>
      <c r="Q1907" s="34"/>
      <c r="R1907" s="18"/>
      <c r="S1907" s="18"/>
      <c r="T1907" s="19" t="s">
        <v>1927</v>
      </c>
      <c r="U1907" s="9" t="str">
        <f t="shared" si="1"/>
        <v>NSE:CINEVISTA</v>
      </c>
      <c r="V1907" s="18"/>
      <c r="W1907" s="18"/>
      <c r="X1907" s="18"/>
    </row>
    <row r="1908">
      <c r="A1908" s="20"/>
      <c r="B1908" s="3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35"/>
      <c r="N1908" s="18"/>
      <c r="O1908" s="18"/>
      <c r="P1908" s="18"/>
      <c r="Q1908" s="34"/>
      <c r="R1908" s="18"/>
      <c r="S1908" s="18"/>
      <c r="T1908" s="19" t="s">
        <v>1928</v>
      </c>
      <c r="U1908" s="9" t="str">
        <f t="shared" si="1"/>
        <v>NSE:SIL</v>
      </c>
      <c r="V1908" s="18"/>
      <c r="W1908" s="18"/>
      <c r="X1908" s="18"/>
    </row>
    <row r="1909">
      <c r="A1909" s="20"/>
      <c r="B1909" s="3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35"/>
      <c r="N1909" s="18"/>
      <c r="O1909" s="18"/>
      <c r="P1909" s="18"/>
      <c r="Q1909" s="34"/>
      <c r="R1909" s="18"/>
      <c r="S1909" s="18"/>
      <c r="T1909" s="19" t="s">
        <v>1929</v>
      </c>
      <c r="U1909" s="9" t="str">
        <f t="shared" si="1"/>
        <v>NSE:ECAPINSURE</v>
      </c>
      <c r="V1909" s="18"/>
      <c r="W1909" s="18"/>
      <c r="X1909" s="18"/>
    </row>
    <row r="1910">
      <c r="A1910" s="20"/>
      <c r="B1910" s="3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35"/>
      <c r="N1910" s="18"/>
      <c r="O1910" s="18"/>
      <c r="P1910" s="18"/>
      <c r="Q1910" s="34"/>
      <c r="R1910" s="18"/>
      <c r="S1910" s="18"/>
      <c r="T1910" s="19" t="s">
        <v>1930</v>
      </c>
      <c r="U1910" s="9" t="str">
        <f t="shared" si="1"/>
        <v>NSE:KAKATCEM</v>
      </c>
      <c r="V1910" s="18"/>
      <c r="W1910" s="18"/>
      <c r="X1910" s="18"/>
    </row>
    <row r="1911">
      <c r="A1911" s="20"/>
      <c r="B1911" s="3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35"/>
      <c r="N1911" s="18"/>
      <c r="O1911" s="18"/>
      <c r="P1911" s="18"/>
      <c r="Q1911" s="34"/>
      <c r="R1911" s="18"/>
      <c r="S1911" s="18"/>
      <c r="T1911" s="19" t="s">
        <v>1931</v>
      </c>
      <c r="U1911" s="9" t="str">
        <f t="shared" si="1"/>
        <v>NSE:OBCL</v>
      </c>
      <c r="V1911" s="18"/>
      <c r="W1911" s="18"/>
      <c r="X1911" s="18"/>
    </row>
    <row r="1912">
      <c r="A1912" s="20"/>
      <c r="B1912" s="3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35"/>
      <c r="N1912" s="18"/>
      <c r="O1912" s="18"/>
      <c r="P1912" s="18"/>
      <c r="Q1912" s="34"/>
      <c r="R1912" s="18"/>
      <c r="S1912" s="18"/>
      <c r="T1912" s="19" t="s">
        <v>1932</v>
      </c>
      <c r="U1912" s="9" t="str">
        <f t="shared" si="1"/>
        <v>NSE:SHIVAMILLS</v>
      </c>
      <c r="V1912" s="18"/>
      <c r="W1912" s="18"/>
      <c r="X1912" s="18"/>
    </row>
    <row r="1913">
      <c r="A1913" s="20"/>
      <c r="B1913" s="3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35"/>
      <c r="N1913" s="18"/>
      <c r="O1913" s="18"/>
      <c r="P1913" s="18"/>
      <c r="Q1913" s="34"/>
      <c r="R1913" s="18"/>
      <c r="S1913" s="18"/>
      <c r="T1913" s="19" t="s">
        <v>1933</v>
      </c>
      <c r="U1913" s="9" t="str">
        <f t="shared" si="1"/>
        <v>NSE:AXISBPSETF</v>
      </c>
      <c r="V1913" s="18"/>
      <c r="W1913" s="18"/>
      <c r="X1913" s="18"/>
    </row>
    <row r="1914">
      <c r="A1914" s="20"/>
      <c r="B1914" s="3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35"/>
      <c r="N1914" s="18"/>
      <c r="O1914" s="18"/>
      <c r="P1914" s="18"/>
      <c r="Q1914" s="34"/>
      <c r="R1914" s="18"/>
      <c r="S1914" s="18"/>
      <c r="T1914" s="19" t="s">
        <v>1934</v>
      </c>
      <c r="U1914" s="9" t="str">
        <f t="shared" si="1"/>
        <v>NSE:ABSLNN50ET</v>
      </c>
      <c r="V1914" s="18"/>
      <c r="W1914" s="18"/>
      <c r="X1914" s="18"/>
    </row>
    <row r="1915">
      <c r="A1915" s="20"/>
      <c r="B1915" s="3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35"/>
      <c r="N1915" s="18"/>
      <c r="O1915" s="18"/>
      <c r="P1915" s="18"/>
      <c r="Q1915" s="34"/>
      <c r="R1915" s="18"/>
      <c r="S1915" s="18"/>
      <c r="T1915" s="19" t="s">
        <v>1935</v>
      </c>
      <c r="U1915" s="9" t="str">
        <f t="shared" si="1"/>
        <v>NSE:GVPTECH</v>
      </c>
      <c r="V1915" s="18"/>
      <c r="W1915" s="18"/>
      <c r="X1915" s="18"/>
    </row>
    <row r="1916">
      <c r="A1916" s="20"/>
      <c r="B1916" s="3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35"/>
      <c r="N1916" s="18"/>
      <c r="O1916" s="18"/>
      <c r="P1916" s="18"/>
      <c r="Q1916" s="34"/>
      <c r="R1916" s="18"/>
      <c r="S1916" s="18"/>
      <c r="T1916" s="19" t="s">
        <v>1936</v>
      </c>
      <c r="U1916" s="9" t="str">
        <f t="shared" si="1"/>
        <v>NSE:SAGARDEEP</v>
      </c>
      <c r="V1916" s="18"/>
      <c r="W1916" s="18"/>
      <c r="X1916" s="18"/>
    </row>
    <row r="1917">
      <c r="A1917" s="20"/>
      <c r="B1917" s="3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35"/>
      <c r="N1917" s="18"/>
      <c r="O1917" s="18"/>
      <c r="P1917" s="18"/>
      <c r="Q1917" s="34"/>
      <c r="R1917" s="18"/>
      <c r="S1917" s="18"/>
      <c r="T1917" s="19" t="s">
        <v>1937</v>
      </c>
      <c r="U1917" s="9" t="str">
        <f t="shared" si="1"/>
        <v>NSE:SBIETFCON</v>
      </c>
      <c r="V1917" s="18"/>
      <c r="W1917" s="18"/>
      <c r="X1917" s="18"/>
    </row>
    <row r="1918">
      <c r="A1918" s="20"/>
      <c r="B1918" s="3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35"/>
      <c r="N1918" s="18"/>
      <c r="O1918" s="18"/>
      <c r="P1918" s="18"/>
      <c r="Q1918" s="34"/>
      <c r="R1918" s="18"/>
      <c r="S1918" s="18"/>
      <c r="T1918" s="19" t="s">
        <v>1938</v>
      </c>
      <c r="U1918" s="9" t="str">
        <f t="shared" si="1"/>
        <v>NSE:ITETFADD</v>
      </c>
      <c r="V1918" s="18"/>
      <c r="W1918" s="18"/>
      <c r="X1918" s="18"/>
    </row>
    <row r="1919">
      <c r="A1919" s="20"/>
      <c r="B1919" s="3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35"/>
      <c r="N1919" s="18"/>
      <c r="O1919" s="18"/>
      <c r="P1919" s="18"/>
      <c r="Q1919" s="34"/>
      <c r="R1919" s="18"/>
      <c r="S1919" s="18"/>
      <c r="T1919" s="19" t="s">
        <v>1939</v>
      </c>
      <c r="U1919" s="9" t="str">
        <f t="shared" si="1"/>
        <v>NSE:AUSOMENT</v>
      </c>
      <c r="V1919" s="18"/>
      <c r="W1919" s="18"/>
      <c r="X1919" s="18"/>
    </row>
    <row r="1920">
      <c r="A1920" s="20"/>
      <c r="B1920" s="3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35"/>
      <c r="N1920" s="18"/>
      <c r="O1920" s="18"/>
      <c r="P1920" s="18"/>
      <c r="Q1920" s="34"/>
      <c r="R1920" s="18"/>
      <c r="S1920" s="18"/>
      <c r="T1920" s="19" t="s">
        <v>1940</v>
      </c>
      <c r="U1920" s="9" t="str">
        <f t="shared" si="1"/>
        <v>NSE:RKDL</v>
      </c>
      <c r="V1920" s="18"/>
      <c r="W1920" s="18"/>
      <c r="X1920" s="18"/>
    </row>
    <row r="1921">
      <c r="A1921" s="20"/>
      <c r="B1921" s="3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35"/>
      <c r="N1921" s="18"/>
      <c r="O1921" s="18"/>
      <c r="P1921" s="18"/>
      <c r="Q1921" s="34"/>
      <c r="R1921" s="18"/>
      <c r="S1921" s="18"/>
      <c r="T1921" s="19" t="s">
        <v>1941</v>
      </c>
      <c r="U1921" s="9" t="str">
        <f t="shared" si="1"/>
        <v>NSE:AAKASH</v>
      </c>
      <c r="V1921" s="18"/>
      <c r="W1921" s="18"/>
      <c r="X1921" s="18"/>
    </row>
    <row r="1922">
      <c r="A1922" s="20"/>
      <c r="B1922" s="3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35"/>
      <c r="N1922" s="18"/>
      <c r="O1922" s="18"/>
      <c r="P1922" s="18"/>
      <c r="Q1922" s="34"/>
      <c r="R1922" s="18"/>
      <c r="S1922" s="18"/>
      <c r="T1922" s="19" t="s">
        <v>1942</v>
      </c>
      <c r="U1922" s="9" t="str">
        <f t="shared" si="1"/>
        <v>NSE:SPLIL</v>
      </c>
      <c r="V1922" s="18"/>
      <c r="W1922" s="18"/>
      <c r="X1922" s="18"/>
    </row>
    <row r="1923">
      <c r="A1923" s="20"/>
      <c r="B1923" s="3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35"/>
      <c r="N1923" s="18"/>
      <c r="O1923" s="18"/>
      <c r="P1923" s="18"/>
      <c r="Q1923" s="34"/>
      <c r="R1923" s="18"/>
      <c r="S1923" s="18"/>
      <c r="T1923" s="19" t="s">
        <v>1943</v>
      </c>
      <c r="U1923" s="9" t="str">
        <f t="shared" si="1"/>
        <v>NSE:ADL</v>
      </c>
      <c r="V1923" s="18"/>
      <c r="W1923" s="18"/>
      <c r="X1923" s="18"/>
    </row>
    <row r="1924">
      <c r="A1924" s="20"/>
      <c r="B1924" s="3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35"/>
      <c r="N1924" s="18"/>
      <c r="O1924" s="18"/>
      <c r="P1924" s="18"/>
      <c r="Q1924" s="34"/>
      <c r="R1924" s="18"/>
      <c r="S1924" s="18"/>
      <c r="T1924" s="19" t="s">
        <v>1944</v>
      </c>
      <c r="U1924" s="9" t="str">
        <f t="shared" si="1"/>
        <v>NSE:AXISBNKETF</v>
      </c>
      <c r="V1924" s="18"/>
      <c r="W1924" s="18"/>
      <c r="X1924" s="18"/>
    </row>
    <row r="1925">
      <c r="A1925" s="20"/>
      <c r="B1925" s="3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35"/>
      <c r="N1925" s="18"/>
      <c r="O1925" s="18"/>
      <c r="P1925" s="18"/>
      <c r="Q1925" s="34"/>
      <c r="R1925" s="18"/>
      <c r="S1925" s="18"/>
      <c r="T1925" s="19" t="s">
        <v>1945</v>
      </c>
      <c r="U1925" s="9" t="str">
        <f t="shared" si="1"/>
        <v>NSE:GSEC10IETF</v>
      </c>
      <c r="V1925" s="18"/>
      <c r="W1925" s="18"/>
      <c r="X1925" s="18"/>
    </row>
    <row r="1926">
      <c r="A1926" s="20"/>
      <c r="B1926" s="3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35"/>
      <c r="N1926" s="18"/>
      <c r="O1926" s="18"/>
      <c r="P1926" s="18"/>
      <c r="Q1926" s="34"/>
      <c r="R1926" s="18"/>
      <c r="S1926" s="18"/>
      <c r="T1926" s="19" t="s">
        <v>1946</v>
      </c>
      <c r="U1926" s="9" t="str">
        <f t="shared" si="1"/>
        <v>NSE:SENSEXETF</v>
      </c>
      <c r="V1926" s="18"/>
      <c r="W1926" s="18"/>
      <c r="X1926" s="18"/>
    </row>
    <row r="1927">
      <c r="A1927" s="20"/>
      <c r="B1927" s="3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35"/>
      <c r="N1927" s="18"/>
      <c r="O1927" s="18"/>
      <c r="P1927" s="18"/>
      <c r="Q1927" s="34"/>
      <c r="R1927" s="18"/>
      <c r="S1927" s="18"/>
      <c r="T1927" s="19" t="s">
        <v>1947</v>
      </c>
      <c r="U1927" s="9" t="str">
        <f t="shared" si="1"/>
        <v>NSE:TAINWALCHM</v>
      </c>
      <c r="V1927" s="18"/>
      <c r="W1927" s="18"/>
      <c r="X1927" s="18"/>
    </row>
    <row r="1928">
      <c r="A1928" s="20"/>
      <c r="B1928" s="3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35"/>
      <c r="N1928" s="18"/>
      <c r="O1928" s="18"/>
      <c r="P1928" s="18"/>
      <c r="Q1928" s="34"/>
      <c r="R1928" s="18"/>
      <c r="S1928" s="18"/>
      <c r="T1928" s="19" t="s">
        <v>1948</v>
      </c>
      <c r="U1928" s="9" t="str">
        <f t="shared" si="1"/>
        <v>NSE:SELMC</v>
      </c>
      <c r="V1928" s="18"/>
      <c r="W1928" s="18"/>
      <c r="X1928" s="18"/>
    </row>
    <row r="1929">
      <c r="A1929" s="20"/>
      <c r="B1929" s="3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35"/>
      <c r="N1929" s="18"/>
      <c r="O1929" s="18"/>
      <c r="P1929" s="18"/>
      <c r="Q1929" s="34"/>
      <c r="R1929" s="18"/>
      <c r="S1929" s="18"/>
      <c r="T1929" s="19" t="s">
        <v>1949</v>
      </c>
      <c r="U1929" s="9" t="str">
        <f t="shared" si="1"/>
        <v>NSE:MIDQ50ADD</v>
      </c>
      <c r="V1929" s="18"/>
      <c r="W1929" s="18"/>
      <c r="X1929" s="18"/>
    </row>
    <row r="1930">
      <c r="A1930" s="20"/>
      <c r="B1930" s="3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35"/>
      <c r="N1930" s="18"/>
      <c r="O1930" s="18"/>
      <c r="P1930" s="18"/>
      <c r="Q1930" s="34"/>
      <c r="R1930" s="18"/>
      <c r="S1930" s="18"/>
      <c r="T1930" s="19" t="s">
        <v>1950</v>
      </c>
      <c r="U1930" s="9" t="str">
        <f t="shared" si="1"/>
        <v>NSE:UNIENTER</v>
      </c>
      <c r="V1930" s="18"/>
      <c r="W1930" s="18"/>
      <c r="X1930" s="18"/>
    </row>
    <row r="1931">
      <c r="A1931" s="20"/>
      <c r="B1931" s="3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35"/>
      <c r="N1931" s="18"/>
      <c r="O1931" s="18"/>
      <c r="P1931" s="18"/>
      <c r="Q1931" s="34"/>
      <c r="R1931" s="18"/>
      <c r="S1931" s="18"/>
      <c r="T1931" s="19" t="s">
        <v>1951</v>
      </c>
      <c r="U1931" s="9" t="str">
        <f t="shared" si="1"/>
        <v>NSE:GANGESSECU</v>
      </c>
      <c r="V1931" s="18"/>
      <c r="W1931" s="18"/>
      <c r="X1931" s="18"/>
    </row>
    <row r="1932">
      <c r="A1932" s="20"/>
      <c r="B1932" s="3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35"/>
      <c r="N1932" s="18"/>
      <c r="O1932" s="18"/>
      <c r="P1932" s="18"/>
      <c r="Q1932" s="34"/>
      <c r="R1932" s="18"/>
      <c r="S1932" s="18"/>
      <c r="T1932" s="19" t="s">
        <v>1952</v>
      </c>
      <c r="U1932" s="9" t="str">
        <f t="shared" si="1"/>
        <v>NSE:SANGINITA</v>
      </c>
      <c r="V1932" s="18"/>
      <c r="W1932" s="18"/>
      <c r="X1932" s="18"/>
    </row>
    <row r="1933">
      <c r="A1933" s="20"/>
      <c r="B1933" s="3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35"/>
      <c r="N1933" s="18"/>
      <c r="O1933" s="18"/>
      <c r="P1933" s="18"/>
      <c r="Q1933" s="34"/>
      <c r="R1933" s="18"/>
      <c r="S1933" s="18"/>
      <c r="T1933" s="19" t="s">
        <v>1953</v>
      </c>
      <c r="U1933" s="9" t="str">
        <f t="shared" si="1"/>
        <v>NSE:SBIETFPB</v>
      </c>
      <c r="V1933" s="18"/>
      <c r="W1933" s="18"/>
      <c r="X1933" s="18"/>
    </row>
    <row r="1934">
      <c r="A1934" s="20"/>
      <c r="B1934" s="3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35"/>
      <c r="N1934" s="18"/>
      <c r="O1934" s="18"/>
      <c r="P1934" s="18"/>
      <c r="Q1934" s="34"/>
      <c r="R1934" s="18"/>
      <c r="S1934" s="18"/>
      <c r="T1934" s="19" t="s">
        <v>1954</v>
      </c>
      <c r="U1934" s="9" t="str">
        <f t="shared" si="1"/>
        <v>NSE:DNAMEDIA</v>
      </c>
      <c r="V1934" s="18"/>
      <c r="W1934" s="18"/>
      <c r="X1934" s="18"/>
    </row>
    <row r="1935">
      <c r="A1935" s="20"/>
      <c r="B1935" s="3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35"/>
      <c r="N1935" s="18"/>
      <c r="O1935" s="18"/>
      <c r="P1935" s="18"/>
      <c r="Q1935" s="34"/>
      <c r="R1935" s="18"/>
      <c r="S1935" s="18"/>
      <c r="T1935" s="19" t="s">
        <v>1955</v>
      </c>
      <c r="U1935" s="9" t="str">
        <f t="shared" si="1"/>
        <v>NSE:MANUGRAPH</v>
      </c>
      <c r="V1935" s="18"/>
      <c r="W1935" s="18"/>
      <c r="X1935" s="18"/>
    </row>
    <row r="1936">
      <c r="A1936" s="20"/>
      <c r="B1936" s="3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35"/>
      <c r="N1936" s="18"/>
      <c r="O1936" s="18"/>
      <c r="P1936" s="18"/>
      <c r="Q1936" s="34"/>
      <c r="R1936" s="18"/>
      <c r="S1936" s="18"/>
      <c r="T1936" s="19" t="s">
        <v>1956</v>
      </c>
      <c r="U1936" s="9" t="str">
        <f t="shared" si="1"/>
        <v>NSE:CONS</v>
      </c>
      <c r="V1936" s="18"/>
      <c r="W1936" s="18"/>
      <c r="X1936" s="18"/>
    </row>
    <row r="1937">
      <c r="A1937" s="20"/>
      <c r="B1937" s="3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35"/>
      <c r="N1937" s="18"/>
      <c r="O1937" s="18"/>
      <c r="P1937" s="18"/>
      <c r="Q1937" s="34"/>
      <c r="R1937" s="18"/>
      <c r="S1937" s="18"/>
      <c r="T1937" s="19" t="s">
        <v>1957</v>
      </c>
      <c r="U1937" s="9" t="str">
        <f t="shared" si="1"/>
        <v>NSE:VIVIDHA</v>
      </c>
      <c r="V1937" s="18"/>
      <c r="W1937" s="18"/>
      <c r="X1937" s="18"/>
    </row>
    <row r="1938">
      <c r="A1938" s="20"/>
      <c r="B1938" s="3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35"/>
      <c r="N1938" s="18"/>
      <c r="O1938" s="18"/>
      <c r="P1938" s="18"/>
      <c r="Q1938" s="34"/>
      <c r="R1938" s="18"/>
      <c r="S1938" s="18"/>
      <c r="T1938" s="19" t="s">
        <v>1958</v>
      </c>
      <c r="U1938" s="9" t="str">
        <f t="shared" si="1"/>
        <v>NSE:SUPERSPIN</v>
      </c>
      <c r="V1938" s="18"/>
      <c r="W1938" s="18"/>
      <c r="X1938" s="18"/>
    </row>
    <row r="1939">
      <c r="A1939" s="20"/>
      <c r="B1939" s="3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35"/>
      <c r="N1939" s="18"/>
      <c r="O1939" s="18"/>
      <c r="P1939" s="18"/>
      <c r="Q1939" s="34"/>
      <c r="R1939" s="18"/>
      <c r="S1939" s="18"/>
      <c r="T1939" s="19" t="s">
        <v>1959</v>
      </c>
      <c r="U1939" s="9" t="str">
        <f t="shared" si="1"/>
        <v>NSE:VCL</v>
      </c>
      <c r="V1939" s="18"/>
      <c r="W1939" s="18"/>
      <c r="X1939" s="18"/>
    </row>
    <row r="1940">
      <c r="A1940" s="20"/>
      <c r="B1940" s="3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35"/>
      <c r="N1940" s="18"/>
      <c r="O1940" s="18"/>
      <c r="P1940" s="18"/>
      <c r="Q1940" s="34"/>
      <c r="R1940" s="18"/>
      <c r="S1940" s="18"/>
      <c r="T1940" s="19" t="s">
        <v>1960</v>
      </c>
      <c r="U1940" s="9" t="str">
        <f t="shared" si="1"/>
        <v>NSE:TREEHOUSE</v>
      </c>
      <c r="V1940" s="18"/>
      <c r="W1940" s="18"/>
      <c r="X1940" s="18"/>
    </row>
    <row r="1941">
      <c r="A1941" s="20"/>
      <c r="B1941" s="3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35"/>
      <c r="N1941" s="18"/>
      <c r="O1941" s="18"/>
      <c r="P1941" s="18"/>
      <c r="Q1941" s="34"/>
      <c r="R1941" s="18"/>
      <c r="S1941" s="18"/>
      <c r="T1941" s="19" t="s">
        <v>1961</v>
      </c>
      <c r="U1941" s="9" t="str">
        <f t="shared" si="1"/>
        <v>NSE:HBSL</v>
      </c>
      <c r="V1941" s="18"/>
      <c r="W1941" s="18"/>
      <c r="X1941" s="18"/>
    </row>
    <row r="1942">
      <c r="A1942" s="20"/>
      <c r="B1942" s="3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35"/>
      <c r="N1942" s="18"/>
      <c r="O1942" s="18"/>
      <c r="P1942" s="18"/>
      <c r="Q1942" s="34"/>
      <c r="R1942" s="18"/>
      <c r="S1942" s="18"/>
      <c r="T1942" s="19" t="s">
        <v>1962</v>
      </c>
      <c r="U1942" s="9" t="str">
        <f t="shared" si="1"/>
        <v>NSE:NBIFIN</v>
      </c>
      <c r="V1942" s="18"/>
      <c r="W1942" s="18"/>
      <c r="X1942" s="18"/>
    </row>
    <row r="1943">
      <c r="A1943" s="20"/>
      <c r="B1943" s="3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35"/>
      <c r="N1943" s="18"/>
      <c r="O1943" s="18"/>
      <c r="P1943" s="18"/>
      <c r="Q1943" s="34"/>
      <c r="R1943" s="18"/>
      <c r="S1943" s="18"/>
      <c r="T1943" s="19" t="s">
        <v>1963</v>
      </c>
      <c r="U1943" s="9" t="str">
        <f t="shared" si="1"/>
        <v>NSE:LAXMICOT</v>
      </c>
      <c r="V1943" s="18"/>
      <c r="W1943" s="18"/>
      <c r="X1943" s="18"/>
    </row>
    <row r="1944">
      <c r="A1944" s="20"/>
      <c r="B1944" s="3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35"/>
      <c r="N1944" s="18"/>
      <c r="O1944" s="18"/>
      <c r="P1944" s="18"/>
      <c r="Q1944" s="34"/>
      <c r="R1944" s="18"/>
      <c r="S1944" s="18"/>
      <c r="T1944" s="19" t="s">
        <v>1964</v>
      </c>
      <c r="U1944" s="9" t="str">
        <f t="shared" si="1"/>
        <v>NSE:HDFCBSE500</v>
      </c>
      <c r="V1944" s="18"/>
      <c r="W1944" s="18"/>
      <c r="X1944" s="18"/>
    </row>
    <row r="1945">
      <c r="A1945" s="20"/>
      <c r="B1945" s="3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35"/>
      <c r="N1945" s="18"/>
      <c r="O1945" s="18"/>
      <c r="P1945" s="18"/>
      <c r="Q1945" s="34"/>
      <c r="R1945" s="18"/>
      <c r="S1945" s="18"/>
      <c r="T1945" s="19" t="s">
        <v>1965</v>
      </c>
      <c r="U1945" s="9" t="str">
        <f t="shared" si="1"/>
        <v>NSE:AXISCETF</v>
      </c>
      <c r="V1945" s="18"/>
      <c r="W1945" s="18"/>
      <c r="X1945" s="18"/>
    </row>
    <row r="1946">
      <c r="A1946" s="20"/>
      <c r="B1946" s="3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35"/>
      <c r="N1946" s="18"/>
      <c r="O1946" s="18"/>
      <c r="P1946" s="18"/>
      <c r="Q1946" s="34"/>
      <c r="R1946" s="18"/>
      <c r="S1946" s="18"/>
      <c r="T1946" s="19" t="s">
        <v>1966</v>
      </c>
      <c r="U1946" s="9" t="str">
        <f t="shared" si="1"/>
        <v>NSE:MOM50</v>
      </c>
      <c r="V1946" s="18"/>
      <c r="W1946" s="18"/>
      <c r="X1946" s="18"/>
    </row>
    <row r="1947">
      <c r="A1947" s="20"/>
      <c r="B1947" s="3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35"/>
      <c r="N1947" s="18"/>
      <c r="O1947" s="18"/>
      <c r="P1947" s="18"/>
      <c r="Q1947" s="34"/>
      <c r="R1947" s="18"/>
      <c r="S1947" s="18"/>
      <c r="T1947" s="19" t="s">
        <v>1967</v>
      </c>
      <c r="U1947" s="9" t="str">
        <f t="shared" si="1"/>
        <v>NSE:TGBHOTELS</v>
      </c>
      <c r="V1947" s="18"/>
      <c r="W1947" s="18"/>
      <c r="X1947" s="18"/>
    </row>
    <row r="1948">
      <c r="A1948" s="20"/>
      <c r="B1948" s="3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35"/>
      <c r="N1948" s="18"/>
      <c r="O1948" s="18"/>
      <c r="P1948" s="18"/>
      <c r="Q1948" s="34"/>
      <c r="R1948" s="18"/>
      <c r="S1948" s="18"/>
      <c r="T1948" s="19" t="s">
        <v>1968</v>
      </c>
      <c r="U1948" s="9" t="str">
        <f t="shared" si="1"/>
        <v>NSE:RETAIL</v>
      </c>
      <c r="V1948" s="18"/>
      <c r="W1948" s="18"/>
      <c r="X1948" s="18"/>
    </row>
    <row r="1949">
      <c r="A1949" s="20"/>
      <c r="B1949" s="3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35"/>
      <c r="N1949" s="18"/>
      <c r="O1949" s="18"/>
      <c r="P1949" s="18"/>
      <c r="Q1949" s="34"/>
      <c r="R1949" s="18"/>
      <c r="S1949" s="18"/>
      <c r="T1949" s="19" t="s">
        <v>1969</v>
      </c>
      <c r="U1949" s="9" t="str">
        <f t="shared" si="1"/>
        <v>NSE:HDFCPSUBK</v>
      </c>
      <c r="V1949" s="18"/>
      <c r="W1949" s="18"/>
      <c r="X1949" s="18"/>
    </row>
    <row r="1950">
      <c r="A1950" s="20"/>
      <c r="B1950" s="3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35"/>
      <c r="N1950" s="18"/>
      <c r="O1950" s="18"/>
      <c r="P1950" s="18"/>
      <c r="Q1950" s="34"/>
      <c r="R1950" s="18"/>
      <c r="S1950" s="18"/>
      <c r="T1950" s="19" t="s">
        <v>1970</v>
      </c>
      <c r="U1950" s="9" t="str">
        <f t="shared" si="1"/>
        <v>NSE:WEIZMANIND</v>
      </c>
      <c r="V1950" s="18"/>
      <c r="W1950" s="18"/>
      <c r="X1950" s="18"/>
    </row>
    <row r="1951">
      <c r="A1951" s="20"/>
      <c r="B1951" s="3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35"/>
      <c r="N1951" s="18"/>
      <c r="O1951" s="18"/>
      <c r="P1951" s="18"/>
      <c r="Q1951" s="34"/>
      <c r="R1951" s="18"/>
      <c r="S1951" s="18"/>
      <c r="T1951" s="19" t="s">
        <v>1971</v>
      </c>
      <c r="U1951" s="9" t="str">
        <f t="shared" si="1"/>
        <v>NSE:GSEC10YEAR</v>
      </c>
      <c r="V1951" s="18"/>
      <c r="W1951" s="18"/>
      <c r="X1951" s="18"/>
    </row>
    <row r="1952">
      <c r="A1952" s="20"/>
      <c r="B1952" s="3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35"/>
      <c r="N1952" s="18"/>
      <c r="O1952" s="18"/>
      <c r="P1952" s="18"/>
      <c r="Q1952" s="34"/>
      <c r="R1952" s="18"/>
      <c r="S1952" s="18"/>
      <c r="T1952" s="19" t="s">
        <v>1972</v>
      </c>
      <c r="U1952" s="9" t="str">
        <f t="shared" si="1"/>
        <v>NSE:AXISTECETF</v>
      </c>
      <c r="V1952" s="18"/>
      <c r="W1952" s="18"/>
      <c r="X1952" s="18"/>
    </row>
    <row r="1953">
      <c r="A1953" s="20"/>
      <c r="B1953" s="3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35"/>
      <c r="N1953" s="18"/>
      <c r="O1953" s="18"/>
      <c r="P1953" s="18"/>
      <c r="Q1953" s="34"/>
      <c r="R1953" s="18"/>
      <c r="S1953" s="18"/>
      <c r="T1953" s="19" t="s">
        <v>1973</v>
      </c>
      <c r="U1953" s="9" t="str">
        <f t="shared" si="1"/>
        <v>NSE:CCHHL</v>
      </c>
      <c r="V1953" s="18"/>
      <c r="W1953" s="18"/>
      <c r="X1953" s="18"/>
    </row>
    <row r="1954">
      <c r="A1954" s="20"/>
      <c r="B1954" s="3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35"/>
      <c r="N1954" s="18"/>
      <c r="O1954" s="18"/>
      <c r="P1954" s="18"/>
      <c r="Q1954" s="34"/>
      <c r="R1954" s="18"/>
      <c r="S1954" s="18"/>
      <c r="T1954" s="19" t="s">
        <v>1974</v>
      </c>
      <c r="U1954" s="9" t="str">
        <f t="shared" si="1"/>
        <v>NSE:KANANIIND</v>
      </c>
      <c r="V1954" s="18"/>
      <c r="W1954" s="18"/>
      <c r="X1954" s="18"/>
    </row>
    <row r="1955">
      <c r="A1955" s="20"/>
      <c r="B1955" s="3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35"/>
      <c r="N1955" s="18"/>
      <c r="O1955" s="18"/>
      <c r="P1955" s="18"/>
      <c r="Q1955" s="34"/>
      <c r="R1955" s="18"/>
      <c r="S1955" s="18"/>
      <c r="T1955" s="19" t="s">
        <v>1975</v>
      </c>
      <c r="U1955" s="9" t="str">
        <f t="shared" si="1"/>
        <v>NSE:PVTBANKADD</v>
      </c>
      <c r="V1955" s="18"/>
      <c r="W1955" s="18"/>
      <c r="X1955" s="18"/>
    </row>
    <row r="1956">
      <c r="A1956" s="20"/>
      <c r="B1956" s="3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35"/>
      <c r="N1956" s="18"/>
      <c r="O1956" s="18"/>
      <c r="P1956" s="18"/>
      <c r="Q1956" s="34"/>
      <c r="R1956" s="18"/>
      <c r="S1956" s="18"/>
      <c r="T1956" s="19" t="s">
        <v>1976</v>
      </c>
      <c r="U1956" s="9" t="str">
        <f t="shared" si="1"/>
        <v>NSE:AKASH</v>
      </c>
      <c r="V1956" s="18"/>
      <c r="W1956" s="18"/>
      <c r="X1956" s="18"/>
    </row>
    <row r="1957">
      <c r="A1957" s="20"/>
      <c r="B1957" s="3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35"/>
      <c r="N1957" s="18"/>
      <c r="O1957" s="18"/>
      <c r="P1957" s="18"/>
      <c r="Q1957" s="34"/>
      <c r="R1957" s="18"/>
      <c r="S1957" s="18"/>
      <c r="T1957" s="19" t="s">
        <v>1977</v>
      </c>
      <c r="U1957" s="9" t="str">
        <f t="shared" si="1"/>
        <v>NSE:MARALOVER</v>
      </c>
      <c r="V1957" s="18"/>
      <c r="W1957" s="18"/>
      <c r="X1957" s="18"/>
    </row>
    <row r="1958">
      <c r="A1958" s="20"/>
      <c r="B1958" s="3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35"/>
      <c r="N1958" s="18"/>
      <c r="O1958" s="18"/>
      <c r="P1958" s="18"/>
      <c r="Q1958" s="34"/>
      <c r="R1958" s="18"/>
      <c r="S1958" s="18"/>
      <c r="T1958" s="19" t="s">
        <v>1978</v>
      </c>
      <c r="U1958" s="9" t="str">
        <f t="shared" si="1"/>
        <v>NSE:MOGSEC</v>
      </c>
      <c r="V1958" s="18"/>
      <c r="W1958" s="18"/>
      <c r="X1958" s="18"/>
    </row>
    <row r="1959">
      <c r="A1959" s="20"/>
      <c r="B1959" s="3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35"/>
      <c r="N1959" s="18"/>
      <c r="O1959" s="18"/>
      <c r="P1959" s="18"/>
      <c r="Q1959" s="34"/>
      <c r="R1959" s="18"/>
      <c r="S1959" s="18"/>
      <c r="T1959" s="19" t="s">
        <v>1979</v>
      </c>
      <c r="U1959" s="9" t="str">
        <f t="shared" si="1"/>
        <v>NSE:HDFCQUAL</v>
      </c>
      <c r="V1959" s="18"/>
      <c r="W1959" s="18"/>
      <c r="X1959" s="18"/>
    </row>
    <row r="1960">
      <c r="A1960" s="20"/>
      <c r="B1960" s="3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35"/>
      <c r="N1960" s="18"/>
      <c r="O1960" s="18"/>
      <c r="P1960" s="18"/>
      <c r="Q1960" s="34"/>
      <c r="R1960" s="18"/>
      <c r="S1960" s="18"/>
      <c r="T1960" s="19" t="s">
        <v>1980</v>
      </c>
      <c r="U1960" s="9" t="str">
        <f t="shared" si="1"/>
        <v>NSE:XTGLOBAL</v>
      </c>
      <c r="V1960" s="18"/>
      <c r="W1960" s="18"/>
      <c r="X1960" s="18"/>
    </row>
    <row r="1961">
      <c r="A1961" s="20"/>
      <c r="B1961" s="3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35"/>
      <c r="N1961" s="18"/>
      <c r="O1961" s="18"/>
      <c r="P1961" s="18"/>
      <c r="Q1961" s="34"/>
      <c r="R1961" s="18"/>
      <c r="S1961" s="18"/>
      <c r="T1961" s="19" t="s">
        <v>1981</v>
      </c>
      <c r="U1961" s="9" t="str">
        <f t="shared" si="1"/>
        <v>NSE:LICNFNHGP</v>
      </c>
      <c r="V1961" s="18"/>
      <c r="W1961" s="18"/>
      <c r="X1961" s="18"/>
    </row>
    <row r="1962">
      <c r="A1962" s="20"/>
      <c r="B1962" s="3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35"/>
      <c r="N1962" s="18"/>
      <c r="O1962" s="18"/>
      <c r="P1962" s="18"/>
      <c r="Q1962" s="34"/>
      <c r="R1962" s="18"/>
      <c r="S1962" s="18"/>
      <c r="T1962" s="19" t="s">
        <v>1982</v>
      </c>
      <c r="U1962" s="9" t="str">
        <f t="shared" si="1"/>
        <v>NSE:MANAKALUCO</v>
      </c>
      <c r="V1962" s="18"/>
      <c r="W1962" s="18"/>
      <c r="X1962" s="18"/>
    </row>
    <row r="1963">
      <c r="A1963" s="20"/>
      <c r="B1963" s="3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35"/>
      <c r="N1963" s="18"/>
      <c r="O1963" s="18"/>
      <c r="P1963" s="18"/>
      <c r="Q1963" s="34"/>
      <c r="R1963" s="18"/>
      <c r="S1963" s="18"/>
      <c r="T1963" s="19" t="s">
        <v>1983</v>
      </c>
      <c r="U1963" s="9" t="str">
        <f t="shared" si="1"/>
        <v>NSE:ORTINGLOBE</v>
      </c>
      <c r="V1963" s="18"/>
      <c r="W1963" s="18"/>
      <c r="X1963" s="18"/>
    </row>
    <row r="1964">
      <c r="A1964" s="20"/>
      <c r="B1964" s="3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35"/>
      <c r="N1964" s="18"/>
      <c r="O1964" s="18"/>
      <c r="P1964" s="18"/>
      <c r="Q1964" s="34"/>
      <c r="R1964" s="18"/>
      <c r="S1964" s="18"/>
      <c r="T1964" s="19" t="s">
        <v>1984</v>
      </c>
      <c r="U1964" s="9" t="str">
        <f t="shared" si="1"/>
        <v>NSE:SDL26BEES</v>
      </c>
      <c r="V1964" s="18"/>
      <c r="W1964" s="18"/>
      <c r="X1964" s="18"/>
    </row>
    <row r="1965">
      <c r="A1965" s="20"/>
      <c r="B1965" s="3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35"/>
      <c r="N1965" s="18"/>
      <c r="O1965" s="18"/>
      <c r="P1965" s="18"/>
      <c r="Q1965" s="34"/>
      <c r="R1965" s="18"/>
      <c r="S1965" s="18"/>
      <c r="T1965" s="19" t="s">
        <v>1985</v>
      </c>
      <c r="U1965" s="9" t="str">
        <f t="shared" si="1"/>
        <v>NSE:KARMAENG</v>
      </c>
      <c r="V1965" s="18"/>
      <c r="W1965" s="18"/>
      <c r="X1965" s="18"/>
    </row>
    <row r="1966">
      <c r="A1966" s="20"/>
      <c r="B1966" s="3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35"/>
      <c r="N1966" s="18"/>
      <c r="O1966" s="18"/>
      <c r="P1966" s="18"/>
      <c r="Q1966" s="34"/>
      <c r="R1966" s="18"/>
      <c r="S1966" s="18"/>
      <c r="T1966" s="19" t="s">
        <v>1986</v>
      </c>
      <c r="U1966" s="9" t="str">
        <f t="shared" si="1"/>
        <v>NSE:COUNCODOS</v>
      </c>
      <c r="V1966" s="18"/>
      <c r="W1966" s="18"/>
      <c r="X1966" s="18"/>
    </row>
    <row r="1967">
      <c r="A1967" s="20"/>
      <c r="B1967" s="3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35"/>
      <c r="N1967" s="18"/>
      <c r="O1967" s="18"/>
      <c r="P1967" s="18"/>
      <c r="Q1967" s="34"/>
      <c r="R1967" s="18"/>
      <c r="S1967" s="18"/>
      <c r="T1967" s="19" t="s">
        <v>1987</v>
      </c>
      <c r="U1967" s="9" t="str">
        <f t="shared" si="1"/>
        <v>NSE:AXISHCETF</v>
      </c>
      <c r="V1967" s="18"/>
      <c r="W1967" s="18"/>
      <c r="X1967" s="18"/>
    </row>
    <row r="1968">
      <c r="A1968" s="20"/>
      <c r="B1968" s="3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35"/>
      <c r="N1968" s="18"/>
      <c r="O1968" s="18"/>
      <c r="P1968" s="18"/>
      <c r="Q1968" s="34"/>
      <c r="R1968" s="18"/>
      <c r="S1968" s="18"/>
      <c r="T1968" s="19" t="s">
        <v>1988</v>
      </c>
      <c r="U1968" s="9" t="str">
        <f t="shared" si="1"/>
        <v>NSE:ASHOKAMET</v>
      </c>
      <c r="V1968" s="18"/>
      <c r="W1968" s="18"/>
      <c r="X1968" s="18"/>
    </row>
    <row r="1969">
      <c r="A1969" s="20"/>
      <c r="B1969" s="3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35"/>
      <c r="N1969" s="18"/>
      <c r="O1969" s="18"/>
      <c r="P1969" s="18"/>
      <c r="Q1969" s="34"/>
      <c r="R1969" s="18"/>
      <c r="S1969" s="18"/>
      <c r="T1969" s="19" t="s">
        <v>1989</v>
      </c>
      <c r="U1969" s="9" t="str">
        <f t="shared" si="1"/>
        <v>NSE:NIFMID150</v>
      </c>
      <c r="V1969" s="18"/>
      <c r="W1969" s="18"/>
      <c r="X1969" s="18"/>
    </row>
    <row r="1970">
      <c r="A1970" s="20"/>
      <c r="B1970" s="3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35"/>
      <c r="N1970" s="18"/>
      <c r="O1970" s="18"/>
      <c r="P1970" s="18"/>
      <c r="Q1970" s="34"/>
      <c r="R1970" s="18"/>
      <c r="S1970" s="18"/>
      <c r="T1970" s="19" t="s">
        <v>1990</v>
      </c>
      <c r="U1970" s="9" t="str">
        <f t="shared" si="1"/>
        <v>NSE:NIFTY100EW</v>
      </c>
      <c r="V1970" s="18"/>
      <c r="W1970" s="18"/>
      <c r="X1970" s="18"/>
    </row>
    <row r="1971">
      <c r="A1971" s="20"/>
      <c r="B1971" s="3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35"/>
      <c r="N1971" s="18"/>
      <c r="O1971" s="18"/>
      <c r="P1971" s="18"/>
      <c r="Q1971" s="34"/>
      <c r="R1971" s="18"/>
      <c r="S1971" s="18"/>
      <c r="T1971" s="19" t="s">
        <v>1991</v>
      </c>
      <c r="U1971" s="9" t="str">
        <f t="shared" si="1"/>
        <v>NSE:MOCAPITAL</v>
      </c>
      <c r="V1971" s="18"/>
      <c r="W1971" s="18"/>
      <c r="X1971" s="18"/>
    </row>
    <row r="1972">
      <c r="A1972" s="20"/>
      <c r="B1972" s="3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35"/>
      <c r="N1972" s="18"/>
      <c r="O1972" s="18"/>
      <c r="P1972" s="18"/>
      <c r="Q1972" s="34"/>
      <c r="R1972" s="18"/>
      <c r="S1972" s="18"/>
      <c r="T1972" s="19" t="s">
        <v>1992</v>
      </c>
      <c r="U1972" s="9" t="str">
        <f t="shared" si="1"/>
        <v>NSE:SVLL</v>
      </c>
      <c r="V1972" s="18"/>
      <c r="W1972" s="18"/>
      <c r="X1972" s="18"/>
    </row>
    <row r="1973">
      <c r="A1973" s="20"/>
      <c r="B1973" s="3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35"/>
      <c r="N1973" s="18"/>
      <c r="O1973" s="18"/>
      <c r="P1973" s="18"/>
      <c r="Q1973" s="34"/>
      <c r="R1973" s="18"/>
      <c r="S1973" s="18"/>
      <c r="T1973" s="19" t="s">
        <v>1993</v>
      </c>
      <c r="U1973" s="9" t="str">
        <f t="shared" si="1"/>
        <v>NSE:PSUBANKADD</v>
      </c>
      <c r="V1973" s="18"/>
      <c r="W1973" s="18"/>
      <c r="X1973" s="18"/>
    </row>
    <row r="1974">
      <c r="A1974" s="20"/>
      <c r="B1974" s="3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35"/>
      <c r="N1974" s="18"/>
      <c r="O1974" s="18"/>
      <c r="P1974" s="18"/>
      <c r="Q1974" s="34"/>
      <c r="R1974" s="18"/>
      <c r="S1974" s="18"/>
      <c r="T1974" s="19" t="s">
        <v>1994</v>
      </c>
      <c r="U1974" s="9" t="str">
        <f t="shared" si="1"/>
        <v>NSE:TECH</v>
      </c>
      <c r="V1974" s="18"/>
      <c r="W1974" s="18"/>
      <c r="X1974" s="18"/>
    </row>
    <row r="1975">
      <c r="A1975" s="20"/>
      <c r="B1975" s="3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35"/>
      <c r="N1975" s="18"/>
      <c r="O1975" s="18"/>
      <c r="P1975" s="18"/>
      <c r="Q1975" s="34"/>
      <c r="R1975" s="18"/>
      <c r="S1975" s="18"/>
      <c r="T1975" s="19" t="s">
        <v>1995</v>
      </c>
      <c r="U1975" s="9" t="str">
        <f t="shared" si="1"/>
        <v>NSE:ANTGRAPHIC</v>
      </c>
      <c r="V1975" s="18"/>
      <c r="W1975" s="18"/>
      <c r="X1975" s="18"/>
    </row>
    <row r="1976">
      <c r="A1976" s="20"/>
      <c r="B1976" s="3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35"/>
      <c r="N1976" s="18"/>
      <c r="O1976" s="18"/>
      <c r="P1976" s="18"/>
      <c r="Q1976" s="34"/>
      <c r="R1976" s="18"/>
      <c r="S1976" s="18"/>
      <c r="T1976" s="19" t="s">
        <v>1996</v>
      </c>
      <c r="U1976" s="9" t="str">
        <f t="shared" si="1"/>
        <v>NSE:TOKYOPLAST</v>
      </c>
      <c r="V1976" s="18"/>
      <c r="W1976" s="18"/>
      <c r="X1976" s="18"/>
    </row>
    <row r="1977">
      <c r="A1977" s="20"/>
      <c r="B1977" s="3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35"/>
      <c r="N1977" s="18"/>
      <c r="O1977" s="18"/>
      <c r="P1977" s="18"/>
      <c r="Q1977" s="34"/>
      <c r="R1977" s="18"/>
      <c r="S1977" s="18"/>
      <c r="T1977" s="19" t="s">
        <v>1997</v>
      </c>
      <c r="U1977" s="9" t="str">
        <f t="shared" si="1"/>
        <v>NSE:UTISXN50</v>
      </c>
      <c r="V1977" s="18"/>
      <c r="W1977" s="18"/>
      <c r="X1977" s="18"/>
    </row>
    <row r="1978">
      <c r="A1978" s="20"/>
      <c r="B1978" s="3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35"/>
      <c r="N1978" s="18"/>
      <c r="O1978" s="18"/>
      <c r="P1978" s="18"/>
      <c r="Q1978" s="34"/>
      <c r="R1978" s="18"/>
      <c r="S1978" s="18"/>
      <c r="T1978" s="19" t="s">
        <v>1998</v>
      </c>
      <c r="U1978" s="9" t="str">
        <f t="shared" si="1"/>
        <v>NSE:ESILVER</v>
      </c>
      <c r="V1978" s="18"/>
      <c r="W1978" s="18"/>
      <c r="X1978" s="18"/>
    </row>
    <row r="1979">
      <c r="A1979" s="20"/>
      <c r="B1979" s="3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35"/>
      <c r="N1979" s="18"/>
      <c r="O1979" s="18"/>
      <c r="P1979" s="18"/>
      <c r="Q1979" s="34"/>
      <c r="R1979" s="18"/>
      <c r="S1979" s="18"/>
      <c r="T1979" s="19" t="s">
        <v>1999</v>
      </c>
      <c r="U1979" s="9" t="str">
        <f t="shared" si="1"/>
        <v>NSE:SGL</v>
      </c>
      <c r="V1979" s="18"/>
      <c r="W1979" s="18"/>
      <c r="X1979" s="18"/>
    </row>
    <row r="1980">
      <c r="A1980" s="20"/>
      <c r="B1980" s="3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35"/>
      <c r="N1980" s="18"/>
      <c r="O1980" s="18"/>
      <c r="P1980" s="18"/>
      <c r="Q1980" s="34"/>
      <c r="R1980" s="18"/>
      <c r="S1980" s="18"/>
      <c r="T1980" s="19" t="s">
        <v>2000</v>
      </c>
      <c r="U1980" s="9" t="str">
        <f t="shared" si="1"/>
        <v>NSE:BBNPPGOLD</v>
      </c>
      <c r="V1980" s="18"/>
      <c r="W1980" s="18"/>
      <c r="X1980" s="18"/>
    </row>
    <row r="1981">
      <c r="A1981" s="20"/>
      <c r="B1981" s="3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35"/>
      <c r="N1981" s="18"/>
      <c r="O1981" s="18"/>
      <c r="P1981" s="18"/>
      <c r="Q1981" s="34"/>
      <c r="R1981" s="18"/>
      <c r="S1981" s="18"/>
      <c r="T1981" s="19" t="s">
        <v>2001</v>
      </c>
      <c r="U1981" s="9" t="str">
        <f t="shared" si="1"/>
        <v>NSE:MADHAV</v>
      </c>
      <c r="V1981" s="18"/>
      <c r="W1981" s="18"/>
      <c r="X1981" s="18"/>
    </row>
    <row r="1982">
      <c r="A1982" s="20"/>
      <c r="B1982" s="3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35"/>
      <c r="N1982" s="18"/>
      <c r="O1982" s="18"/>
      <c r="P1982" s="18"/>
      <c r="Q1982" s="34"/>
      <c r="R1982" s="18"/>
      <c r="S1982" s="18"/>
      <c r="T1982" s="19" t="s">
        <v>2002</v>
      </c>
      <c r="U1982" s="9" t="str">
        <f t="shared" si="1"/>
        <v>NSE:BANKPSU</v>
      </c>
      <c r="V1982" s="18"/>
      <c r="W1982" s="18"/>
      <c r="X1982" s="18"/>
    </row>
    <row r="1983">
      <c r="A1983" s="20"/>
      <c r="B1983" s="3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35"/>
      <c r="N1983" s="18"/>
      <c r="O1983" s="18"/>
      <c r="P1983" s="18"/>
      <c r="Q1983" s="34"/>
      <c r="R1983" s="18"/>
      <c r="S1983" s="18"/>
      <c r="T1983" s="19" t="s">
        <v>2003</v>
      </c>
      <c r="U1983" s="9" t="str">
        <f t="shared" si="1"/>
        <v>NSE:NIFITETF</v>
      </c>
      <c r="V1983" s="18"/>
      <c r="W1983" s="18"/>
      <c r="X1983" s="18"/>
    </row>
    <row r="1984">
      <c r="A1984" s="20"/>
      <c r="B1984" s="3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35"/>
      <c r="N1984" s="18"/>
      <c r="O1984" s="18"/>
      <c r="P1984" s="18"/>
      <c r="Q1984" s="34"/>
      <c r="R1984" s="18"/>
      <c r="S1984" s="18"/>
      <c r="T1984" s="19" t="s">
        <v>2004</v>
      </c>
      <c r="U1984" s="9" t="str">
        <f t="shared" si="1"/>
        <v>NSE:BINANIIND</v>
      </c>
      <c r="V1984" s="18"/>
      <c r="W1984" s="18"/>
      <c r="X1984" s="18"/>
    </row>
    <row r="1985">
      <c r="A1985" s="20"/>
      <c r="B1985" s="3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35"/>
      <c r="N1985" s="18"/>
      <c r="O1985" s="18"/>
      <c r="P1985" s="18"/>
      <c r="Q1985" s="34"/>
      <c r="R1985" s="18"/>
      <c r="S1985" s="18"/>
      <c r="T1985" s="19" t="s">
        <v>2005</v>
      </c>
      <c r="U1985" s="9" t="str">
        <f t="shared" si="1"/>
        <v>NSE:SURAJLTD</v>
      </c>
      <c r="V1985" s="18"/>
      <c r="W1985" s="18"/>
      <c r="X1985" s="18"/>
    </row>
    <row r="1986">
      <c r="A1986" s="20"/>
      <c r="B1986" s="3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35"/>
      <c r="N1986" s="18"/>
      <c r="O1986" s="18"/>
      <c r="P1986" s="18"/>
      <c r="Q1986" s="34"/>
      <c r="R1986" s="18"/>
      <c r="S1986" s="18"/>
      <c r="T1986" s="19" t="s">
        <v>2006</v>
      </c>
      <c r="U1986" s="9" t="str">
        <f t="shared" si="1"/>
        <v>NSE:ADROITINFO</v>
      </c>
      <c r="V1986" s="18"/>
      <c r="W1986" s="18"/>
      <c r="X1986" s="18"/>
    </row>
    <row r="1987">
      <c r="A1987" s="20"/>
      <c r="B1987" s="3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35"/>
      <c r="N1987" s="18"/>
      <c r="O1987" s="18"/>
      <c r="P1987" s="18"/>
      <c r="Q1987" s="34"/>
      <c r="R1987" s="18"/>
      <c r="S1987" s="18"/>
      <c r="T1987" s="19" t="s">
        <v>2007</v>
      </c>
      <c r="U1987" s="9" t="str">
        <f t="shared" si="1"/>
        <v>NSE:INFOMEDIA</v>
      </c>
      <c r="V1987" s="18"/>
      <c r="W1987" s="18"/>
      <c r="X1987" s="18"/>
    </row>
    <row r="1988">
      <c r="A1988" s="20"/>
      <c r="B1988" s="3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35"/>
      <c r="N1988" s="18"/>
      <c r="O1988" s="18"/>
      <c r="P1988" s="18"/>
      <c r="Q1988" s="34"/>
      <c r="R1988" s="18"/>
      <c r="S1988" s="18"/>
      <c r="T1988" s="19" t="s">
        <v>2008</v>
      </c>
      <c r="U1988" s="9" t="str">
        <f t="shared" si="1"/>
        <v>NSE:SENSEXADD</v>
      </c>
      <c r="V1988" s="18"/>
      <c r="W1988" s="18"/>
      <c r="X1988" s="18"/>
    </row>
    <row r="1989">
      <c r="A1989" s="20"/>
      <c r="B1989" s="3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35"/>
      <c r="N1989" s="18"/>
      <c r="O1989" s="18"/>
      <c r="P1989" s="18"/>
      <c r="Q1989" s="34"/>
      <c r="R1989" s="18"/>
      <c r="S1989" s="18"/>
      <c r="T1989" s="19" t="s">
        <v>2009</v>
      </c>
      <c r="U1989" s="9" t="str">
        <f t="shared" si="1"/>
        <v>NSE:GROBTEA</v>
      </c>
      <c r="V1989" s="18"/>
      <c r="W1989" s="18"/>
      <c r="X1989" s="18"/>
    </row>
    <row r="1990">
      <c r="A1990" s="20"/>
      <c r="B1990" s="3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35"/>
      <c r="N1990" s="18"/>
      <c r="O1990" s="18"/>
      <c r="P1990" s="18"/>
      <c r="Q1990" s="34"/>
      <c r="R1990" s="18"/>
      <c r="S1990" s="18"/>
      <c r="T1990" s="19" t="s">
        <v>2010</v>
      </c>
      <c r="U1990" s="9" t="str">
        <f t="shared" si="1"/>
        <v>NSE:MADHUCON</v>
      </c>
      <c r="V1990" s="18"/>
      <c r="W1990" s="18"/>
      <c r="X1990" s="18"/>
    </row>
    <row r="1991">
      <c r="A1991" s="20"/>
      <c r="B1991" s="3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35"/>
      <c r="N1991" s="18"/>
      <c r="O1991" s="18"/>
      <c r="P1991" s="18"/>
      <c r="Q1991" s="34"/>
      <c r="R1991" s="18"/>
      <c r="S1991" s="18"/>
      <c r="T1991" s="19" t="s">
        <v>2011</v>
      </c>
      <c r="U1991" s="9" t="str">
        <f t="shared" si="1"/>
        <v>NSE:VAL30IETF</v>
      </c>
      <c r="V1991" s="18"/>
      <c r="W1991" s="18"/>
      <c r="X1991" s="18"/>
    </row>
    <row r="1992">
      <c r="A1992" s="20"/>
      <c r="B1992" s="3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35"/>
      <c r="N1992" s="18"/>
      <c r="O1992" s="18"/>
      <c r="P1992" s="18"/>
      <c r="Q1992" s="34"/>
      <c r="R1992" s="18"/>
      <c r="S1992" s="18"/>
      <c r="T1992" s="19" t="s">
        <v>2012</v>
      </c>
      <c r="U1992" s="9" t="str">
        <f t="shared" si="1"/>
        <v>NSE:AXSENSEX</v>
      </c>
      <c r="V1992" s="18"/>
      <c r="W1992" s="18"/>
      <c r="X1992" s="18"/>
    </row>
    <row r="1993">
      <c r="A1993" s="20"/>
      <c r="B1993" s="3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35"/>
      <c r="N1993" s="18"/>
      <c r="O1993" s="18"/>
      <c r="P1993" s="18"/>
      <c r="Q1993" s="34"/>
      <c r="R1993" s="18"/>
      <c r="S1993" s="18"/>
      <c r="T1993" s="19" t="s">
        <v>2013</v>
      </c>
      <c r="U1993" s="9" t="str">
        <f t="shared" si="1"/>
        <v>NSE:NGIL</v>
      </c>
      <c r="V1993" s="18"/>
      <c r="W1993" s="18"/>
      <c r="X1993" s="18"/>
    </row>
    <row r="1994">
      <c r="A1994" s="20"/>
      <c r="B1994" s="3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35"/>
      <c r="N1994" s="18"/>
      <c r="O1994" s="18"/>
      <c r="P1994" s="18"/>
      <c r="Q1994" s="34"/>
      <c r="R1994" s="18"/>
      <c r="S1994" s="18"/>
      <c r="T1994" s="19" t="s">
        <v>2014</v>
      </c>
      <c r="U1994" s="9" t="str">
        <f t="shared" si="1"/>
        <v>NSE:SALONA</v>
      </c>
      <c r="V1994" s="18"/>
      <c r="W1994" s="18"/>
      <c r="X1994" s="18"/>
    </row>
    <row r="1995">
      <c r="A1995" s="20"/>
      <c r="B1995" s="3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35"/>
      <c r="N1995" s="18"/>
      <c r="O1995" s="18"/>
      <c r="P1995" s="18"/>
      <c r="Q1995" s="34"/>
      <c r="R1995" s="18"/>
      <c r="S1995" s="18"/>
      <c r="T1995" s="19" t="s">
        <v>2015</v>
      </c>
      <c r="U1995" s="9" t="str">
        <f t="shared" si="1"/>
        <v>NSE:S&amp;SPOWER</v>
      </c>
      <c r="V1995" s="18"/>
      <c r="W1995" s="18"/>
      <c r="X1995" s="18"/>
    </row>
    <row r="1996">
      <c r="A1996" s="20"/>
      <c r="B1996" s="3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35"/>
      <c r="N1996" s="18"/>
      <c r="O1996" s="18"/>
      <c r="P1996" s="18"/>
      <c r="Q1996" s="34"/>
      <c r="R1996" s="18"/>
      <c r="S1996" s="18"/>
      <c r="T1996" s="19" t="s">
        <v>2016</v>
      </c>
      <c r="U1996" s="9" t="str">
        <f t="shared" si="1"/>
        <v>NSE:KAUSHALYA</v>
      </c>
      <c r="V1996" s="18"/>
      <c r="W1996" s="18"/>
      <c r="X1996" s="18"/>
    </row>
    <row r="1997">
      <c r="A1997" s="20"/>
      <c r="B1997" s="3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35"/>
      <c r="N1997" s="18"/>
      <c r="O1997" s="18"/>
      <c r="P1997" s="18"/>
      <c r="Q1997" s="34"/>
      <c r="R1997" s="18"/>
      <c r="S1997" s="18"/>
      <c r="T1997" s="19" t="s">
        <v>2017</v>
      </c>
      <c r="U1997" s="9" t="str">
        <f t="shared" si="1"/>
        <v>NSE:CREATIVEYE</v>
      </c>
      <c r="V1997" s="18"/>
      <c r="W1997" s="18"/>
      <c r="X1997" s="18"/>
    </row>
    <row r="1998">
      <c r="A1998" s="20"/>
      <c r="B1998" s="3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35"/>
      <c r="N1998" s="18"/>
      <c r="O1998" s="18"/>
      <c r="P1998" s="18"/>
      <c r="Q1998" s="34"/>
      <c r="R1998" s="18"/>
      <c r="S1998" s="18"/>
      <c r="T1998" s="19" t="s">
        <v>2018</v>
      </c>
      <c r="U1998" s="9" t="str">
        <f t="shared" si="1"/>
        <v>NSE:NEXTMEDIA</v>
      </c>
      <c r="V1998" s="18"/>
      <c r="W1998" s="18"/>
      <c r="X1998" s="18"/>
    </row>
    <row r="1999">
      <c r="A1999" s="20"/>
      <c r="B1999" s="3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35"/>
      <c r="N1999" s="18"/>
      <c r="O1999" s="18"/>
      <c r="P1999" s="18"/>
      <c r="Q1999" s="34"/>
      <c r="R1999" s="18"/>
      <c r="S1999" s="18"/>
      <c r="T1999" s="19" t="s">
        <v>2019</v>
      </c>
      <c r="U1999" s="9" t="str">
        <f t="shared" si="1"/>
        <v>NSE:MSCIINDIA</v>
      </c>
      <c r="V1999" s="18"/>
      <c r="W1999" s="18"/>
      <c r="X1999" s="18"/>
    </row>
    <row r="2000">
      <c r="A2000" s="20"/>
      <c r="B2000" s="3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35"/>
      <c r="N2000" s="18"/>
      <c r="O2000" s="18"/>
      <c r="P2000" s="18"/>
      <c r="Q2000" s="34"/>
      <c r="R2000" s="18"/>
      <c r="S2000" s="18"/>
      <c r="T2000" s="19" t="s">
        <v>2020</v>
      </c>
      <c r="U2000" s="9" t="str">
        <f t="shared" si="1"/>
        <v>NSE:UMESLTD</v>
      </c>
      <c r="V2000" s="18"/>
      <c r="W2000" s="18"/>
      <c r="X2000" s="18"/>
    </row>
    <row r="2001">
      <c r="A2001" s="20"/>
      <c r="B2001" s="38"/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35"/>
      <c r="N2001" s="18"/>
      <c r="O2001" s="18"/>
      <c r="P2001" s="18"/>
      <c r="Q2001" s="34"/>
      <c r="R2001" s="18"/>
      <c r="S2001" s="18"/>
      <c r="T2001" s="19" t="s">
        <v>2021</v>
      </c>
      <c r="U2001" s="9" t="str">
        <f t="shared" si="1"/>
        <v>NSE:HECPROJECT</v>
      </c>
      <c r="V2001" s="18"/>
      <c r="W2001" s="18"/>
      <c r="X2001" s="18"/>
    </row>
    <row r="2002">
      <c r="A2002" s="20"/>
      <c r="B2002" s="3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35"/>
      <c r="N2002" s="18"/>
      <c r="O2002" s="18"/>
      <c r="P2002" s="18"/>
      <c r="Q2002" s="34"/>
      <c r="R2002" s="18"/>
      <c r="S2002" s="18"/>
      <c r="T2002" s="19" t="s">
        <v>2022</v>
      </c>
      <c r="U2002" s="9" t="str">
        <f t="shared" si="1"/>
        <v>NSE:KHANDSE</v>
      </c>
      <c r="V2002" s="18"/>
      <c r="W2002" s="18"/>
      <c r="X2002" s="18"/>
    </row>
    <row r="2003">
      <c r="A2003" s="20"/>
      <c r="B2003" s="38"/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35"/>
      <c r="N2003" s="18"/>
      <c r="O2003" s="18"/>
      <c r="P2003" s="18"/>
      <c r="Q2003" s="34"/>
      <c r="R2003" s="18"/>
      <c r="S2003" s="18"/>
      <c r="T2003" s="19" t="s">
        <v>2023</v>
      </c>
      <c r="U2003" s="9" t="str">
        <f t="shared" si="1"/>
        <v>NSE:LICNETFSEN</v>
      </c>
      <c r="V2003" s="18"/>
      <c r="W2003" s="18"/>
      <c r="X2003" s="18"/>
    </row>
    <row r="2004">
      <c r="A2004" s="20"/>
      <c r="B2004" s="38"/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35"/>
      <c r="N2004" s="18"/>
      <c r="O2004" s="18"/>
      <c r="P2004" s="18"/>
      <c r="Q2004" s="34"/>
      <c r="R2004" s="18"/>
      <c r="S2004" s="18"/>
      <c r="T2004" s="19" t="s">
        <v>2024</v>
      </c>
      <c r="U2004" s="9" t="str">
        <f t="shared" si="1"/>
        <v>NSE:BSLSENETFG</v>
      </c>
      <c r="V2004" s="18"/>
      <c r="W2004" s="18"/>
      <c r="X2004" s="18"/>
    </row>
    <row r="2005">
      <c r="A2005" s="20"/>
      <c r="B2005" s="38"/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35"/>
      <c r="N2005" s="18"/>
      <c r="O2005" s="18"/>
      <c r="P2005" s="18"/>
      <c r="Q2005" s="34"/>
      <c r="R2005" s="18"/>
      <c r="S2005" s="18"/>
      <c r="T2005" s="19" t="s">
        <v>2025</v>
      </c>
      <c r="U2005" s="9" t="str">
        <f t="shared" si="1"/>
        <v>NSE:IVZINNIFTY</v>
      </c>
      <c r="V2005" s="18"/>
      <c r="W2005" s="18"/>
      <c r="X2005" s="18"/>
    </row>
    <row r="2006">
      <c r="A2006" s="20"/>
      <c r="B2006" s="38"/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35"/>
      <c r="N2006" s="18"/>
      <c r="O2006" s="18"/>
      <c r="P2006" s="18"/>
      <c r="Q2006" s="34"/>
      <c r="R2006" s="18"/>
      <c r="S2006" s="18"/>
      <c r="T2006" s="19" t="s">
        <v>2026</v>
      </c>
      <c r="U2006" s="9" t="str">
        <f t="shared" si="1"/>
        <v>NSE:LOWVOL</v>
      </c>
      <c r="V2006" s="18"/>
      <c r="W2006" s="18"/>
      <c r="X2006" s="18"/>
    </row>
    <row r="2007">
      <c r="A2007" s="20"/>
      <c r="B2007" s="38"/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35"/>
      <c r="N2007" s="18"/>
      <c r="O2007" s="18"/>
      <c r="P2007" s="18"/>
      <c r="Q2007" s="34"/>
      <c r="R2007" s="18"/>
      <c r="S2007" s="18"/>
      <c r="T2007" s="19" t="s">
        <v>2027</v>
      </c>
      <c r="U2007" s="9" t="str">
        <f t="shared" si="1"/>
        <v>NSE:HYBRIDFIN</v>
      </c>
      <c r="V2007" s="18"/>
      <c r="W2007" s="18"/>
      <c r="X2007" s="18"/>
    </row>
    <row r="2008">
      <c r="A2008" s="20"/>
      <c r="B2008" s="3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35"/>
      <c r="N2008" s="18"/>
      <c r="O2008" s="18"/>
      <c r="P2008" s="18"/>
      <c r="Q2008" s="34"/>
      <c r="R2008" s="18"/>
      <c r="S2008" s="18"/>
      <c r="T2008" s="19" t="s">
        <v>2028</v>
      </c>
      <c r="U2008" s="9" t="str">
        <f t="shared" si="1"/>
        <v>NSE:MOLOWVOL</v>
      </c>
      <c r="V2008" s="18"/>
      <c r="W2008" s="18"/>
      <c r="X2008" s="18"/>
    </row>
    <row r="2009">
      <c r="A2009" s="20"/>
      <c r="B2009" s="38"/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35"/>
      <c r="N2009" s="18"/>
      <c r="O2009" s="18"/>
      <c r="P2009" s="18"/>
      <c r="Q2009" s="34"/>
      <c r="R2009" s="18"/>
      <c r="S2009" s="18"/>
      <c r="T2009" s="19" t="s">
        <v>2029</v>
      </c>
      <c r="U2009" s="9" t="str">
        <f t="shared" si="1"/>
        <v>NSE:IDFNIFTYET</v>
      </c>
      <c r="V2009" s="18"/>
      <c r="W2009" s="18"/>
      <c r="X2009" s="18"/>
    </row>
    <row r="2010">
      <c r="A2010" s="20"/>
      <c r="B2010" s="38"/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35"/>
      <c r="N2010" s="18"/>
      <c r="O2010" s="18"/>
      <c r="P2010" s="18"/>
      <c r="Q2010" s="34"/>
      <c r="R2010" s="18"/>
      <c r="S2010" s="18"/>
      <c r="T2010" s="19" t="s">
        <v>2030</v>
      </c>
      <c r="U2010" s="9" t="str">
        <f t="shared" si="1"/>
        <v>NSE:WILLAMAGOR</v>
      </c>
      <c r="V2010" s="18"/>
      <c r="W2010" s="18"/>
      <c r="X2010" s="18"/>
    </row>
    <row r="2011">
      <c r="A2011" s="20"/>
      <c r="B2011" s="3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35"/>
      <c r="N2011" s="18"/>
      <c r="O2011" s="18"/>
      <c r="P2011" s="18"/>
      <c r="Q2011" s="34"/>
      <c r="R2011" s="18"/>
      <c r="S2011" s="18"/>
      <c r="T2011" s="19" t="s">
        <v>2031</v>
      </c>
      <c r="U2011" s="9" t="str">
        <f t="shared" si="1"/>
        <v>NSE:NAGREEKCAP</v>
      </c>
      <c r="V2011" s="18"/>
      <c r="W2011" s="18"/>
      <c r="X2011" s="18"/>
    </row>
    <row r="2012">
      <c r="A2012" s="20"/>
      <c r="B2012" s="38"/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35"/>
      <c r="N2012" s="18"/>
      <c r="O2012" s="18"/>
      <c r="P2012" s="18"/>
      <c r="Q2012" s="34"/>
      <c r="R2012" s="18"/>
      <c r="S2012" s="18"/>
      <c r="T2012" s="19" t="s">
        <v>2032</v>
      </c>
      <c r="U2012" s="9" t="str">
        <f t="shared" si="1"/>
        <v>NSE:HAVISHA</v>
      </c>
      <c r="V2012" s="18"/>
      <c r="W2012" s="18"/>
      <c r="X2012" s="18"/>
    </row>
    <row r="2013">
      <c r="A2013" s="20"/>
      <c r="B2013" s="38"/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35"/>
      <c r="N2013" s="18"/>
      <c r="O2013" s="18"/>
      <c r="P2013" s="18"/>
      <c r="Q2013" s="34"/>
      <c r="R2013" s="18"/>
      <c r="S2013" s="18"/>
      <c r="T2013" s="19" t="s">
        <v>2033</v>
      </c>
      <c r="U2013" s="9" t="str">
        <f t="shared" si="1"/>
        <v>NSE:NEXT30ADD</v>
      </c>
      <c r="V2013" s="18"/>
      <c r="W2013" s="18"/>
      <c r="X2013" s="18"/>
    </row>
    <row r="2014">
      <c r="A2014" s="20"/>
      <c r="B2014" s="3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35"/>
      <c r="N2014" s="18"/>
      <c r="O2014" s="18"/>
      <c r="P2014" s="18"/>
      <c r="Q2014" s="34"/>
      <c r="R2014" s="18"/>
      <c r="S2014" s="18"/>
      <c r="T2014" s="19" t="s">
        <v>2034</v>
      </c>
      <c r="U2014" s="9" t="str">
        <f t="shared" si="1"/>
        <v>NSE:SILLYMONKS</v>
      </c>
      <c r="V2014" s="18"/>
      <c r="W2014" s="18"/>
      <c r="X2014" s="18"/>
    </row>
    <row r="2015">
      <c r="A2015" s="20"/>
      <c r="B2015" s="3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35"/>
      <c r="N2015" s="18"/>
      <c r="O2015" s="18"/>
      <c r="P2015" s="18"/>
      <c r="Q2015" s="34"/>
      <c r="R2015" s="18"/>
      <c r="S2015" s="18"/>
      <c r="T2015" s="19" t="s">
        <v>2035</v>
      </c>
      <c r="U2015" s="9" t="str">
        <f t="shared" si="1"/>
        <v>NSE:ROML</v>
      </c>
      <c r="V2015" s="18"/>
      <c r="W2015" s="18"/>
      <c r="X2015" s="18"/>
    </row>
    <row r="2016">
      <c r="A2016" s="20"/>
      <c r="B2016" s="3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35"/>
      <c r="N2016" s="18"/>
      <c r="O2016" s="18"/>
      <c r="P2016" s="18"/>
      <c r="Q2016" s="34"/>
      <c r="R2016" s="18"/>
      <c r="S2016" s="18"/>
      <c r="T2016" s="19" t="s">
        <v>2036</v>
      </c>
      <c r="U2016" s="9" t="str">
        <f t="shared" si="1"/>
        <v>NSE:ESG</v>
      </c>
      <c r="V2016" s="18"/>
      <c r="W2016" s="18"/>
      <c r="X2016" s="18"/>
    </row>
    <row r="2017">
      <c r="A2017" s="20"/>
      <c r="B2017" s="3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35"/>
      <c r="N2017" s="18"/>
      <c r="O2017" s="18"/>
      <c r="P2017" s="18"/>
      <c r="Q2017" s="34"/>
      <c r="R2017" s="18"/>
      <c r="S2017" s="18"/>
      <c r="T2017" s="19" t="s">
        <v>2037</v>
      </c>
      <c r="U2017" s="9" t="str">
        <f t="shared" si="1"/>
        <v>NSE:MOQUALITY</v>
      </c>
      <c r="V2017" s="18"/>
      <c r="W2017" s="18"/>
      <c r="X2017" s="18"/>
    </row>
    <row r="2018">
      <c r="A2018" s="20"/>
      <c r="B2018" s="38"/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35"/>
      <c r="N2018" s="18"/>
      <c r="O2018" s="18"/>
      <c r="P2018" s="18"/>
      <c r="Q2018" s="34"/>
      <c r="R2018" s="18"/>
      <c r="S2018" s="18"/>
      <c r="T2018" s="19" t="s">
        <v>2038</v>
      </c>
      <c r="U2018" s="9" t="str">
        <f t="shared" si="1"/>
        <v>NSE:MODTHREAD</v>
      </c>
      <c r="V2018" s="18"/>
      <c r="W2018" s="18"/>
      <c r="X2018" s="18"/>
    </row>
    <row r="2019">
      <c r="A2019" s="20"/>
      <c r="B2019" s="3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35"/>
      <c r="N2019" s="18"/>
      <c r="O2019" s="18"/>
      <c r="P2019" s="18"/>
      <c r="Q2019" s="34"/>
      <c r="R2019" s="18"/>
      <c r="S2019" s="18"/>
      <c r="T2019" s="19" t="s">
        <v>2039</v>
      </c>
      <c r="U2019" s="9" t="str">
        <f t="shared" si="1"/>
        <v>NSE:BANKETFADD</v>
      </c>
      <c r="V2019" s="18"/>
      <c r="W2019" s="18"/>
      <c r="X2019" s="18"/>
    </row>
    <row r="2020">
      <c r="A2020" s="20"/>
      <c r="B2020" s="3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35"/>
      <c r="N2020" s="18"/>
      <c r="O2020" s="18"/>
      <c r="P2020" s="18"/>
      <c r="Q2020" s="34"/>
      <c r="R2020" s="18"/>
      <c r="S2020" s="18"/>
      <c r="T2020" s="19" t="s">
        <v>2040</v>
      </c>
      <c r="U2020" s="9" t="str">
        <f t="shared" si="1"/>
        <v>NSE:INCREDIBLE</v>
      </c>
      <c r="V2020" s="18"/>
      <c r="W2020" s="18"/>
      <c r="X2020" s="18"/>
    </row>
    <row r="2021">
      <c r="A2021" s="20"/>
      <c r="B2021" s="38"/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35"/>
      <c r="N2021" s="18"/>
      <c r="O2021" s="18"/>
      <c r="P2021" s="18"/>
      <c r="Q2021" s="34"/>
      <c r="R2021" s="18"/>
      <c r="S2021" s="18"/>
      <c r="T2021" s="19" t="s">
        <v>2041</v>
      </c>
      <c r="U2021" s="9" t="str">
        <f t="shared" si="1"/>
        <v>NSE:ABMINTLLTD</v>
      </c>
      <c r="V2021" s="18"/>
      <c r="W2021" s="18"/>
      <c r="X2021" s="18"/>
    </row>
    <row r="2022">
      <c r="A2022" s="20"/>
      <c r="B2022" s="38"/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35"/>
      <c r="N2022" s="18"/>
      <c r="O2022" s="18"/>
      <c r="P2022" s="18"/>
      <c r="Q2022" s="34"/>
      <c r="R2022" s="18"/>
      <c r="S2022" s="18"/>
      <c r="T2022" s="19" t="s">
        <v>2042</v>
      </c>
      <c r="U2022" s="9" t="str">
        <f t="shared" si="1"/>
        <v>NSE:MODIRUBBER</v>
      </c>
      <c r="V2022" s="18"/>
      <c r="W2022" s="18"/>
      <c r="X2022" s="18"/>
    </row>
    <row r="2023">
      <c r="A2023" s="20"/>
      <c r="B2023" s="38"/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35"/>
      <c r="N2023" s="18"/>
      <c r="O2023" s="18"/>
      <c r="P2023" s="18"/>
      <c r="Q2023" s="34"/>
      <c r="R2023" s="18"/>
      <c r="S2023" s="18"/>
      <c r="T2023" s="19" t="s">
        <v>2043</v>
      </c>
      <c r="U2023" s="9" t="str">
        <f t="shared" si="1"/>
        <v>NSE:GAYAHWS</v>
      </c>
      <c r="V2023" s="18"/>
      <c r="W2023" s="18"/>
      <c r="X2023" s="18"/>
    </row>
    <row r="2024">
      <c r="A2024" s="20"/>
      <c r="B2024" s="38"/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35"/>
      <c r="N2024" s="18"/>
      <c r="O2024" s="18"/>
      <c r="P2024" s="18"/>
      <c r="Q2024" s="34"/>
      <c r="R2024" s="18"/>
      <c r="S2024" s="18"/>
      <c r="T2024" s="19" t="s">
        <v>2044</v>
      </c>
      <c r="U2024" s="9" t="str">
        <f t="shared" si="1"/>
        <v>NSE:NIF10GETF</v>
      </c>
      <c r="V2024" s="18"/>
      <c r="W2024" s="18"/>
      <c r="X2024" s="18"/>
    </row>
    <row r="2025">
      <c r="A2025" s="20"/>
      <c r="B2025" s="38"/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35"/>
      <c r="N2025" s="18"/>
      <c r="O2025" s="18"/>
      <c r="P2025" s="18"/>
      <c r="Q2025" s="34"/>
      <c r="R2025" s="18"/>
      <c r="S2025" s="18"/>
      <c r="T2025" s="19" t="s">
        <v>2045</v>
      </c>
      <c r="U2025" s="9" t="str">
        <f t="shared" si="1"/>
        <v>NSE:DCMFINSERV</v>
      </c>
      <c r="V2025" s="18"/>
      <c r="W2025" s="18"/>
      <c r="X2025" s="18"/>
    </row>
    <row r="2026">
      <c r="A2026" s="20"/>
      <c r="B2026" s="38"/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35"/>
      <c r="N2026" s="18"/>
      <c r="O2026" s="18"/>
      <c r="P2026" s="18"/>
      <c r="Q2026" s="34"/>
      <c r="R2026" s="18"/>
      <c r="S2026" s="18"/>
      <c r="T2026" s="19" t="s">
        <v>2046</v>
      </c>
      <c r="U2026" s="9" t="str">
        <f t="shared" si="1"/>
        <v>NSE:HEALTHADD</v>
      </c>
      <c r="V2026" s="18"/>
      <c r="W2026" s="18"/>
      <c r="X2026" s="18"/>
    </row>
    <row r="2027">
      <c r="A2027" s="20"/>
      <c r="B2027" s="38"/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35"/>
      <c r="N2027" s="18"/>
      <c r="O2027" s="18"/>
      <c r="P2027" s="18"/>
      <c r="Q2027" s="34"/>
      <c r="R2027" s="18"/>
      <c r="S2027" s="18"/>
      <c r="T2027" s="19" t="s">
        <v>2047</v>
      </c>
      <c r="U2027" s="9" t="str">
        <f t="shared" si="1"/>
        <v>NSE:ABGSEC</v>
      </c>
      <c r="V2027" s="18"/>
      <c r="W2027" s="18"/>
      <c r="X2027" s="18"/>
    </row>
    <row r="2028">
      <c r="A2028" s="20"/>
      <c r="B2028" s="38"/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35"/>
      <c r="N2028" s="18"/>
      <c r="O2028" s="18"/>
      <c r="P2028" s="18"/>
      <c r="Q2028" s="34"/>
      <c r="R2028" s="18"/>
      <c r="S2028" s="18"/>
      <c r="T2028" s="19" t="s">
        <v>2048</v>
      </c>
      <c r="U2028" s="9" t="str">
        <f t="shared" si="1"/>
        <v>NSE:TECILCHEM</v>
      </c>
      <c r="V2028" s="18"/>
      <c r="W2028" s="18"/>
      <c r="X2028" s="18"/>
    </row>
    <row r="2029">
      <c r="A2029" s="20"/>
      <c r="B2029" s="38"/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35"/>
      <c r="N2029" s="18"/>
      <c r="O2029" s="18"/>
      <c r="P2029" s="18"/>
      <c r="Q2029" s="34"/>
      <c r="R2029" s="18"/>
      <c r="S2029" s="18"/>
      <c r="T2029" s="19" t="s">
        <v>2049</v>
      </c>
      <c r="U2029" s="9" t="str">
        <f t="shared" si="1"/>
        <v>NSE:BBNPNBETF</v>
      </c>
      <c r="V2029" s="18"/>
      <c r="W2029" s="18"/>
      <c r="X2029" s="18"/>
    </row>
    <row r="2030">
      <c r="A2030" s="20"/>
      <c r="B2030" s="38"/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35"/>
      <c r="N2030" s="18"/>
      <c r="O2030" s="18"/>
      <c r="P2030" s="18"/>
      <c r="Q2030" s="34"/>
      <c r="R2030" s="18"/>
      <c r="S2030" s="18"/>
      <c r="T2030" s="19" t="s">
        <v>2050</v>
      </c>
      <c r="U2030" s="9" t="str">
        <f t="shared" si="1"/>
        <v>NSE:EBANKNIFTY</v>
      </c>
      <c r="V2030" s="18"/>
      <c r="W2030" s="18"/>
      <c r="X2030" s="18"/>
    </row>
    <row r="2031">
      <c r="A2031" s="20"/>
      <c r="B2031" s="3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35"/>
      <c r="N2031" s="18"/>
      <c r="O2031" s="18"/>
      <c r="P2031" s="18"/>
      <c r="Q2031" s="34"/>
      <c r="R2031" s="18"/>
      <c r="S2031" s="18"/>
      <c r="T2031" s="19" t="s">
        <v>2051</v>
      </c>
      <c r="U2031" s="9" t="str">
        <f t="shared" si="1"/>
        <v>NSE:ARVEE</v>
      </c>
      <c r="V2031" s="18"/>
      <c r="W2031" s="18"/>
      <c r="X2031" s="18"/>
    </row>
    <row r="2032">
      <c r="A2032" s="20"/>
      <c r="B2032" s="38"/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35"/>
      <c r="N2032" s="18"/>
      <c r="O2032" s="18"/>
      <c r="P2032" s="18"/>
      <c r="Q2032" s="34"/>
      <c r="R2032" s="18"/>
      <c r="S2032" s="18"/>
      <c r="U2032" s="18"/>
      <c r="V2032" s="18"/>
      <c r="W2032" s="18"/>
      <c r="X2032" s="18"/>
    </row>
    <row r="2033">
      <c r="A2033" s="20"/>
      <c r="B2033" s="38"/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35"/>
      <c r="N2033" s="18"/>
      <c r="O2033" s="18"/>
      <c r="P2033" s="18"/>
      <c r="Q2033" s="34"/>
      <c r="R2033" s="18"/>
      <c r="S2033" s="18"/>
      <c r="U2033" s="18"/>
      <c r="V2033" s="18"/>
      <c r="W2033" s="18"/>
      <c r="X2033" s="18"/>
    </row>
    <row r="2034">
      <c r="A2034" s="20"/>
      <c r="B2034" s="3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35"/>
      <c r="N2034" s="18"/>
      <c r="O2034" s="18"/>
      <c r="P2034" s="18"/>
      <c r="Q2034" s="34"/>
      <c r="R2034" s="18"/>
      <c r="S2034" s="18"/>
      <c r="U2034" s="18"/>
      <c r="V2034" s="18"/>
      <c r="W2034" s="18"/>
      <c r="X2034" s="18"/>
    </row>
    <row r="2035">
      <c r="A2035" s="20"/>
      <c r="B2035" s="38"/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35"/>
      <c r="N2035" s="18"/>
      <c r="O2035" s="18"/>
      <c r="P2035" s="18"/>
      <c r="Q2035" s="34"/>
      <c r="R2035" s="18"/>
      <c r="S2035" s="18"/>
      <c r="U2035" s="18"/>
      <c r="V2035" s="18"/>
      <c r="W2035" s="18"/>
      <c r="X2035" s="18"/>
    </row>
    <row r="2036">
      <c r="A2036" s="20"/>
      <c r="B2036" s="38"/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35"/>
      <c r="N2036" s="18"/>
      <c r="O2036" s="18"/>
      <c r="P2036" s="18"/>
      <c r="Q2036" s="34"/>
      <c r="R2036" s="18"/>
      <c r="S2036" s="18"/>
      <c r="U2036" s="18"/>
      <c r="V2036" s="18"/>
      <c r="W2036" s="18"/>
      <c r="X2036" s="18"/>
    </row>
    <row r="2037">
      <c r="A2037" s="20"/>
      <c r="B2037" s="38"/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35"/>
      <c r="N2037" s="18"/>
      <c r="O2037" s="18"/>
      <c r="P2037" s="18"/>
      <c r="Q2037" s="34"/>
      <c r="R2037" s="18"/>
      <c r="S2037" s="18"/>
      <c r="U2037" s="18"/>
      <c r="V2037" s="18"/>
      <c r="W2037" s="18"/>
      <c r="X2037" s="18"/>
    </row>
  </sheetData>
  <mergeCells count="6">
    <mergeCell ref="N2:P7"/>
    <mergeCell ref="N8:P8"/>
    <mergeCell ref="N10:P14"/>
    <mergeCell ref="N15:P15"/>
    <mergeCell ref="N16:P19"/>
    <mergeCell ref="N20:P20"/>
  </mergeCells>
  <conditionalFormatting sqref="I1:M2037">
    <cfRule type="cellIs" dxfId="0" priority="1" operator="greaterThan">
      <formula>0</formula>
    </cfRule>
  </conditionalFormatting>
  <conditionalFormatting sqref="I1:M2037">
    <cfRule type="cellIs" dxfId="1" priority="2" operator="lessThan">
      <formula>0</formula>
    </cfRule>
  </conditionalFormatting>
  <dataValidations>
    <dataValidation type="list" allowBlank="1" showErrorMessage="1" sqref="A2">
      <formula1>Analysis!$T$2:$T$2037</formula1>
    </dataValidation>
    <dataValidation type="list" allowBlank="1" showErrorMessage="1" sqref="A5">
      <formula1>"NSE:,BOM:"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4" width="12.57"/>
    <col customWidth="1" min="5" max="5" width="12.43"/>
    <col customWidth="1" min="6" max="6" width="12.57"/>
    <col customWidth="1" min="7" max="7" width="10.71"/>
    <col customWidth="1" min="8" max="8" width="11.29"/>
    <col customWidth="1" min="9" max="9" width="12.0"/>
    <col customWidth="1" min="10" max="10" width="12.57"/>
    <col customWidth="1" min="11" max="11" width="9.29"/>
    <col customWidth="1" min="12" max="12" width="8.57"/>
    <col customWidth="1" min="13" max="13" width="9.86"/>
    <col customWidth="1" min="14" max="14" width="11.14"/>
    <col customWidth="1" min="15" max="15" width="30.57"/>
  </cols>
  <sheetData>
    <row r="1" ht="26.25" customHeight="1">
      <c r="A1" s="39" t="s">
        <v>0</v>
      </c>
      <c r="B1" s="39" t="s">
        <v>2052</v>
      </c>
      <c r="C1" s="39" t="s">
        <v>2053</v>
      </c>
      <c r="D1" s="39" t="s">
        <v>2054</v>
      </c>
      <c r="E1" s="39" t="s">
        <v>1</v>
      </c>
      <c r="F1" s="39" t="s">
        <v>2055</v>
      </c>
      <c r="G1" s="39" t="s">
        <v>5</v>
      </c>
      <c r="H1" s="40" t="s">
        <v>2056</v>
      </c>
      <c r="I1" s="39" t="s">
        <v>2057</v>
      </c>
      <c r="J1" s="39" t="s">
        <v>2058</v>
      </c>
      <c r="K1" s="39" t="s">
        <v>2059</v>
      </c>
      <c r="L1" s="39" t="s">
        <v>2060</v>
      </c>
      <c r="M1" s="41">
        <v>5.0</v>
      </c>
      <c r="N1" s="41">
        <v>30.0</v>
      </c>
      <c r="O1" s="42">
        <v>100.0</v>
      </c>
    </row>
    <row r="2" ht="26.25" customHeight="1">
      <c r="A2" s="43" t="s">
        <v>134</v>
      </c>
      <c r="B2" s="12">
        <f>IFERROR(__xludf.DUMMYFUNCTION("if(A2="""","""",GOOGLEFINANCE(CONCATENATE(""NSE:"",A2),""priceopen""))"),76.24)</f>
        <v>76.24</v>
      </c>
      <c r="C2" s="12">
        <f>IFERROR(__xludf.DUMMYFUNCTION("if(A2="""","""",GOOGLEFINANCE(CONCATENATE(""NSE:"",A2),""high""))"),76.29)</f>
        <v>76.29</v>
      </c>
      <c r="D2" s="12">
        <f>IFERROR(__xludf.DUMMYFUNCTION("if(A2="""","""",GOOGLEFINANCE(CONCATENATE(""NSE:"",A2),""low""))"),74.37)</f>
        <v>74.37</v>
      </c>
      <c r="E2" s="12">
        <f>IFERROR(__xludf.DUMMYFUNCTION("if(A2="""","""",GOOGLEFINANCE(CONCATENATE(""NSE:"",A2),""closeyest""))"),76.15)</f>
        <v>76.15</v>
      </c>
      <c r="F2" s="12">
        <f>IFERROR(__xludf.DUMMYFUNCTION("if(A2="""","""",GOOGLEFINANCE(CONCATENATE(""NSE:"",A2),""price""))"),74.5)</f>
        <v>74.5</v>
      </c>
      <c r="G2" s="12">
        <f>IFERROR(__xludf.DUMMYFUNCTION("if(A2="""","""",GOOGLEFINANCE(CONCATENATE(""NSE:"",A2),""change""))"),-1.71)</f>
        <v>-1.71</v>
      </c>
      <c r="H2" s="13">
        <f>IFERROR(__xludf.DUMMYFUNCTION("if(A2="""","""",GOOGLEFINANCE(CONCATENATE(""NSE:"",A2),""changepct"")/100)"),-0.0225)</f>
        <v>-0.0225</v>
      </c>
      <c r="I2" s="12">
        <f>IFERROR(__xludf.DUMMYFUNCTION("if(A2="""","""",GOOGLEFINANCE(CONCATENATE(""NSE:"",A2),""volume""))"),7838194.0)</f>
        <v>7838194</v>
      </c>
      <c r="J2" s="12">
        <f>IFERROR(__xludf.DUMMYFUNCTION("if(A2="""","""",GOOGLEFINANCE(CONCATENATE(""NSE:"",A2),""high52""))"),137.17)</f>
        <v>137.17</v>
      </c>
      <c r="K2" s="12">
        <f>IFERROR(__xludf.DUMMYFUNCTION("if(A2="""","""",GOOGLEFINANCE(CONCATENATE(""NSE:"",A2),""low52""))"),74.37)</f>
        <v>74.37</v>
      </c>
      <c r="L2" s="12">
        <f>IFERROR(__xludf.DUMMYFUNCTION("if(A2="""","""",GOOGLEFINANCE(CONCATENATE(""NSE:"",A2),""pe""))"),57.61)</f>
        <v>57.61</v>
      </c>
      <c r="M2" s="13" t="str">
        <f>IFERROR(__xludf.DUMMYFUNCTION("if(A2="""","""",F2/index(GOOGLEFINANCE(CONCATENATE(""NSE:"",A2),""price"",workday(TODAY(),-M$1)),2,2)-1)"),"Loading...")</f>
        <v>Loading...</v>
      </c>
      <c r="N2" s="13" t="str">
        <f>IFERROR(__xludf.DUMMYFUNCTION("if(A2="""","""",F2/index(GOOGLEFINANCE(CONCATENATE(""NSE:"",A2),""price"",workday(TODAY(),-N$1)),2,2)-1)"),"Loading...")</f>
        <v>Loading...</v>
      </c>
      <c r="O2" s="44" t="str">
        <f>IFERROR(__xludf.DUMMYFUNCTION("if(A2="""","""",sparkline(index(GOOGLEFINANCE(CONCATENATE(""NSE:"",A2),""price"",workday(TODAY(),-O$1),today()),,2),{""charttype"",""column"";""color"",""green""}))"),"Loading...")</f>
        <v>Loading...</v>
      </c>
    </row>
    <row r="3" ht="26.25" customHeight="1">
      <c r="A3" s="43" t="s">
        <v>78</v>
      </c>
      <c r="B3" s="12">
        <f>IFERROR(__xludf.DUMMYFUNCTION("if(A3="""","""",GOOGLEFINANCE(CONCATENATE(""NSE:"",A3),""priceopen""))"),159.55)</f>
        <v>159.55</v>
      </c>
      <c r="C3" s="12">
        <f>IFERROR(__xludf.DUMMYFUNCTION("if(A3="""","""",GOOGLEFINANCE(CONCATENATE(""NSE:"",A3),""high""))"),162.21)</f>
        <v>162.21</v>
      </c>
      <c r="D3" s="12">
        <f>IFERROR(__xludf.DUMMYFUNCTION("if(A3="""","""",GOOGLEFINANCE(CONCATENATE(""NSE:"",A3),""low""))"),159.16)</f>
        <v>159.16</v>
      </c>
      <c r="E3" s="12">
        <f>IFERROR(__xludf.DUMMYFUNCTION("if(A3="""","""",GOOGLEFINANCE(CONCATENATE(""NSE:"",A3),""closeyest""))"),159.6)</f>
        <v>159.6</v>
      </c>
      <c r="F3" s="12">
        <f>IFERROR(__xludf.DUMMYFUNCTION("if(A3="""","""",GOOGLEFINANCE(CONCATENATE(""NSE:"",A3),""price""))"),159.49)</f>
        <v>159.49</v>
      </c>
      <c r="G3" s="12">
        <f>IFERROR(__xludf.DUMMYFUNCTION("if(A3="""","""",GOOGLEFINANCE(CONCATENATE(""NSE:"",A3),""change""))"),-0.12)</f>
        <v>-0.12</v>
      </c>
      <c r="H3" s="13">
        <f>IFERROR(__xludf.DUMMYFUNCTION("if(A3="""","""",GOOGLEFINANCE(CONCATENATE(""NSE:"",A3),""changepct"")/100)"),-9.0E-4)</f>
        <v>-0.0009</v>
      </c>
      <c r="I3" s="12">
        <f>IFERROR(__xludf.DUMMYFUNCTION("if(A3="""","""",GOOGLEFINANCE(CONCATENATE(""NSE:"",A3),""volume""))"),1.4503129E7)</f>
        <v>14503129</v>
      </c>
      <c r="J3" s="12">
        <f>IFERROR(__xludf.DUMMYFUNCTION("if(A3="""","""",GOOGLEFINANCE(CONCATENATE(""NSE:"",A3),""high52""))"),273.1)</f>
        <v>273.1</v>
      </c>
      <c r="K3" s="12">
        <f>IFERROR(__xludf.DUMMYFUNCTION("if(A3="""","""",GOOGLEFINANCE(CONCATENATE(""NSE:"",A3),""low52""))"),156.79)</f>
        <v>156.79</v>
      </c>
      <c r="L3" s="12">
        <f>IFERROR(__xludf.DUMMYFUNCTION("if(A3="""","""",GOOGLEFINANCE(CONCATENATE(""NSE:"",A3),""pe""))"),12.65)</f>
        <v>12.65</v>
      </c>
      <c r="M3" s="13" t="str">
        <f>IFERROR(__xludf.DUMMYFUNCTION("if(A3="""","""",F3/index(GOOGLEFINANCE(CONCATENATE(""NSE:"",A3),""price"",workday(TODAY(),-M$1)),2,2)-1)"),"Loading...")</f>
        <v>Loading...</v>
      </c>
      <c r="N3" s="13" t="str">
        <f>IFERROR(__xludf.DUMMYFUNCTION("if(A3="""","""",F3/index(GOOGLEFINANCE(CONCATENATE(""NSE:"",A3),""price"",workday(TODAY(),-N$1)),2,2)-1)"),"Loading...")</f>
        <v>Loading...</v>
      </c>
      <c r="O3" s="44" t="str">
        <f>IFERROR(__xludf.DUMMYFUNCTION("if(A3="""","""",sparkline(index(GOOGLEFINANCE(CONCATENATE(""NSE:"",A3),""price"",workday(TODAY(),-O$1),today()),,2),{""charttype"",""column"";""color"",""green""}))"),"Loading...")</f>
        <v>Loading...</v>
      </c>
    </row>
    <row r="4" ht="26.25" customHeight="1">
      <c r="A4" s="43" t="s">
        <v>2061</v>
      </c>
      <c r="B4" s="12">
        <f>IFERROR(__xludf.DUMMYFUNCTION("if(A4="""","""",GOOGLEFINANCE(CONCATENATE(""NSE:"",A4),""priceopen""))"),953.9)</f>
        <v>953.9</v>
      </c>
      <c r="C4" s="12">
        <f>IFERROR(__xludf.DUMMYFUNCTION("if(A4="""","""",GOOGLEFINANCE(CONCATENATE(""NSE:"",A4),""high""))"),953.9)</f>
        <v>953.9</v>
      </c>
      <c r="D4" s="12">
        <f>IFERROR(__xludf.DUMMYFUNCTION("if(A4="""","""",GOOGLEFINANCE(CONCATENATE(""NSE:"",A4),""low""))"),937.5)</f>
        <v>937.5</v>
      </c>
      <c r="E4" s="12">
        <f>IFERROR(__xludf.DUMMYFUNCTION("if(A4="""","""",GOOGLEFINANCE(CONCATENATE(""NSE:"",A4),""closeyest""))"),954.0)</f>
        <v>954</v>
      </c>
      <c r="F4" s="12">
        <f>IFERROR(__xludf.DUMMYFUNCTION("if(A4="""","""",GOOGLEFINANCE(CONCATENATE(""NSE:"",A4),""price""))"),940.55)</f>
        <v>940.55</v>
      </c>
      <c r="G4" s="12">
        <f>IFERROR(__xludf.DUMMYFUNCTION("if(A4="""","""",GOOGLEFINANCE(CONCATENATE(""NSE:"",A4),""change""))"),-13.45)</f>
        <v>-13.45</v>
      </c>
      <c r="H4" s="13">
        <f>IFERROR(__xludf.DUMMYFUNCTION("if(A4="""","""",GOOGLEFINANCE(CONCATENATE(""NSE:"",A4),""changepct"")/100)"),-0.0141)</f>
        <v>-0.0141</v>
      </c>
      <c r="I4" s="12">
        <f>IFERROR(__xludf.DUMMYFUNCTION("if(A4="""","""",GOOGLEFINANCE(CONCATENATE(""NSE:"",A4),""volume""))"),6309917.0)</f>
        <v>6309917</v>
      </c>
      <c r="J4" s="12">
        <f>IFERROR(__xludf.DUMMYFUNCTION("if(A4="""","""",GOOGLEFINANCE(CONCATENATE(""NSE:"",A4),""high52""))"),1234.7)</f>
        <v>1234.7</v>
      </c>
      <c r="K4" s="12">
        <f>IFERROR(__xludf.DUMMYFUNCTION("if(A4="""","""",GOOGLEFINANCE(CONCATENATE(""NSE:"",A4),""low52""))"),857.25)</f>
        <v>857.25</v>
      </c>
      <c r="L4" s="12">
        <f>IFERROR(__xludf.DUMMYFUNCTION("if(A4="""","""",GOOGLEFINANCE(CONCATENATE(""NSE:"",A4),""pe""))"),10.08)</f>
        <v>10.08</v>
      </c>
      <c r="M4" s="13" t="str">
        <f>IFERROR(__xludf.DUMMYFUNCTION("if(A4="""","""",F4/index(GOOGLEFINANCE(CONCATENATE(""NSE:"",A4),""price"",workday(TODAY(),-M$1)),2,2)-1)"),"Loading...")</f>
        <v>Loading...</v>
      </c>
      <c r="N4" s="13" t="str">
        <f>IFERROR(__xludf.DUMMYFUNCTION("if(A4="""","""",F4/index(GOOGLEFINANCE(CONCATENATE(""NSE:"",A4),""price"",workday(TODAY(),-N$1)),2,2)-1)"),"Loading...")</f>
        <v>Loading...</v>
      </c>
      <c r="O4" s="44" t="str">
        <f>IFERROR(__xludf.DUMMYFUNCTION("if(A4="""","""",sparkline(index(GOOGLEFINANCE(CONCATENATE(""NSE:"",A4),""price"",workday(TODAY(),-O$1),today()),,2),{""charttype"",""column"";""color"",""green""}))"),"Loading...")</f>
        <v>Loading...</v>
      </c>
      <c r="Q4" s="45"/>
    </row>
    <row r="5" ht="26.25" customHeight="1">
      <c r="A5" s="43" t="s">
        <v>2062</v>
      </c>
      <c r="B5" s="12">
        <f>IFERROR(__xludf.DUMMYFUNCTION("if(A5="""","""",GOOGLEFINANCE(CONCATENATE(""NSE:"",A5),""priceopen""))"),1207.7)</f>
        <v>1207.7</v>
      </c>
      <c r="C5" s="12">
        <f>IFERROR(__xludf.DUMMYFUNCTION("if(A5="""","""",GOOGLEFINANCE(CONCATENATE(""NSE:"",A5),""high""))"),1208.0)</f>
        <v>1208</v>
      </c>
      <c r="D5" s="12">
        <f>IFERROR(__xludf.DUMMYFUNCTION("if(A5="""","""",GOOGLEFINANCE(CONCATENATE(""NSE:"",A5),""low""))"),1173.0)</f>
        <v>1173</v>
      </c>
      <c r="E5" s="12">
        <f>IFERROR(__xludf.DUMMYFUNCTION("if(A5="""","""",GOOGLEFINANCE(CONCATENATE(""NSE:"",A5),""closeyest""))"),1207.7)</f>
        <v>1207.7</v>
      </c>
      <c r="F5" s="12">
        <f>IFERROR(__xludf.DUMMYFUNCTION("if(A5="""","""",GOOGLEFINANCE(CONCATENATE(""NSE:"",A5),""price""))"),1177.7)</f>
        <v>1177.7</v>
      </c>
      <c r="G5" s="12">
        <f>IFERROR(__xludf.DUMMYFUNCTION("if(A5="""","""",GOOGLEFINANCE(CONCATENATE(""NSE:"",A5),""change""))"),-30.2)</f>
        <v>-30.2</v>
      </c>
      <c r="H5" s="13">
        <f>IFERROR(__xludf.DUMMYFUNCTION("if(A5="""","""",GOOGLEFINANCE(CONCATENATE(""NSE:"",A5),""changepct"")/100)"),-0.0248)</f>
        <v>-0.0248</v>
      </c>
      <c r="I5" s="12">
        <f>IFERROR(__xludf.DUMMYFUNCTION("if(A5="""","""",GOOGLEFINANCE(CONCATENATE(""NSE:"",A5),""volume""))"),1.1830532E7)</f>
        <v>11830532</v>
      </c>
      <c r="J5" s="12">
        <f>IFERROR(__xludf.DUMMYFUNCTION("if(A5="""","""",GOOGLEFINANCE(CONCATENATE(""NSE:"",A5),""high52""))"),1611.8)</f>
        <v>1611.8</v>
      </c>
      <c r="K5" s="12">
        <f>IFERROR(__xludf.DUMMYFUNCTION("if(A5="""","""",GOOGLEFINANCE(CONCATENATE(""NSE:"",A5),""low52""))"),1160.8)</f>
        <v>1160.8</v>
      </c>
      <c r="L5" s="12">
        <f>IFERROR(__xludf.DUMMYFUNCTION("if(A5="""","""",GOOGLEFINANCE(CONCATENATE(""NSE:"",A5),""pe""))"),21.32)</f>
        <v>21.32</v>
      </c>
      <c r="M5" s="13" t="str">
        <f>IFERROR(__xludf.DUMMYFUNCTION("if(A5="""","""",F5/index(GOOGLEFINANCE(CONCATENATE(""NSE:"",A5),""price"",workday(TODAY(),-M$1)),2,2)-1)"),"Loading...")</f>
        <v>Loading...</v>
      </c>
      <c r="N5" s="13" t="str">
        <f>IFERROR(__xludf.DUMMYFUNCTION("if(A5="""","""",F5/index(GOOGLEFINANCE(CONCATENATE(""NSE:"",A5),""price"",workday(TODAY(),-N$1)),2,2)-1)"),"Loading...")</f>
        <v>Loading...</v>
      </c>
      <c r="O5" s="44" t="str">
        <f>IFERROR(__xludf.DUMMYFUNCTION("if(A5="""","""",sparkline(index(GOOGLEFINANCE(CONCATENATE(""NSE:"",A5),""price"",workday(TODAY(),-O$1),today()),,2),{""charttype"",""column"";""color"",""green""}))"),"Loading...")</f>
        <v>Loading...</v>
      </c>
    </row>
    <row r="6" ht="26.25" customHeight="1">
      <c r="A6" s="43" t="s">
        <v>2063</v>
      </c>
      <c r="B6" s="12">
        <f>IFERROR(__xludf.DUMMYFUNCTION("if(A6="""","""",GOOGLEFINANCE(CONCATENATE(""NSE:"",A6),""priceopen""))"),247.0)</f>
        <v>247</v>
      </c>
      <c r="C6" s="12">
        <f>IFERROR(__xludf.DUMMYFUNCTION("if(A6="""","""",GOOGLEFINANCE(CONCATENATE(""NSE:"",A6),""high""))"),249.1)</f>
        <v>249.1</v>
      </c>
      <c r="D6" s="12">
        <f>IFERROR(__xludf.DUMMYFUNCTION("if(A6="""","""",GOOGLEFINANCE(CONCATENATE(""NSE:"",A6),""low""))"),234.52)</f>
        <v>234.52</v>
      </c>
      <c r="E6" s="12">
        <f>IFERROR(__xludf.DUMMYFUNCTION("if(A6="""","""",GOOGLEFINANCE(CONCATENATE(""NSE:"",A6),""closeyest""))"),256.08)</f>
        <v>256.08</v>
      </c>
      <c r="F6" s="12">
        <f>IFERROR(__xludf.DUMMYFUNCTION("if(A6="""","""",GOOGLEFINANCE(CONCATENATE(""NSE:"",A6),""price""))"),243.7)</f>
        <v>243.7</v>
      </c>
      <c r="G6" s="12">
        <f>IFERROR(__xludf.DUMMYFUNCTION("if(A6="""","""",GOOGLEFINANCE(CONCATENATE(""NSE:"",A6),""change""))"),-12.58)</f>
        <v>-12.58</v>
      </c>
      <c r="H6" s="13">
        <f>IFERROR(__xludf.DUMMYFUNCTION("if(A6="""","""",GOOGLEFINANCE(CONCATENATE(""NSE:"",A6),""changepct"")/100)"),-0.0483)</f>
        <v>-0.0483</v>
      </c>
      <c r="I6" s="12">
        <f>IFERROR(__xludf.DUMMYFUNCTION("if(A6="""","""",GOOGLEFINANCE(CONCATENATE(""NSE:"",A6),""volume""))"),1.7212717E7)</f>
        <v>17212717</v>
      </c>
      <c r="J6" s="12">
        <f>IFERROR(__xludf.DUMMYFUNCTION("if(A6="""","""",GOOGLEFINANCE(CONCATENATE(""NSE:"",A6),""high52""))"),290.6)</f>
        <v>290.6</v>
      </c>
      <c r="K6" s="12">
        <f>IFERROR(__xludf.DUMMYFUNCTION("if(A6="""","""",GOOGLEFINANCE(CONCATENATE(""NSE:"",A6),""low52""))"),151.46)</f>
        <v>151.46</v>
      </c>
      <c r="L6" s="12" t="str">
        <f>IFERROR(__xludf.DUMMYFUNCTION("if(A6="""","""",GOOGLEFINANCE(CONCATENATE(""NSE:"",A6),""pe""))"),"#N/A")</f>
        <v>#N/A</v>
      </c>
      <c r="M6" s="13" t="str">
        <f>IFERROR(__xludf.DUMMYFUNCTION("if(A6="""","""",F6/index(GOOGLEFINANCE(CONCATENATE(""NSE:"",A6),""price"",workday(TODAY(),-M$1)),2,2)-1)"),"Loading...")</f>
        <v>Loading...</v>
      </c>
      <c r="N6" s="13" t="str">
        <f>IFERROR(__xludf.DUMMYFUNCTION("if(A6="""","""",F6/index(GOOGLEFINANCE(CONCATENATE(""NSE:"",A6),""price"",workday(TODAY(),-N$1)),2,2)-1)"),"Loading...")</f>
        <v>Loading...</v>
      </c>
      <c r="O6" s="44" t="str">
        <f>IFERROR(__xludf.DUMMYFUNCTION("if(A6="""","""",sparkline(index(GOOGLEFINANCE(CONCATENATE(""NSE:"",A6),""price"",workday(TODAY(),-O$1),today()),,2),{""charttype"",""column"";""color"",""green""}))"),"Loading...")</f>
        <v>Loading...</v>
      </c>
    </row>
    <row r="7" ht="26.25" customHeight="1">
      <c r="A7" s="43" t="s">
        <v>2064</v>
      </c>
      <c r="B7" s="12">
        <f>IFERROR(__xludf.DUMMYFUNCTION("if(A7="""","""",GOOGLEFINANCE(CONCATENATE(""NSE:"",A7),""priceopen""))"),448.8)</f>
        <v>448.8</v>
      </c>
      <c r="C7" s="12">
        <f>IFERROR(__xludf.DUMMYFUNCTION("if(A7="""","""",GOOGLEFINANCE(CONCATENATE(""NSE:"",A7),""high""))"),451.45)</f>
        <v>451.45</v>
      </c>
      <c r="D7" s="12">
        <f>IFERROR(__xludf.DUMMYFUNCTION("if(A7="""","""",GOOGLEFINANCE(CONCATENATE(""NSE:"",A7),""low""))"),429.45)</f>
        <v>429.45</v>
      </c>
      <c r="E7" s="12">
        <f>IFERROR(__xludf.DUMMYFUNCTION("if(A7="""","""",GOOGLEFINANCE(CONCATENATE(""NSE:"",A7),""closeyest""))"),448.5)</f>
        <v>448.5</v>
      </c>
      <c r="F7" s="12">
        <f>IFERROR(__xludf.DUMMYFUNCTION("if(A7="""","""",GOOGLEFINANCE(CONCATENATE(""NSE:"",A7),""price""))"),430.5)</f>
        <v>430.5</v>
      </c>
      <c r="G7" s="12">
        <f>IFERROR(__xludf.DUMMYFUNCTION("if(A7="""","""",GOOGLEFINANCE(CONCATENATE(""NSE:"",A7),""change""))"),-18.0)</f>
        <v>-18</v>
      </c>
      <c r="H7" s="13">
        <f>IFERROR(__xludf.DUMMYFUNCTION("if(A7="""","""",GOOGLEFINANCE(CONCATENATE(""NSE:"",A7),""changepct"")/100)"),-0.0394)</f>
        <v>-0.0394</v>
      </c>
      <c r="I7" s="12">
        <f>IFERROR(__xludf.DUMMYFUNCTION("if(A7="""","""",GOOGLEFINANCE(CONCATENATE(""NSE:"",A7),""volume""))"),1.1262224E7)</f>
        <v>11262224</v>
      </c>
      <c r="J7" s="12">
        <f>IFERROR(__xludf.DUMMYFUNCTION("if(A7="""","""",GOOGLEFINANCE(CONCATENATE(""NSE:"",A7),""high52""))"),455.95)</f>
        <v>455.95</v>
      </c>
      <c r="K7" s="12">
        <f>IFERROR(__xludf.DUMMYFUNCTION("if(A7="""","""",GOOGLEFINANCE(CONCATENATE(""NSE:"",A7),""low52""))"),229.54)</f>
        <v>229.54</v>
      </c>
      <c r="L7" s="12">
        <f>IFERROR(__xludf.DUMMYFUNCTION("if(A7="""","""",GOOGLEFINANCE(CONCATENATE(""NSE:"",A7),""pe""))"),61.7)</f>
        <v>61.7</v>
      </c>
      <c r="M7" s="13" t="str">
        <f>IFERROR(__xludf.DUMMYFUNCTION("if(A7="""","""",F7/index(GOOGLEFINANCE(CONCATENATE(""NSE:"",A7),""price"",workday(TODAY(),-M$1)),2,2)-1)"),"Loading...")</f>
        <v>Loading...</v>
      </c>
      <c r="N7" s="13" t="str">
        <f>IFERROR(__xludf.DUMMYFUNCTION("if(A7="""","""",F7/index(GOOGLEFINANCE(CONCATENATE(""NSE:"",A7),""price"",workday(TODAY(),-N$1)),2,2)-1)"),"Loading...")</f>
        <v>Loading...</v>
      </c>
      <c r="O7" s="44" t="str">
        <f>IFERROR(__xludf.DUMMYFUNCTION("if(A7="""","""",sparkline(index(GOOGLEFINANCE(CONCATENATE(""NSE:"",A7),""price"",workday(TODAY(),-O$1),today()),,2),{""charttype"",""column"";""color"",""green""}))"),"Loading...")</f>
        <v>Loading...</v>
      </c>
    </row>
    <row r="8" ht="26.25" customHeight="1">
      <c r="A8" s="43" t="s">
        <v>18</v>
      </c>
      <c r="B8" s="12">
        <f>IFERROR(__xludf.DUMMYFUNCTION("if(A8="""","""",GOOGLEFINANCE(CONCATENATE(""NSE:"",A8),""priceopen""))"),1350.0)</f>
        <v>1350</v>
      </c>
      <c r="C8" s="12">
        <f>IFERROR(__xludf.DUMMYFUNCTION("if(A8="""","""",GOOGLEFINANCE(CONCATENATE(""NSE:"",A8),""high""))"),1360.8)</f>
        <v>1360.8</v>
      </c>
      <c r="D8" s="12">
        <f>IFERROR(__xludf.DUMMYFUNCTION("if(A8="""","""",GOOGLEFINANCE(CONCATENATE(""NSE:"",A8),""low""))"),1340.0)</f>
        <v>1340</v>
      </c>
      <c r="E8" s="12">
        <f>IFERROR(__xludf.DUMMYFUNCTION("if(A8="""","""",GOOGLEFINANCE(CONCATENATE(""NSE:"",A8),""closeyest""))"),1357.5)</f>
        <v>1357.5</v>
      </c>
      <c r="F8" s="12">
        <f>IFERROR(__xludf.DUMMYFUNCTION("if(A8="""","""",GOOGLEFINANCE(CONCATENATE(""NSE:"",A8),""price""))"),1343.8)</f>
        <v>1343.8</v>
      </c>
      <c r="G8" s="12">
        <f>IFERROR(__xludf.DUMMYFUNCTION("if(A8="""","""",GOOGLEFINANCE(CONCATENATE(""NSE:"",A8),""change""))"),-13.7)</f>
        <v>-13.7</v>
      </c>
      <c r="H8" s="13">
        <f>IFERROR(__xludf.DUMMYFUNCTION("if(A8="""","""",GOOGLEFINANCE(CONCATENATE(""NSE:"",A8),""changepct"")/100)"),-0.0096)</f>
        <v>-0.0096</v>
      </c>
      <c r="I8" s="12">
        <f>IFERROR(__xludf.DUMMYFUNCTION("if(A8="""","""",GOOGLEFINANCE(CONCATENATE(""NSE:"",A8),""volume""))"),9264982.0)</f>
        <v>9264982</v>
      </c>
      <c r="J8" s="12">
        <f>IFERROR(__xludf.DUMMYFUNCTION("if(A8="""","""",GOOGLEFINANCE(CONCATENATE(""NSE:"",A8),""high52""))"),1480.0)</f>
        <v>1480</v>
      </c>
      <c r="K8" s="12">
        <f>IFERROR(__xludf.DUMMYFUNCTION("if(A8="""","""",GOOGLEFINANCE(CONCATENATE(""NSE:"",A8),""low52""))"),1187.6)</f>
        <v>1187.6</v>
      </c>
      <c r="L8" s="12">
        <f>IFERROR(__xludf.DUMMYFUNCTION("if(A8="""","""",GOOGLEFINANCE(CONCATENATE(""NSE:"",A8),""pe""))"),17.36)</f>
        <v>17.36</v>
      </c>
      <c r="M8" s="13" t="str">
        <f>IFERROR(__xludf.DUMMYFUNCTION("if(A8="""","""",F8/index(GOOGLEFINANCE(CONCATENATE(""NSE:"",A8),""price"",workday(TODAY(),-M$1)),2,2)-1)"),"Loading...")</f>
        <v>Loading...</v>
      </c>
      <c r="N8" s="13" t="str">
        <f>IFERROR(__xludf.DUMMYFUNCTION("if(A8="""","""",F8/index(GOOGLEFINANCE(CONCATENATE(""NSE:"",A8),""price"",workday(TODAY(),-N$1)),2,2)-1)"),"Loading...")</f>
        <v>Loading...</v>
      </c>
      <c r="O8" s="44" t="str">
        <f>IFERROR(__xludf.DUMMYFUNCTION("if(A8="""","""",sparkline(index(GOOGLEFINANCE(CONCATENATE(""NSE:"",A8),""price"",workday(TODAY(),-O$1),today()),,2),{""charttype"",""column"";""color"",""green""}))"),"Loading...")</f>
        <v>Loading...</v>
      </c>
    </row>
    <row r="9" ht="26.25" customHeight="1">
      <c r="A9" s="43" t="s">
        <v>2065</v>
      </c>
      <c r="B9" s="12">
        <f>IFERROR(__xludf.DUMMYFUNCTION("if(A9="""","""",GOOGLEFINANCE(CONCATENATE(""NSE:"",A9),""priceopen""))"),195.0)</f>
        <v>195</v>
      </c>
      <c r="C9" s="12">
        <f>IFERROR(__xludf.DUMMYFUNCTION("if(A9="""","""",GOOGLEFINANCE(CONCATENATE(""NSE:"",A9),""high""))"),195.6)</f>
        <v>195.6</v>
      </c>
      <c r="D9" s="12">
        <f>IFERROR(__xludf.DUMMYFUNCTION("if(A9="""","""",GOOGLEFINANCE(CONCATENATE(""NSE:"",A9),""low""))"),187.73)</f>
        <v>187.73</v>
      </c>
      <c r="E9" s="12">
        <f>IFERROR(__xludf.DUMMYFUNCTION("if(A9="""","""",GOOGLEFINANCE(CONCATENATE(""NSE:"",A9),""closeyest""))"),195.87)</f>
        <v>195.87</v>
      </c>
      <c r="F9" s="12">
        <f>IFERROR(__xludf.DUMMYFUNCTION("if(A9="""","""",GOOGLEFINANCE(CONCATENATE(""NSE:"",A9),""price""))"),188.04)</f>
        <v>188.04</v>
      </c>
      <c r="G9" s="12">
        <f>IFERROR(__xludf.DUMMYFUNCTION("if(A9="""","""",GOOGLEFINANCE(CONCATENATE(""NSE:"",A9),""change""))"),-7.8)</f>
        <v>-7.8</v>
      </c>
      <c r="H9" s="13">
        <f>IFERROR(__xludf.DUMMYFUNCTION("if(A9="""","""",GOOGLEFINANCE(CONCATENATE(""NSE:"",A9),""changepct"")/100)"),-0.04)</f>
        <v>-0.04</v>
      </c>
      <c r="I9" s="12">
        <f>IFERROR(__xludf.DUMMYFUNCTION("if(A9="""","""",GOOGLEFINANCE(CONCATENATE(""NSE:"",A9),""volume""))"),4414732.0)</f>
        <v>4414732</v>
      </c>
      <c r="J9" s="12">
        <f>IFERROR(__xludf.DUMMYFUNCTION("if(A9="""","""",GOOGLEFINANCE(CONCATENATE(""NSE:"",A9),""high52""))"),400.7)</f>
        <v>400.7</v>
      </c>
      <c r="K9" s="12">
        <f>IFERROR(__xludf.DUMMYFUNCTION("if(A9="""","""",GOOGLEFINANCE(CONCATENATE(""NSE:"",A9),""low52""))"),187.73)</f>
        <v>187.73</v>
      </c>
      <c r="L9" s="12">
        <f>IFERROR(__xludf.DUMMYFUNCTION("if(A9="""","""",GOOGLEFINANCE(CONCATENATE(""NSE:"",A9),""pe""))"),43.69)</f>
        <v>43.69</v>
      </c>
      <c r="M9" s="13" t="str">
        <f>IFERROR(__xludf.DUMMYFUNCTION("if(A9="""","""",F9/index(GOOGLEFINANCE(CONCATENATE(""NSE:"",A9),""price"",workday(TODAY(),-M$1)),2,2)-1)"),"Loading...")</f>
        <v>Loading...</v>
      </c>
      <c r="N9" s="13" t="str">
        <f>IFERROR(__xludf.DUMMYFUNCTION("if(A9="""","""",F9/index(GOOGLEFINANCE(CONCATENATE(""NSE:"",A9),""price"",workday(TODAY(),-N$1)),2,2)-1)"),"Loading...")</f>
        <v>Loading...</v>
      </c>
      <c r="O9" s="44" t="str">
        <f>IFERROR(__xludf.DUMMYFUNCTION("if(A9="""","""",sparkline(index(GOOGLEFINANCE(CONCATENATE(""NSE:"",A9),""price"",workday(TODAY(),-O$1),today()),,2),{""charttype"",""column"";""color"",""green""}))"),"Loading...")</f>
        <v>Loading...</v>
      </c>
    </row>
    <row r="10" ht="26.25" customHeight="1">
      <c r="A10" s="46" t="s">
        <v>122</v>
      </c>
      <c r="B10" s="12">
        <f>IFERROR(__xludf.DUMMYFUNCTION("if(A10="""","""",GOOGLEFINANCE(CONCATENATE(""NSE:"",A10),""priceopen""))"),100.1)</f>
        <v>100.1</v>
      </c>
      <c r="C10" s="12">
        <f>IFERROR(__xludf.DUMMYFUNCTION("if(A10="""","""",GOOGLEFINANCE(CONCATENATE(""NSE:"",A10),""high""))"),100.15)</f>
        <v>100.15</v>
      </c>
      <c r="D10" s="12">
        <f>IFERROR(__xludf.DUMMYFUNCTION("if(A10="""","""",GOOGLEFINANCE(CONCATENATE(""NSE:"",A10),""low""))"),96.8)</f>
        <v>96.8</v>
      </c>
      <c r="E10" s="12">
        <f>IFERROR(__xludf.DUMMYFUNCTION("if(A10="""","""",GOOGLEFINANCE(CONCATENATE(""NSE:"",A10),""closeyest""))"),100.5)</f>
        <v>100.5</v>
      </c>
      <c r="F10" s="12">
        <f>IFERROR(__xludf.DUMMYFUNCTION("if(A10="""","""",GOOGLEFINANCE(CONCATENATE(""NSE:"",A10),""price""))"),97.22)</f>
        <v>97.22</v>
      </c>
      <c r="G10" s="12">
        <f>IFERROR(__xludf.DUMMYFUNCTION("if(A10="""","""",GOOGLEFINANCE(CONCATENATE(""NSE:"",A10),""change""))"),-3.21)</f>
        <v>-3.21</v>
      </c>
      <c r="H10" s="13">
        <f>IFERROR(__xludf.DUMMYFUNCTION("if(A10="""","""",GOOGLEFINANCE(CONCATENATE(""NSE:"",A10),""changepct"")/100)"),-0.0326)</f>
        <v>-0.0326</v>
      </c>
      <c r="I10" s="12">
        <f>IFERROR(__xludf.DUMMYFUNCTION("if(A10="""","""",GOOGLEFINANCE(CONCATENATE(""NSE:"",A10),""volume""))"),1.5163357E7)</f>
        <v>15163357</v>
      </c>
      <c r="J10" s="12">
        <f>IFERROR(__xludf.DUMMYFUNCTION("if(A10="""","""",GOOGLEFINANCE(CONCATENATE(""NSE:"",A10),""high52""))"),150.94)</f>
        <v>150.94</v>
      </c>
      <c r="K10" s="12">
        <f>IFERROR(__xludf.DUMMYFUNCTION("if(A10="""","""",GOOGLEFINANCE(CONCATENATE(""NSE:"",A10),""low52""))"),96.8)</f>
        <v>96.8</v>
      </c>
      <c r="L10" s="12">
        <f>IFERROR(__xludf.DUMMYFUNCTION("if(A10="""","""",GOOGLEFINANCE(CONCATENATE(""NSE:"",A10),""pe""))"),51.52)</f>
        <v>51.52</v>
      </c>
      <c r="M10" s="13" t="str">
        <f>IFERROR(__xludf.DUMMYFUNCTION("if(A10="""","""",F10/index(GOOGLEFINANCE(CONCATENATE(""NSE:"",A10),""price"",workday(TODAY(),-M$1)),2,2)-1)"),"Loading...")</f>
        <v>Loading...</v>
      </c>
      <c r="N10" s="13" t="str">
        <f>IFERROR(__xludf.DUMMYFUNCTION("if(A10="""","""",F10/index(GOOGLEFINANCE(CONCATENATE(""NSE:"",A10),""price"",workday(TODAY(),-N$1)),2,2)-1)"),"Loading...")</f>
        <v>Loading...</v>
      </c>
      <c r="O10" s="44" t="str">
        <f>IFERROR(__xludf.DUMMYFUNCTION("if(A10="""","""",sparkline(index(GOOGLEFINANCE(CONCATENATE(""NSE:"",A10),""price"",workday(TODAY(),-O$1),today()),,2),{""charttype"",""column"";""color"",""green""}))"),"Loading...")</f>
        <v>Loading...</v>
      </c>
    </row>
    <row r="11" ht="26.25" customHeight="1">
      <c r="A11" s="47" t="s">
        <v>27</v>
      </c>
      <c r="B11" s="12">
        <f>IFERROR(__xludf.DUMMYFUNCTION("if(A11="""","""",GOOGLEFINANCE(CONCATENATE(""NSE:"",A11),""priceopen""))"),176.3)</f>
        <v>176.3</v>
      </c>
      <c r="C11" s="12">
        <f>IFERROR(__xludf.DUMMYFUNCTION("if(A11="""","""",GOOGLEFINANCE(CONCATENATE(""NSE:"",A11),""high""))"),176.4)</f>
        <v>176.4</v>
      </c>
      <c r="D11" s="12">
        <f>IFERROR(__xludf.DUMMYFUNCTION("if(A11="""","""",GOOGLEFINANCE(CONCATENATE(""NSE:"",A11),""low""))"),171.68)</f>
        <v>171.68</v>
      </c>
      <c r="E11" s="12">
        <f>IFERROR(__xludf.DUMMYFUNCTION("if(A11="""","""",GOOGLEFINANCE(CONCATENATE(""NSE:"",A11),""closeyest""))"),175.64)</f>
        <v>175.64</v>
      </c>
      <c r="F11" s="12">
        <f>IFERROR(__xludf.DUMMYFUNCTION("if(A11="""","""",GOOGLEFINANCE(CONCATENATE(""NSE:"",A11),""price""))"),172.08)</f>
        <v>172.08</v>
      </c>
      <c r="G11" s="12">
        <f>IFERROR(__xludf.DUMMYFUNCTION("if(A11="""","""",GOOGLEFINANCE(CONCATENATE(""NSE:"",A11),""change""))"),-3.62)</f>
        <v>-3.62</v>
      </c>
      <c r="H11" s="13">
        <f>IFERROR(__xludf.DUMMYFUNCTION("if(A11="""","""",GOOGLEFINANCE(CONCATENATE(""NSE:"",A11),""changepct"")/100)"),-0.0203)</f>
        <v>-0.0203</v>
      </c>
      <c r="I11" s="12">
        <f>IFERROR(__xludf.DUMMYFUNCTION("if(A11="""","""",GOOGLEFINANCE(CONCATENATE(""NSE:"",A11),""volume""))"),2.5910554E7)</f>
        <v>25910554</v>
      </c>
      <c r="J11" s="12">
        <f>IFERROR(__xludf.DUMMYFUNCTION("if(A11="""","""",GOOGLEFINANCE(CONCATENATE(""NSE:"",A11),""high52""))"),224.4)</f>
        <v>224.4</v>
      </c>
      <c r="K11" s="12">
        <f>IFERROR(__xludf.DUMMYFUNCTION("if(A11="""","""",GOOGLEFINANCE(CONCATENATE(""NSE:"",A11),""low52""))"),160.06)</f>
        <v>160.06</v>
      </c>
      <c r="L11" s="12">
        <f>IFERROR(__xludf.DUMMYFUNCTION("if(A11="""","""",GOOGLEFINANCE(CONCATENATE(""NSE:"",A11),""pe""))"),19.43)</f>
        <v>19.43</v>
      </c>
      <c r="M11" s="13" t="str">
        <f>IFERROR(__xludf.DUMMYFUNCTION("if(A11="""","""",F11/index(GOOGLEFINANCE(CONCATENATE(""NSE:"",A11),""price"",workday(TODAY(),-M$1)),2,2)-1)"),"Loading...")</f>
        <v>Loading...</v>
      </c>
      <c r="N11" s="13" t="str">
        <f>IFERROR(__xludf.DUMMYFUNCTION("if(A11="""","""",F11/index(GOOGLEFINANCE(CONCATENATE(""NSE:"",A11),""price"",workday(TODAY(),-N$1)),2,2)-1)"),"Loading...")</f>
        <v>Loading...</v>
      </c>
      <c r="O11" s="44" t="str">
        <f>IFERROR(__xludf.DUMMYFUNCTION("if(A11="""","""",sparkline(index(GOOGLEFINANCE(CONCATENATE(""NSE:"",A11),""price"",workday(TODAY(),-O$1),today()),,2),{""charttype"",""column"";""color"",""green""}))"),"Loading...")</f>
        <v>Loading...</v>
      </c>
    </row>
    <row r="12" ht="26.25" customHeight="1">
      <c r="A12" s="43" t="s">
        <v>139</v>
      </c>
      <c r="B12" s="12">
        <f>IFERROR(__xludf.DUMMYFUNCTION("if(A12="""","""",GOOGLEFINANCE(CONCATENATE(""NSE:"",A12),""priceopen""))"),114.73)</f>
        <v>114.73</v>
      </c>
      <c r="C12" s="12">
        <f>IFERROR(__xludf.DUMMYFUNCTION("if(A12="""","""",GOOGLEFINANCE(CONCATENATE(""NSE:"",A12),""high""))"),117.45)</f>
        <v>117.45</v>
      </c>
      <c r="D12" s="12">
        <f>IFERROR(__xludf.DUMMYFUNCTION("if(A12="""","""",GOOGLEFINANCE(CONCATENATE(""NSE:"",A12),""low""))"),113.71)</f>
        <v>113.71</v>
      </c>
      <c r="E12" s="12">
        <f>IFERROR(__xludf.DUMMYFUNCTION("if(A12="""","""",GOOGLEFINANCE(CONCATENATE(""NSE:"",A12),""closeyest""))"),114.59)</f>
        <v>114.59</v>
      </c>
      <c r="F12" s="12">
        <f>IFERROR(__xludf.DUMMYFUNCTION("if(A12="""","""",GOOGLEFINANCE(CONCATENATE(""NSE:"",A12),""price""))"),115.95)</f>
        <v>115.95</v>
      </c>
      <c r="G12" s="12">
        <f>IFERROR(__xludf.DUMMYFUNCTION("if(A12="""","""",GOOGLEFINANCE(CONCATENATE(""NSE:"",A12),""change""))"),1.36)</f>
        <v>1.36</v>
      </c>
      <c r="H12" s="13">
        <f>IFERROR(__xludf.DUMMYFUNCTION("if(A12="""","""",GOOGLEFINANCE(CONCATENATE(""NSE:"",A12),""changepct"")/100)"),0.011899999999999999)</f>
        <v>0.0119</v>
      </c>
      <c r="I12" s="12">
        <f>IFERROR(__xludf.DUMMYFUNCTION("if(A12="""","""",GOOGLEFINANCE(CONCATENATE(""NSE:"",A12),""volume""))"),1.8125859E7)</f>
        <v>18125859</v>
      </c>
      <c r="J12" s="12">
        <f>IFERROR(__xludf.DUMMYFUNCTION("if(A12="""","""",GOOGLEFINANCE(CONCATENATE(""NSE:"",A12),""high52""))"),135.15)</f>
        <v>135.15</v>
      </c>
      <c r="K12" s="12">
        <f>IFERROR(__xludf.DUMMYFUNCTION("if(A12="""","""",GOOGLEFINANCE(CONCATENATE(""NSE:"",A12),""low52""))"),98.5)</f>
        <v>98.5</v>
      </c>
      <c r="L12" s="12">
        <f>IFERROR(__xludf.DUMMYFUNCTION("if(A12="""","""",GOOGLEFINANCE(CONCATENATE(""NSE:"",A12),""pe""))"),6.03)</f>
        <v>6.03</v>
      </c>
      <c r="M12" s="13" t="str">
        <f>IFERROR(__xludf.DUMMYFUNCTION("if(A12="""","""",F12/index(GOOGLEFINANCE(CONCATENATE(""NSE:"",A12),""price"",workday(TODAY(),-M$1)),2,2)-1)"),"Loading...")</f>
        <v>Loading...</v>
      </c>
      <c r="N12" s="13" t="str">
        <f>IFERROR(__xludf.DUMMYFUNCTION("if(A12="""","""",F12/index(GOOGLEFINANCE(CONCATENATE(""NSE:"",A12),""price"",workday(TODAY(),-N$1)),2,2)-1)"),"Loading...")</f>
        <v>Loading...</v>
      </c>
      <c r="O12" s="44" t="str">
        <f>IFERROR(__xludf.DUMMYFUNCTION("if(A12="""","""",sparkline(index(GOOGLEFINANCE(CONCATENATE(""NSE:"",A12),""price"",workday(TODAY(),-O$1),today()),,2),{""charttype"",""column"";""color"",""green""}))"),"Loading...")</f>
        <v>Loading...</v>
      </c>
    </row>
    <row r="13" ht="26.25" customHeight="1">
      <c r="A13" s="43" t="s">
        <v>53</v>
      </c>
      <c r="B13" s="12">
        <f>IFERROR(__xludf.DUMMYFUNCTION("if(A13="""","""",GOOGLEFINANCE(CONCATENATE(""NSE:"",A13),""priceopen""))"),264.0)</f>
        <v>264</v>
      </c>
      <c r="C13" s="12">
        <f>IFERROR(__xludf.DUMMYFUNCTION("if(A13="""","""",GOOGLEFINANCE(CONCATENATE(""NSE:"",A13),""high""))"),264.65)</f>
        <v>264.65</v>
      </c>
      <c r="D13" s="12">
        <f>IFERROR(__xludf.DUMMYFUNCTION("if(A13="""","""",GOOGLEFINANCE(CONCATENATE(""NSE:"",A13),""low""))"),253.8)</f>
        <v>253.8</v>
      </c>
      <c r="E13" s="12">
        <f>IFERROR(__xludf.DUMMYFUNCTION("if(A13="""","""",GOOGLEFINANCE(CONCATENATE(""NSE:"",A13),""closeyest""))"),265.7)</f>
        <v>265.7</v>
      </c>
      <c r="F13" s="12">
        <f>IFERROR(__xludf.DUMMYFUNCTION("if(A13="""","""",GOOGLEFINANCE(CONCATENATE(""NSE:"",A13),""price""))"),255.05)</f>
        <v>255.05</v>
      </c>
      <c r="G13" s="12">
        <f>IFERROR(__xludf.DUMMYFUNCTION("if(A13="""","""",GOOGLEFINANCE(CONCATENATE(""NSE:"",A13),""change""))"),-10.85)</f>
        <v>-10.85</v>
      </c>
      <c r="H13" s="13">
        <f>IFERROR(__xludf.DUMMYFUNCTION("if(A13="""","""",GOOGLEFINANCE(CONCATENATE(""NSE:"",A13),""changepct"")/100)"),-0.0401)</f>
        <v>-0.0401</v>
      </c>
      <c r="I13" s="12">
        <f>IFERROR(__xludf.DUMMYFUNCTION("if(A13="""","""",GOOGLEFINANCE(CONCATENATE(""NSE:"",A13),""volume""))"),4.7320792E7)</f>
        <v>47320792</v>
      </c>
      <c r="J13" s="12">
        <f>IFERROR(__xludf.DUMMYFUNCTION("if(A13="""","""",GOOGLEFINANCE(CONCATENATE(""NSE:"",A13),""high52""))"),426.4)</f>
        <v>426.4</v>
      </c>
      <c r="K13" s="12">
        <f>IFERROR(__xludf.DUMMYFUNCTION("if(A13="""","""",GOOGLEFINANCE(CONCATENATE(""NSE:"",A13),""low52""))"),253.8)</f>
        <v>253.8</v>
      </c>
      <c r="L13" s="12">
        <f>IFERROR(__xludf.DUMMYFUNCTION("if(A13="""","""",GOOGLEFINANCE(CONCATENATE(""NSE:"",A13),""pe""))"),16.11)</f>
        <v>16.11</v>
      </c>
      <c r="M13" s="13" t="str">
        <f>IFERROR(__xludf.DUMMYFUNCTION("if(A13="""","""",F13/index(GOOGLEFINANCE(CONCATENATE(""NSE:"",A13),""price"",workday(TODAY(),-M$1)),2,2)-1)"),"Loading...")</f>
        <v>Loading...</v>
      </c>
      <c r="N13" s="13" t="str">
        <f>IFERROR(__xludf.DUMMYFUNCTION("if(A13="""","""",F13/index(GOOGLEFINANCE(CONCATENATE(""NSE:"",A13),""price"",workday(TODAY(),-N$1)),2,2)-1)"),"Loading...")</f>
        <v>Loading...</v>
      </c>
      <c r="O13" s="44" t="str">
        <f>IFERROR(__xludf.DUMMYFUNCTION("if(A13="""","""",sparkline(index(GOOGLEFINANCE(CONCATENATE(""NSE:"",A13),""price"",workday(TODAY(),-O$1),today()),,2),{""charttype"",""column"";""color"",""green""}))"),"Loading...")</f>
        <v>Loading...</v>
      </c>
    </row>
    <row r="14" ht="26.25" customHeight="1">
      <c r="A14" s="43" t="s">
        <v>462</v>
      </c>
      <c r="B14" s="12">
        <f>IFERROR(__xludf.DUMMYFUNCTION("if(A14="""","""",GOOGLEFINANCE(CONCATENATE(""NSE:"",A14),""priceopen""))"),406.25)</f>
        <v>406.25</v>
      </c>
      <c r="C14" s="12">
        <f>IFERROR(__xludf.DUMMYFUNCTION("if(A14="""","""",GOOGLEFINANCE(CONCATENATE(""NSE:"",A14),""high""))"),406.85)</f>
        <v>406.85</v>
      </c>
      <c r="D14" s="12">
        <f>IFERROR(__xludf.DUMMYFUNCTION("if(A14="""","""",GOOGLEFINANCE(CONCATENATE(""NSE:"",A14),""low""))"),399.7)</f>
        <v>399.7</v>
      </c>
      <c r="E14" s="12">
        <f>IFERROR(__xludf.DUMMYFUNCTION("if(A14="""","""",GOOGLEFINANCE(CONCATENATE(""NSE:"",A14),""closeyest""))"),407.6)</f>
        <v>407.6</v>
      </c>
      <c r="F14" s="12">
        <f>IFERROR(__xludf.DUMMYFUNCTION("if(A14="""","""",GOOGLEFINANCE(CONCATENATE(""NSE:"",A14),""price""))"),402.55)</f>
        <v>402.55</v>
      </c>
      <c r="G14" s="12">
        <f>IFERROR(__xludf.DUMMYFUNCTION("if(A14="""","""",GOOGLEFINANCE(CONCATENATE(""NSE:"",A14),""change""))"),-5.1)</f>
        <v>-5.1</v>
      </c>
      <c r="H14" s="13">
        <f>IFERROR(__xludf.DUMMYFUNCTION("if(A14="""","""",GOOGLEFINANCE(CONCATENATE(""NSE:"",A14),""changepct"")/100)"),-0.0125)</f>
        <v>-0.0125</v>
      </c>
      <c r="I14" s="12">
        <f>IFERROR(__xludf.DUMMYFUNCTION("if(A14="""","""",GOOGLEFINANCE(CONCATENATE(""NSE:"",A14),""volume""))"),322942.0)</f>
        <v>322942</v>
      </c>
      <c r="J14" s="12">
        <f>IFERROR(__xludf.DUMMYFUNCTION("if(A14="""","""",GOOGLEFINANCE(CONCATENATE(""NSE:"",A14),""high52""))"),540.5)</f>
        <v>540.5</v>
      </c>
      <c r="K14" s="12">
        <f>IFERROR(__xludf.DUMMYFUNCTION("if(A14="""","""",GOOGLEFINANCE(CONCATENATE(""NSE:"",A14),""low52""))"),365.3)</f>
        <v>365.3</v>
      </c>
      <c r="L14" s="12">
        <f>IFERROR(__xludf.DUMMYFUNCTION("if(A14="""","""",GOOGLEFINANCE(CONCATENATE(""NSE:"",A14),""pe""))"),14.91)</f>
        <v>14.91</v>
      </c>
      <c r="M14" s="13" t="str">
        <f>IFERROR(__xludf.DUMMYFUNCTION("if(A14="""","""",F14/index(GOOGLEFINANCE(CONCATENATE(""NSE:"",A14),""price"",workday(TODAY(),-M$1)),2,2)-1)"),"Loading...")</f>
        <v>Loading...</v>
      </c>
      <c r="N14" s="13" t="str">
        <f>IFERROR(__xludf.DUMMYFUNCTION("if(A14="""","""",F14/index(GOOGLEFINANCE(CONCATENATE(""NSE:"",A14),""price"",workday(TODAY(),-N$1)),2,2)-1)"),"Loading...")</f>
        <v>Loading...</v>
      </c>
      <c r="O14" s="44" t="str">
        <f>IFERROR(__xludf.DUMMYFUNCTION("if(A14="""","""",sparkline(index(GOOGLEFINANCE(CONCATENATE(""NSE:"",A14),""price"",workday(TODAY(),-O$1),today()),,2),{""charttype"",""column"";""color"",""green""}))"),"Loading...")</f>
        <v>Loading...</v>
      </c>
    </row>
    <row r="15" ht="26.25" customHeight="1">
      <c r="A15" s="43" t="s">
        <v>173</v>
      </c>
      <c r="B15" s="12">
        <f>IFERROR(__xludf.DUMMYFUNCTION("if(A15="""","""",GOOGLEFINANCE(CONCATENATE(""NSE:"",A15),""priceopen""))"),149.5)</f>
        <v>149.5</v>
      </c>
      <c r="C15" s="12">
        <f>IFERROR(__xludf.DUMMYFUNCTION("if(A15="""","""",GOOGLEFINANCE(CONCATENATE(""NSE:"",A15),""high""))"),149.8)</f>
        <v>149.8</v>
      </c>
      <c r="D15" s="12">
        <f>IFERROR(__xludf.DUMMYFUNCTION("if(A15="""","""",GOOGLEFINANCE(CONCATENATE(""NSE:"",A15),""low""))"),144.52)</f>
        <v>144.52</v>
      </c>
      <c r="E15" s="12">
        <f>IFERROR(__xludf.DUMMYFUNCTION("if(A15="""","""",GOOGLEFINANCE(CONCATENATE(""NSE:"",A15),""closeyest""))"),149.2)</f>
        <v>149.2</v>
      </c>
      <c r="F15" s="12">
        <f>IFERROR(__xludf.DUMMYFUNCTION("if(A15="""","""",GOOGLEFINANCE(CONCATENATE(""NSE:"",A15),""price""))"),145.0)</f>
        <v>145</v>
      </c>
      <c r="G15" s="12">
        <f>IFERROR(__xludf.DUMMYFUNCTION("if(A15="""","""",GOOGLEFINANCE(CONCATENATE(""NSE:"",A15),""change""))"),-4.2)</f>
        <v>-4.2</v>
      </c>
      <c r="H15" s="13">
        <f>IFERROR(__xludf.DUMMYFUNCTION("if(A15="""","""",GOOGLEFINANCE(CONCATENATE(""NSE:"",A15),""changepct"")/100)"),-0.0282)</f>
        <v>-0.0282</v>
      </c>
      <c r="I15" s="12">
        <f>IFERROR(__xludf.DUMMYFUNCTION("if(A15="""","""",GOOGLEFINANCE(CONCATENATE(""NSE:"",A15),""volume""))"),1.340045E7)</f>
        <v>13400450</v>
      </c>
      <c r="J15" s="12">
        <f>IFERROR(__xludf.DUMMYFUNCTION("if(A15="""","""",GOOGLEFINANCE(CONCATENATE(""NSE:"",A15),""high52""))"),215.42)</f>
        <v>215.42</v>
      </c>
      <c r="K15" s="12">
        <f>IFERROR(__xludf.DUMMYFUNCTION("if(A15="""","""",GOOGLEFINANCE(CONCATENATE(""NSE:"",A15),""low52""))"),134.21)</f>
        <v>134.21</v>
      </c>
      <c r="L15" s="12">
        <f>IFERROR(__xludf.DUMMYFUNCTION("if(A15="""","""",GOOGLEFINANCE(CONCATENATE(""NSE:"",A15),""pe""))"),24.5)</f>
        <v>24.5</v>
      </c>
      <c r="M15" s="13" t="str">
        <f>IFERROR(__xludf.DUMMYFUNCTION("if(A15="""","""",F15/index(GOOGLEFINANCE(CONCATENATE(""NSE:"",A15),""price"",workday(TODAY(),-M$1)),2,2)-1)"),"Loading...")</f>
        <v>Loading...</v>
      </c>
      <c r="N15" s="13" t="str">
        <f>IFERROR(__xludf.DUMMYFUNCTION("if(A15="""","""",F15/index(GOOGLEFINANCE(CONCATENATE(""NSE:"",A15),""price"",workday(TODAY(),-N$1)),2,2)-1)"),"Loading...")</f>
        <v>Loading...</v>
      </c>
      <c r="O15" s="44" t="str">
        <f>IFERROR(__xludf.DUMMYFUNCTION("if(A15="""","""",sparkline(index(GOOGLEFINANCE(CONCATENATE(""NSE:"",A15),""price"",workday(TODAY(),-O$1),today()),,2),{""charttype"",""column"";""color"",""green""}))"),"Loading...")</f>
        <v>Loading...</v>
      </c>
    </row>
    <row r="16" ht="26.25" customHeight="1">
      <c r="A16" s="43" t="s">
        <v>457</v>
      </c>
      <c r="B16" s="12" t="str">
        <f>IFERROR(__xludf.DUMMYFUNCTION("if(A16="""","""",GOOGLEFINANCE(CONCATENATE(""NSE:"",A16),""priceopen""))"),"#N/A")</f>
        <v>#N/A</v>
      </c>
      <c r="C16" s="12" t="str">
        <f>IFERROR(__xludf.DUMMYFUNCTION("if(A16="""","""",GOOGLEFINANCE(CONCATENATE(""NSE:"",A16),""high""))"),"#N/A")</f>
        <v>#N/A</v>
      </c>
      <c r="D16" s="12" t="str">
        <f>IFERROR(__xludf.DUMMYFUNCTION("if(A16="""","""",GOOGLEFINANCE(CONCATENATE(""NSE:"",A16),""low""))"),"#N/A")</f>
        <v>#N/A</v>
      </c>
      <c r="E16" s="12" t="str">
        <f>IFERROR(__xludf.DUMMYFUNCTION("if(A16="""","""",GOOGLEFINANCE(CONCATENATE(""NSE:"",A16),""closeyest""))"),"#N/A")</f>
        <v>#N/A</v>
      </c>
      <c r="F16" s="12" t="str">
        <f>IFERROR(__xludf.DUMMYFUNCTION("if(A16="""","""",GOOGLEFINANCE(CONCATENATE(""NSE:"",A16),""price""))"),"#N/A")</f>
        <v>#N/A</v>
      </c>
      <c r="G16" s="12" t="str">
        <f>IFERROR(__xludf.DUMMYFUNCTION("if(A16="""","""",GOOGLEFINANCE(CONCATENATE(""NSE:"",A16),""change""))"),"#N/A")</f>
        <v>#N/A</v>
      </c>
      <c r="H16" s="13" t="str">
        <f>IFERROR(__xludf.DUMMYFUNCTION("if(A16="""","""",GOOGLEFINANCE(CONCATENATE(""NSE:"",A16),""changepct"")/100)"),"#N/A")</f>
        <v>#N/A</v>
      </c>
      <c r="I16" s="12" t="str">
        <f>IFERROR(__xludf.DUMMYFUNCTION("if(A16="""","""",GOOGLEFINANCE(CONCATENATE(""NSE:"",A16),""volume""))"),"#N/A")</f>
        <v>#N/A</v>
      </c>
      <c r="J16" s="12" t="str">
        <f>IFERROR(__xludf.DUMMYFUNCTION("if(A16="""","""",GOOGLEFINANCE(CONCATENATE(""NSE:"",A16),""high52""))"),"#N/A")</f>
        <v>#N/A</v>
      </c>
      <c r="K16" s="12" t="str">
        <f>IFERROR(__xludf.DUMMYFUNCTION("if(A16="""","""",GOOGLEFINANCE(CONCATENATE(""NSE:"",A16),""low52""))"),"#N/A")</f>
        <v>#N/A</v>
      </c>
      <c r="L16" s="12" t="str">
        <f>IFERROR(__xludf.DUMMYFUNCTION("if(A16="""","""",GOOGLEFINANCE(CONCATENATE(""NSE:"",A16),""pe""))"),"#N/A")</f>
        <v>#N/A</v>
      </c>
      <c r="M16" s="13" t="str">
        <f>IFERROR(__xludf.DUMMYFUNCTION("if(A16="""","""",F16/index(GOOGLEFINANCE(CONCATENATE(""NSE:"",A16),""price"",workday(TODAY(),-M$1)),2,2)-1)"),"#N/A")</f>
        <v>#N/A</v>
      </c>
      <c r="N16" s="13" t="str">
        <f>IFERROR(__xludf.DUMMYFUNCTION("if(A16="""","""",F16/index(GOOGLEFINANCE(CONCATENATE(""NSE:"",A16),""price"",workday(TODAY(),-N$1)),2,2)-1)"),"#N/A")</f>
        <v>#N/A</v>
      </c>
      <c r="O16" s="44" t="str">
        <f>IFERROR(__xludf.DUMMYFUNCTION("if(A16="""","""",sparkline(index(GOOGLEFINANCE(CONCATENATE(""NSE:"",A16),""price"",workday(TODAY(),-O$1),today()),,2),{""charttype"",""column"";""color"",""green""}))"),"Loading...")</f>
        <v>Loading...</v>
      </c>
    </row>
    <row r="17" ht="26.25" customHeight="1">
      <c r="A17" s="43" t="s">
        <v>765</v>
      </c>
      <c r="B17" s="12">
        <f>IFERROR(__xludf.DUMMYFUNCTION("if(A17="""","""",GOOGLEFINANCE(CONCATENATE(""NSE:"",A17),""priceopen""))"),333.4)</f>
        <v>333.4</v>
      </c>
      <c r="C17" s="12">
        <f>IFERROR(__xludf.DUMMYFUNCTION("if(A17="""","""",GOOGLEFINANCE(CONCATENATE(""NSE:"",A17),""high""))"),335.85)</f>
        <v>335.85</v>
      </c>
      <c r="D17" s="12">
        <f>IFERROR(__xludf.DUMMYFUNCTION("if(A17="""","""",GOOGLEFINANCE(CONCATENATE(""NSE:"",A17),""low""))"),328.2)</f>
        <v>328.2</v>
      </c>
      <c r="E17" s="12">
        <f>IFERROR(__xludf.DUMMYFUNCTION("if(A17="""","""",GOOGLEFINANCE(CONCATENATE(""NSE:"",A17),""closeyest""))"),333.4)</f>
        <v>333.4</v>
      </c>
      <c r="F17" s="12">
        <f>IFERROR(__xludf.DUMMYFUNCTION("if(A17="""","""",GOOGLEFINANCE(CONCATENATE(""NSE:"",A17),""price""))"),330.05)</f>
        <v>330.05</v>
      </c>
      <c r="G17" s="12">
        <f>IFERROR(__xludf.DUMMYFUNCTION("if(A17="""","""",GOOGLEFINANCE(CONCATENATE(""NSE:"",A17),""change""))"),-3.1)</f>
        <v>-3.1</v>
      </c>
      <c r="H17" s="13">
        <f>IFERROR(__xludf.DUMMYFUNCTION("if(A17="""","""",GOOGLEFINANCE(CONCATENATE(""NSE:"",A17),""changepct"")/100)"),-0.009300000000000001)</f>
        <v>-0.0093</v>
      </c>
      <c r="I17" s="12">
        <f>IFERROR(__xludf.DUMMYFUNCTION("if(A17="""","""",GOOGLEFINANCE(CONCATENATE(""NSE:"",A17),""volume""))"),431089.0)</f>
        <v>431089</v>
      </c>
      <c r="J17" s="12">
        <f>IFERROR(__xludf.DUMMYFUNCTION("if(A17="""","""",GOOGLEFINANCE(CONCATENATE(""NSE:"",A17),""high52""))"),611.9)</f>
        <v>611.9</v>
      </c>
      <c r="K17" s="12">
        <f>IFERROR(__xludf.DUMMYFUNCTION("if(A17="""","""",GOOGLEFINANCE(CONCATENATE(""NSE:"",A17),""low52""))"),328.2)</f>
        <v>328.2</v>
      </c>
      <c r="L17" s="12" t="str">
        <f>IFERROR(__xludf.DUMMYFUNCTION("if(A17="""","""",GOOGLEFINANCE(CONCATENATE(""NSE:"",A17),""pe""))"),"#N/A")</f>
        <v>#N/A</v>
      </c>
      <c r="M17" s="13" t="str">
        <f>IFERROR(__xludf.DUMMYFUNCTION("if(A17="""","""",F17/index(GOOGLEFINANCE(CONCATENATE(""NSE:"",A17),""price"",workday(TODAY(),-M$1)),2,2)-1)"),"Loading...")</f>
        <v>Loading...</v>
      </c>
      <c r="N17" s="13" t="str">
        <f>IFERROR(__xludf.DUMMYFUNCTION("if(A17="""","""",F17/index(GOOGLEFINANCE(CONCATENATE(""NSE:"",A17),""price"",workday(TODAY(),-N$1)),2,2)-1)"),"Loading...")</f>
        <v>Loading...</v>
      </c>
      <c r="O17" s="44" t="str">
        <f>IFERROR(__xludf.DUMMYFUNCTION("if(A17="""","""",sparkline(index(GOOGLEFINANCE(CONCATENATE(""NSE:"",A17),""price"",workday(TODAY(),-O$1),today()),,2),{""charttype"",""column"";""color"",""green""}))"),"Loading...")</f>
        <v>Loading...</v>
      </c>
    </row>
    <row r="18" ht="26.25" customHeight="1">
      <c r="A18" s="43" t="s">
        <v>1003</v>
      </c>
      <c r="B18" s="12">
        <f>IFERROR(__xludf.DUMMYFUNCTION("if(A18="""","""",GOOGLEFINANCE(CONCATENATE(""NSE:"",A18),""priceopen""))"),154.95)</f>
        <v>154.95</v>
      </c>
      <c r="C18" s="12">
        <f>IFERROR(__xludf.DUMMYFUNCTION("if(A18="""","""",GOOGLEFINANCE(CONCATENATE(""NSE:"",A18),""high""))"),156.46)</f>
        <v>156.46</v>
      </c>
      <c r="D18" s="12">
        <f>IFERROR(__xludf.DUMMYFUNCTION("if(A18="""","""",GOOGLEFINANCE(CONCATENATE(""NSE:"",A18),""low""))"),152.17)</f>
        <v>152.17</v>
      </c>
      <c r="E18" s="12">
        <f>IFERROR(__xludf.DUMMYFUNCTION("if(A18="""","""",GOOGLEFINANCE(CONCATENATE(""NSE:"",A18),""closeyest""))"),154.33)</f>
        <v>154.33</v>
      </c>
      <c r="F18" s="12">
        <f>IFERROR(__xludf.DUMMYFUNCTION("if(A18="""","""",GOOGLEFINANCE(CONCATENATE(""NSE:"",A18),""price""))"),152.67)</f>
        <v>152.67</v>
      </c>
      <c r="G18" s="12">
        <f>IFERROR(__xludf.DUMMYFUNCTION("if(A18="""","""",GOOGLEFINANCE(CONCATENATE(""NSE:"",A18),""change""))"),-1.71)</f>
        <v>-1.71</v>
      </c>
      <c r="H18" s="13">
        <f>IFERROR(__xludf.DUMMYFUNCTION("if(A18="""","""",GOOGLEFINANCE(CONCATENATE(""NSE:"",A18),""changepct"")/100)"),-0.0108)</f>
        <v>-0.0108</v>
      </c>
      <c r="I18" s="12">
        <f>IFERROR(__xludf.DUMMYFUNCTION("if(A18="""","""",GOOGLEFINANCE(CONCATENATE(""NSE:"",A18),""volume""))"),68916.0)</f>
        <v>68916</v>
      </c>
      <c r="J18" s="12">
        <f>IFERROR(__xludf.DUMMYFUNCTION("if(A18="""","""",GOOGLEFINANCE(CONCATENATE(""NSE:"",A18),""high52""))"),207.8)</f>
        <v>207.8</v>
      </c>
      <c r="K18" s="12">
        <f>IFERROR(__xludf.DUMMYFUNCTION("if(A18="""","""",GOOGLEFINANCE(CONCATENATE(""NSE:"",A18),""low52""))"),125.0)</f>
        <v>125</v>
      </c>
      <c r="L18" s="12">
        <f>IFERROR(__xludf.DUMMYFUNCTION("if(A18="""","""",GOOGLEFINANCE(CONCATENATE(""NSE:"",A18),""pe""))"),11.55)</f>
        <v>11.55</v>
      </c>
      <c r="M18" s="13" t="str">
        <f>IFERROR(__xludf.DUMMYFUNCTION("if(A18="""","""",F18/index(GOOGLEFINANCE(CONCATENATE(""NSE:"",A18),""price"",workday(TODAY(),-M$1)),2,2)-1)"),"Loading...")</f>
        <v>Loading...</v>
      </c>
      <c r="N18" s="13" t="str">
        <f>IFERROR(__xludf.DUMMYFUNCTION("if(A18="""","""",F18/index(GOOGLEFINANCE(CONCATENATE(""NSE:"",A18),""price"",workday(TODAY(),-N$1)),2,2)-1)"),"Loading...")</f>
        <v>Loading...</v>
      </c>
      <c r="O18" s="44" t="str">
        <f>IFERROR(__xludf.DUMMYFUNCTION("if(A18="""","""",sparkline(index(GOOGLEFINANCE(CONCATENATE(""NSE:"",A18),""price"",workday(TODAY(),-O$1),today()),,2),{""charttype"",""column"";""color"",""green""}))"),"Loading...")</f>
        <v>Loading...</v>
      </c>
    </row>
    <row r="19" ht="26.25" customHeight="1">
      <c r="A19" s="43" t="s">
        <v>81</v>
      </c>
      <c r="B19" s="12">
        <f>IFERROR(__xludf.DUMMYFUNCTION("if(A19="""","""",GOOGLEFINANCE(CONCATENATE(""NSE:"",A19),""priceopen""))"),262.0)</f>
        <v>262</v>
      </c>
      <c r="C19" s="12">
        <f>IFERROR(__xludf.DUMMYFUNCTION("if(A19="""","""",GOOGLEFINANCE(CONCATENATE(""NSE:"",A19),""high""))"),262.35)</f>
        <v>262.35</v>
      </c>
      <c r="D19" s="12">
        <f>IFERROR(__xludf.DUMMYFUNCTION("if(A19="""","""",GOOGLEFINANCE(CONCATENATE(""NSE:"",A19),""low""))"),254.0)</f>
        <v>254</v>
      </c>
      <c r="E19" s="12">
        <f>IFERROR(__xludf.DUMMYFUNCTION("if(A19="""","""",GOOGLEFINANCE(CONCATENATE(""NSE:"",A19),""closeyest""))"),261.4)</f>
        <v>261.4</v>
      </c>
      <c r="F19" s="12">
        <f>IFERROR(__xludf.DUMMYFUNCTION("if(A19="""","""",GOOGLEFINANCE(CONCATENATE(""NSE:"",A19),""price""))"),255.05)</f>
        <v>255.05</v>
      </c>
      <c r="G19" s="12">
        <f>IFERROR(__xludf.DUMMYFUNCTION("if(A19="""","""",GOOGLEFINANCE(CONCATENATE(""NSE:"",A19),""change""))"),-6.0)</f>
        <v>-6</v>
      </c>
      <c r="H19" s="13">
        <f>IFERROR(__xludf.DUMMYFUNCTION("if(A19="""","""",GOOGLEFINANCE(CONCATENATE(""NSE:"",A19),""changepct"")/100)"),-0.0235)</f>
        <v>-0.0235</v>
      </c>
      <c r="I19" s="12">
        <f>IFERROR(__xludf.DUMMYFUNCTION("if(A19="""","""",GOOGLEFINANCE(CONCATENATE(""NSE:"",A19),""volume""))"),1.1790445E7)</f>
        <v>11790445</v>
      </c>
      <c r="J19" s="12">
        <f>IFERROR(__xludf.DUMMYFUNCTION("if(A19="""","""",GOOGLEFINANCE(CONCATENATE(""NSE:"",A19),""high52""))"),360.0)</f>
        <v>360</v>
      </c>
      <c r="K19" s="12">
        <f>IFERROR(__xludf.DUMMYFUNCTION("if(A19="""","""",GOOGLEFINANCE(CONCATENATE(""NSE:"",A19),""low52""))"),167.62)</f>
        <v>167.62</v>
      </c>
      <c r="L19" s="12">
        <f>IFERROR(__xludf.DUMMYFUNCTION("if(A19="""","""",GOOGLEFINANCE(CONCATENATE(""NSE:"",A19),""pe""))"),5.1)</f>
        <v>5.1</v>
      </c>
      <c r="M19" s="13" t="str">
        <f>IFERROR(__xludf.DUMMYFUNCTION("if(A19="""","""",F19/index(GOOGLEFINANCE(CONCATENATE(""NSE:"",A19),""price"",workday(TODAY(),-M$1)),2,2)-1)"),"Loading...")</f>
        <v>Loading...</v>
      </c>
      <c r="N19" s="13" t="str">
        <f>IFERROR(__xludf.DUMMYFUNCTION("if(A19="""","""",F19/index(GOOGLEFINANCE(CONCATENATE(""NSE:"",A19),""price"",workday(TODAY(),-N$1)),2,2)-1)"),"Loading...")</f>
        <v>Loading...</v>
      </c>
      <c r="O19" s="44" t="str">
        <f>IFERROR(__xludf.DUMMYFUNCTION("if(A19="""","""",sparkline(index(GOOGLEFINANCE(CONCATENATE(""NSE:"",A19),""price"",workday(TODAY(),-O$1),today()),,2),{""charttype"",""column"";""color"",""green""}))"),"Loading...")</f>
        <v>Loading...</v>
      </c>
    </row>
    <row r="20" ht="26.25" customHeight="1">
      <c r="A20" s="43" t="s">
        <v>110</v>
      </c>
      <c r="B20" s="12">
        <f>IFERROR(__xludf.DUMMYFUNCTION("if(A20="""","""",GOOGLEFINANCE(CONCATENATE(""NSE:"",A20),""priceopen""))"),347.0)</f>
        <v>347</v>
      </c>
      <c r="C20" s="12">
        <f>IFERROR(__xludf.DUMMYFUNCTION("if(A20="""","""",GOOGLEFINANCE(CONCATENATE(""NSE:"",A20),""high""))"),347.75)</f>
        <v>347.75</v>
      </c>
      <c r="D20" s="12">
        <f>IFERROR(__xludf.DUMMYFUNCTION("if(A20="""","""",GOOGLEFINANCE(CONCATENATE(""NSE:"",A20),""low""))"),334.0)</f>
        <v>334</v>
      </c>
      <c r="E20" s="12">
        <f>IFERROR(__xludf.DUMMYFUNCTION("if(A20="""","""",GOOGLEFINANCE(CONCATENATE(""NSE:"",A20),""closeyest""))"),345.15)</f>
        <v>345.15</v>
      </c>
      <c r="F20" s="12">
        <f>IFERROR(__xludf.DUMMYFUNCTION("if(A20="""","""",GOOGLEFINANCE(CONCATENATE(""NSE:"",A20),""price""))"),335.15)</f>
        <v>335.15</v>
      </c>
      <c r="G20" s="12">
        <f>IFERROR(__xludf.DUMMYFUNCTION("if(A20="""","""",GOOGLEFINANCE(CONCATENATE(""NSE:"",A20),""change""))"),-10.0)</f>
        <v>-10</v>
      </c>
      <c r="H20" s="13">
        <f>IFERROR(__xludf.DUMMYFUNCTION("if(A20="""","""",GOOGLEFINANCE(CONCATENATE(""NSE:"",A20),""changepct"")/100)"),-0.028999999999999998)</f>
        <v>-0.029</v>
      </c>
      <c r="I20" s="12">
        <f>IFERROR(__xludf.DUMMYFUNCTION("if(A20="""","""",GOOGLEFINANCE(CONCATENATE(""NSE:"",A20),""volume""))"),5047007.0)</f>
        <v>5047007</v>
      </c>
      <c r="J20" s="12">
        <f>IFERROR(__xludf.DUMMYFUNCTION("if(A20="""","""",GOOGLEFINANCE(CONCATENATE(""NSE:"",A20),""high52""))"),464.9)</f>
        <v>464.9</v>
      </c>
      <c r="K20" s="12">
        <f>IFERROR(__xludf.DUMMYFUNCTION("if(A20="""","""",GOOGLEFINANCE(CONCATENATE(""NSE:"",A20),""low52""))"),334.0)</f>
        <v>334</v>
      </c>
      <c r="L20" s="12">
        <f>IFERROR(__xludf.DUMMYFUNCTION("if(A20="""","""",GOOGLEFINANCE(CONCATENATE(""NSE:"",A20),""pe""))"),27.78)</f>
        <v>27.78</v>
      </c>
      <c r="M20" s="13" t="str">
        <f>IFERROR(__xludf.DUMMYFUNCTION("if(A20="""","""",F20/index(GOOGLEFINANCE(CONCATENATE(""NSE:"",A20),""price"",workday(TODAY(),-M$1)),2,2)-1)"),"Loading...")</f>
        <v>Loading...</v>
      </c>
      <c r="N20" s="13" t="str">
        <f>IFERROR(__xludf.DUMMYFUNCTION("if(A20="""","""",F20/index(GOOGLEFINANCE(CONCATENATE(""NSE:"",A20),""price"",workday(TODAY(),-N$1)),2,2)-1)"),"Loading...")</f>
        <v>Loading...</v>
      </c>
      <c r="O20" s="44" t="str">
        <f>IFERROR(__xludf.DUMMYFUNCTION("if(A20="""","""",sparkline(index(GOOGLEFINANCE(CONCATENATE(""NSE:"",A20),""price"",workday(TODAY(),-O$1),today()),,2),{""charttype"",""column"";""color"",""green""}))"),"Loading...")</f>
        <v>Loading...</v>
      </c>
    </row>
    <row r="21" ht="26.25" customHeight="1">
      <c r="A21" s="43" t="s">
        <v>12</v>
      </c>
      <c r="B21" s="12">
        <f>IFERROR(__xludf.DUMMYFUNCTION("if(A21="""","""",GOOGLEFINANCE(CONCATENATE(""NSE:"",A21),""priceopen""))"),378.0)</f>
        <v>378</v>
      </c>
      <c r="C21" s="12">
        <f>IFERROR(__xludf.DUMMYFUNCTION("if(A21="""","""",GOOGLEFINANCE(CONCATENATE(""NSE:"",A21),""high""))"),378.1)</f>
        <v>378.1</v>
      </c>
      <c r="D21" s="12">
        <f>IFERROR(__xludf.DUMMYFUNCTION("if(A21="""","""",GOOGLEFINANCE(CONCATENATE(""NSE:"",A21),""low""))"),366.2)</f>
        <v>366.2</v>
      </c>
      <c r="E21" s="12">
        <f>IFERROR(__xludf.DUMMYFUNCTION("if(A21="""","""",GOOGLEFINANCE(CONCATENATE(""NSE:"",A21),""closeyest""))"),378.3)</f>
        <v>378.3</v>
      </c>
      <c r="F21" s="12">
        <f>IFERROR(__xludf.DUMMYFUNCTION("if(A21="""","""",GOOGLEFINANCE(CONCATENATE(""NSE:"",A21),""price""))"),367.0)</f>
        <v>367</v>
      </c>
      <c r="G21" s="12">
        <f>IFERROR(__xludf.DUMMYFUNCTION("if(A21="""","""",GOOGLEFINANCE(CONCATENATE(""NSE:"",A21),""change""))"),-11.4)</f>
        <v>-11.4</v>
      </c>
      <c r="H21" s="13">
        <f>IFERROR(__xludf.DUMMYFUNCTION("if(A21="""","""",GOOGLEFINANCE(CONCATENATE(""NSE:"",A21),""changepct"")/100)"),-0.0304)</f>
        <v>-0.0304</v>
      </c>
      <c r="I21" s="12">
        <f>IFERROR(__xludf.DUMMYFUNCTION("if(A21="""","""",GOOGLEFINANCE(CONCATENATE(""NSE:"",A21),""volume""))"),1.1441749E7)</f>
        <v>11441749</v>
      </c>
      <c r="J21" s="12">
        <f>IFERROR(__xludf.DUMMYFUNCTION("if(A21="""","""",GOOGLEFINANCE(CONCATENATE(""NSE:"",A21),""high52""))"),473.45)</f>
        <v>473.45</v>
      </c>
      <c r="K21" s="12">
        <f>IFERROR(__xludf.DUMMYFUNCTION("if(A21="""","""",GOOGLEFINANCE(CONCATENATE(""NSE:"",A21),""low52""))"),366.2)</f>
        <v>366.2</v>
      </c>
      <c r="L21" s="12">
        <f>IFERROR(__xludf.DUMMYFUNCTION("if(A21="""","""",GOOGLEFINANCE(CONCATENATE(""NSE:"",A21),""pe""))"),43.7)</f>
        <v>43.7</v>
      </c>
      <c r="M21" s="13" t="str">
        <f>IFERROR(__xludf.DUMMYFUNCTION("if(A21="""","""",F21/index(GOOGLEFINANCE(CONCATENATE(""NSE:"",A21),""price"",workday(TODAY(),-M$1)),2,2)-1)"),"Loading...")</f>
        <v>Loading...</v>
      </c>
      <c r="N21" s="13" t="str">
        <f>IFERROR(__xludf.DUMMYFUNCTION("if(A21="""","""",F21/index(GOOGLEFINANCE(CONCATENATE(""NSE:"",A21),""price"",workday(TODAY(),-N$1)),2,2)-1)"),"Loading...")</f>
        <v>Loading...</v>
      </c>
      <c r="O21" s="44" t="str">
        <f>IFERROR(__xludf.DUMMYFUNCTION("if(A21="""","""",sparkline(index(GOOGLEFINANCE(CONCATENATE(""NSE:"",A21),""price"",workday(TODAY(),-O$1),today()),,2),{""charttype"",""column"";""color"",""green""}))"),"Loading...")</f>
        <v>Loading...</v>
      </c>
    </row>
    <row r="22" ht="26.25" customHeight="1">
      <c r="A22" s="43" t="s">
        <v>60</v>
      </c>
      <c r="B22" s="12">
        <f>IFERROR(__xludf.DUMMYFUNCTION("if(A22="""","""",GOOGLEFINANCE(CONCATENATE(""NSE:"",A22),""priceopen""))"),316.0)</f>
        <v>316</v>
      </c>
      <c r="C22" s="12">
        <f>IFERROR(__xludf.DUMMYFUNCTION("if(A22="""","""",GOOGLEFINANCE(CONCATENATE(""NSE:"",A22),""high""))"),316.4)</f>
        <v>316.4</v>
      </c>
      <c r="D22" s="12">
        <f>IFERROR(__xludf.DUMMYFUNCTION("if(A22="""","""",GOOGLEFINANCE(CONCATENATE(""NSE:"",A22),""low""))"),309.85)</f>
        <v>309.85</v>
      </c>
      <c r="E22" s="12">
        <f>IFERROR(__xludf.DUMMYFUNCTION("if(A22="""","""",GOOGLEFINANCE(CONCATENATE(""NSE:"",A22),""closeyest""))"),316.75)</f>
        <v>316.75</v>
      </c>
      <c r="F22" s="12">
        <f>IFERROR(__xludf.DUMMYFUNCTION("if(A22="""","""",GOOGLEFINANCE(CONCATENATE(""NSE:"",A22),""price""))"),309.1)</f>
        <v>309.1</v>
      </c>
      <c r="G22" s="12">
        <f>IFERROR(__xludf.DUMMYFUNCTION("if(A22="""","""",GOOGLEFINANCE(CONCATENATE(""NSE:"",A22),""change""))"),-7.65)</f>
        <v>-7.65</v>
      </c>
      <c r="H22" s="13">
        <f>IFERROR(__xludf.DUMMYFUNCTION("if(A22="""","""",GOOGLEFINANCE(CONCATENATE(""NSE:"",A22),""changepct"")/100)"),-0.0242)</f>
        <v>-0.0242</v>
      </c>
      <c r="I22" s="12">
        <f>IFERROR(__xludf.DUMMYFUNCTION("if(A22="""","""",GOOGLEFINANCE(CONCATENATE(""NSE:"",A22),""volume""))"),8551404.0)</f>
        <v>8551404</v>
      </c>
      <c r="J22" s="12">
        <f>IFERROR(__xludf.DUMMYFUNCTION("if(A22="""","""",GOOGLEFINANCE(CONCATENATE(""NSE:"",A22),""high52""))"),414.4)</f>
        <v>414.4</v>
      </c>
      <c r="K22" s="12">
        <f>IFERROR(__xludf.DUMMYFUNCTION("if(A22="""","""",GOOGLEFINANCE(CONCATENATE(""NSE:"",A22),""low52""))"),308.65)</f>
        <v>308.65</v>
      </c>
      <c r="L22" s="12">
        <f>IFERROR(__xludf.DUMMYFUNCTION("if(A22="""","""",GOOGLEFINANCE(CONCATENATE(""NSE:"",A22),""pe""))"),10.8)</f>
        <v>10.8</v>
      </c>
      <c r="M22" s="13" t="str">
        <f>IFERROR(__xludf.DUMMYFUNCTION("if(A22="""","""",F22/index(GOOGLEFINANCE(CONCATENATE(""NSE:"",A22),""price"",workday(TODAY(),-M$1)),2,2)-1)"),"Loading...")</f>
        <v>Loading...</v>
      </c>
      <c r="N22" s="13" t="str">
        <f>IFERROR(__xludf.DUMMYFUNCTION("if(A22="""","""",F22/index(GOOGLEFINANCE(CONCATENATE(""NSE:"",A22),""price"",workday(TODAY(),-N$1)),2,2)-1)"),"Loading...")</f>
        <v>Loading...</v>
      </c>
      <c r="O22" s="44" t="str">
        <f>IFERROR(__xludf.DUMMYFUNCTION("if(A22="""","""",sparkline(index(GOOGLEFINANCE(CONCATENATE(""NSE:"",A22),""price"",workday(TODAY(),-O$1),today()),,2),{""charttype"",""column"";""color"",""green""}))"),"Loading...")</f>
        <v>Loading...</v>
      </c>
    </row>
    <row r="23" ht="26.25" customHeight="1">
      <c r="A23" s="43" t="s">
        <v>220</v>
      </c>
      <c r="B23" s="12">
        <f>IFERROR(__xludf.DUMMYFUNCTION("if(A23="""","""",GOOGLEFINANCE(CONCATENATE(""NSE:"",A23),""priceopen""))"),88.51)</f>
        <v>88.51</v>
      </c>
      <c r="C23" s="12">
        <f>IFERROR(__xludf.DUMMYFUNCTION("if(A23="""","""",GOOGLEFINANCE(CONCATENATE(""NSE:"",A23),""high""))"),91.98)</f>
        <v>91.98</v>
      </c>
      <c r="D23" s="12">
        <f>IFERROR(__xludf.DUMMYFUNCTION("if(A23="""","""",GOOGLEFINANCE(CONCATENATE(""NSE:"",A23),""low""))"),87.62)</f>
        <v>87.62</v>
      </c>
      <c r="E23" s="12">
        <f>IFERROR(__xludf.DUMMYFUNCTION("if(A23="""","""",GOOGLEFINANCE(CONCATENATE(""NSE:"",A23),""closeyest""))"),88.51)</f>
        <v>88.51</v>
      </c>
      <c r="F23" s="12">
        <f>IFERROR(__xludf.DUMMYFUNCTION("if(A23="""","""",GOOGLEFINANCE(CONCATENATE(""NSE:"",A23),""price""))"),91.51)</f>
        <v>91.51</v>
      </c>
      <c r="G23" s="12">
        <f>IFERROR(__xludf.DUMMYFUNCTION("if(A23="""","""",GOOGLEFINANCE(CONCATENATE(""NSE:"",A23),""change""))"),2.83)</f>
        <v>2.83</v>
      </c>
      <c r="H23" s="13">
        <f>IFERROR(__xludf.DUMMYFUNCTION("if(A23="""","""",GOOGLEFINANCE(CONCATENATE(""NSE:"",A23),""changepct"")/100)"),0.0345)</f>
        <v>0.0345</v>
      </c>
      <c r="I23" s="12">
        <f>IFERROR(__xludf.DUMMYFUNCTION("if(A23="""","""",GOOGLEFINANCE(CONCATENATE(""NSE:"",A23),""volume""))"),4734922.0)</f>
        <v>4734922</v>
      </c>
      <c r="J23" s="12">
        <f>IFERROR(__xludf.DUMMYFUNCTION("if(A23="""","""",GOOGLEFINANCE(CONCATENATE(""NSE:"",A23),""high52""))"),119.95)</f>
        <v>119.95</v>
      </c>
      <c r="K23" s="12">
        <f>IFERROR(__xludf.DUMMYFUNCTION("if(A23="""","""",GOOGLEFINANCE(CONCATENATE(""NSE:"",A23),""low52""))"),84.0)</f>
        <v>84</v>
      </c>
      <c r="L23" s="12">
        <f>IFERROR(__xludf.DUMMYFUNCTION("if(A23="""","""",GOOGLEFINANCE(CONCATENATE(""NSE:"",A23),""pe""))"),129.41)</f>
        <v>129.41</v>
      </c>
      <c r="M23" s="13" t="str">
        <f>IFERROR(__xludf.DUMMYFUNCTION("if(A23="""","""",F23/index(GOOGLEFINANCE(CONCATENATE(""NSE:"",A23),""price"",workday(TODAY(),-M$1)),2,2)-1)"),"Loading...")</f>
        <v>Loading...</v>
      </c>
      <c r="N23" s="13" t="str">
        <f>IFERROR(__xludf.DUMMYFUNCTION("if(A23="""","""",F23/index(GOOGLEFINANCE(CONCATENATE(""NSE:"",A23),""price"",workday(TODAY(),-N$1)),2,2)-1)"),"Loading...")</f>
        <v>Loading...</v>
      </c>
      <c r="O23" s="44" t="str">
        <f>IFERROR(__xludf.DUMMYFUNCTION("if(A23="""","""",sparkline(index(GOOGLEFINANCE(CONCATENATE(""NSE:"",A23),""price"",workday(TODAY(),-O$1),today()),,2),{""charttype"",""column"";""color"",""green""}))"),"Loading...")</f>
        <v>Loading...</v>
      </c>
    </row>
    <row r="24" ht="26.25" customHeight="1">
      <c r="A24" s="43" t="s">
        <v>124</v>
      </c>
      <c r="B24" s="12">
        <f>IFERROR(__xludf.DUMMYFUNCTION("if(A24="""","""",GOOGLEFINANCE(CONCATENATE(""NSE:"",A24),""priceopen""))"),170.11)</f>
        <v>170.11</v>
      </c>
      <c r="C24" s="12">
        <f>IFERROR(__xludf.DUMMYFUNCTION("if(A24="""","""",GOOGLEFINANCE(CONCATENATE(""NSE:"",A24),""high""))"),170.6)</f>
        <v>170.6</v>
      </c>
      <c r="D24" s="12">
        <f>IFERROR(__xludf.DUMMYFUNCTION("if(A24="""","""",GOOGLEFINANCE(CONCATENATE(""NSE:"",A24),""low""))"),166.35)</f>
        <v>166.35</v>
      </c>
      <c r="E24" s="12">
        <f>IFERROR(__xludf.DUMMYFUNCTION("if(A24="""","""",GOOGLEFINANCE(CONCATENATE(""NSE:"",A24),""closeyest""))"),170.71)</f>
        <v>170.71</v>
      </c>
      <c r="F24" s="12">
        <f>IFERROR(__xludf.DUMMYFUNCTION("if(A24="""","""",GOOGLEFINANCE(CONCATENATE(""NSE:"",A24),""price""))"),167.11)</f>
        <v>167.11</v>
      </c>
      <c r="G24" s="12">
        <f>IFERROR(__xludf.DUMMYFUNCTION("if(A24="""","""",GOOGLEFINANCE(CONCATENATE(""NSE:"",A24),""change""))"),-3.66)</f>
        <v>-3.66</v>
      </c>
      <c r="H24" s="13">
        <f>IFERROR(__xludf.DUMMYFUNCTION("if(A24="""","""",GOOGLEFINANCE(CONCATENATE(""NSE:"",A24),""changepct"")/100)"),-0.021400000000000002)</f>
        <v>-0.0214</v>
      </c>
      <c r="I24" s="12">
        <f>IFERROR(__xludf.DUMMYFUNCTION("if(A24="""","""",GOOGLEFINANCE(CONCATENATE(""NSE:"",A24),""volume""))"),4899432.0)</f>
        <v>4899432</v>
      </c>
      <c r="J24" s="12">
        <f>IFERROR(__xludf.DUMMYFUNCTION("if(A24="""","""",GOOGLEFINANCE(CONCATENATE(""NSE:"",A24),""high52""))"),186.87)</f>
        <v>186.87</v>
      </c>
      <c r="K24" s="12">
        <f>IFERROR(__xludf.DUMMYFUNCTION("if(A24="""","""",GOOGLEFINANCE(CONCATENATE(""NSE:"",A24),""low52""))"),134.36)</f>
        <v>134.36</v>
      </c>
      <c r="L24" s="12">
        <f>IFERROR(__xludf.DUMMYFUNCTION("if(A24="""","""",GOOGLEFINANCE(CONCATENATE(""NSE:"",A24),""pe""))"),11.12)</f>
        <v>11.12</v>
      </c>
      <c r="M24" s="13" t="str">
        <f>IFERROR(__xludf.DUMMYFUNCTION("if(A24="""","""",F24/index(GOOGLEFINANCE(CONCATENATE(""NSE:"",A24),""price"",workday(TODAY(),-M$1)),2,2)-1)"),"Loading...")</f>
        <v>Loading...</v>
      </c>
      <c r="N24" s="13" t="str">
        <f>IFERROR(__xludf.DUMMYFUNCTION("if(A24="""","""",F24/index(GOOGLEFINANCE(CONCATENATE(""NSE:"",A24),""price"",workday(TODAY(),-N$1)),2,2)-1)"),"Loading...")</f>
        <v>Loading...</v>
      </c>
      <c r="O24" s="44" t="str">
        <f>IFERROR(__xludf.DUMMYFUNCTION("if(A24="""","""",sparkline(index(GOOGLEFINANCE(CONCATENATE(""NSE:"",A24),""price"",workday(TODAY(),-O$1),today()),,2),{""charttype"",""column"";""color"",""green""}))"),"Loading...")</f>
        <v>Loading...</v>
      </c>
    </row>
    <row r="25" ht="26.25" customHeight="1">
      <c r="A25" s="43" t="s">
        <v>50</v>
      </c>
      <c r="B25" s="12">
        <f>IFERROR(__xludf.DUMMYFUNCTION("if(A25="""","""",GOOGLEFINANCE(CONCATENATE(""NSE:"",A25),""priceopen""))"),222.5)</f>
        <v>222.5</v>
      </c>
      <c r="C25" s="12">
        <f>IFERROR(__xludf.DUMMYFUNCTION("if(A25="""","""",GOOGLEFINANCE(CONCATENATE(""NSE:"",A25),""high""))"),223.0)</f>
        <v>223</v>
      </c>
      <c r="D25" s="12">
        <f>IFERROR(__xludf.DUMMYFUNCTION("if(A25="""","""",GOOGLEFINANCE(CONCATENATE(""NSE:"",A25),""low""))"),218.53)</f>
        <v>218.53</v>
      </c>
      <c r="E25" s="12">
        <f>IFERROR(__xludf.DUMMYFUNCTION("if(A25="""","""",GOOGLEFINANCE(CONCATENATE(""NSE:"",A25),""closeyest""))"),221.88)</f>
        <v>221.88</v>
      </c>
      <c r="F25" s="12">
        <f>IFERROR(__xludf.DUMMYFUNCTION("if(A25="""","""",GOOGLEFINANCE(CONCATENATE(""NSE:"",A25),""price""))"),219.37)</f>
        <v>219.37</v>
      </c>
      <c r="G25" s="12">
        <f>IFERROR(__xludf.DUMMYFUNCTION("if(A25="""","""",GOOGLEFINANCE(CONCATENATE(""NSE:"",A25),""change""))"),-2.51)</f>
        <v>-2.51</v>
      </c>
      <c r="H25" s="13">
        <f>IFERROR(__xludf.DUMMYFUNCTION("if(A25="""","""",GOOGLEFINANCE(CONCATENATE(""NSE:"",A25),""changepct"")/100)"),-0.011399999999999999)</f>
        <v>-0.0114</v>
      </c>
      <c r="I25" s="12">
        <f>IFERROR(__xludf.DUMMYFUNCTION("if(A25="""","""",GOOGLEFINANCE(CONCATENATE(""NSE:"",A25),""volume""))"),7847327.0)</f>
        <v>7847327</v>
      </c>
      <c r="J25" s="12">
        <f>IFERROR(__xludf.DUMMYFUNCTION("if(A25="""","""",GOOGLEFINANCE(CONCATENATE(""NSE:"",A25),""high52""))"),307.5)</f>
        <v>307.5</v>
      </c>
      <c r="K25" s="12">
        <f>IFERROR(__xludf.DUMMYFUNCTION("if(A25="""","""",GOOGLEFINANCE(CONCATENATE(""NSE:"",A25),""low52""))"),218.53)</f>
        <v>218.53</v>
      </c>
      <c r="L25" s="12">
        <f>IFERROR(__xludf.DUMMYFUNCTION("if(A25="""","""",GOOGLEFINANCE(CONCATENATE(""NSE:"",A25),""pe""))"),6.34)</f>
        <v>6.34</v>
      </c>
      <c r="M25" s="13" t="str">
        <f>IFERROR(__xludf.DUMMYFUNCTION("if(A25="""","""",F25/index(GOOGLEFINANCE(CONCATENATE(""NSE:"",A25),""price"",workday(TODAY(),-M$1)),2,2)-1)"),"Loading...")</f>
        <v>Loading...</v>
      </c>
      <c r="N25" s="13" t="str">
        <f>IFERROR(__xludf.DUMMYFUNCTION("if(A25="""","""",F25/index(GOOGLEFINANCE(CONCATENATE(""NSE:"",A25),""price"",workday(TODAY(),-N$1)),2,2)-1)"),"Loading...")</f>
        <v>Loading...</v>
      </c>
      <c r="O25" s="44" t="str">
        <f>IFERROR(__xludf.DUMMYFUNCTION("if(A25="""","""",sparkline(index(GOOGLEFINANCE(CONCATENATE(""NSE:"",A25),""price"",workday(TODAY(),-O$1),today()),,2),{""charttype"",""column"";""color"",""green""}))"),"Loading...")</f>
        <v>Loading...</v>
      </c>
    </row>
    <row r="26" ht="26.25" customHeight="1">
      <c r="A26" s="48"/>
      <c r="B26" s="12" t="str">
        <f>IFERROR(__xludf.DUMMYFUNCTION("if(A26="""","""",GOOGLEFINANCE(CONCATENATE(""NSE:"",A26),""priceopen""))"),"")</f>
        <v/>
      </c>
      <c r="C26" s="12" t="str">
        <f>IFERROR(__xludf.DUMMYFUNCTION("if(A26="""","""",GOOGLEFINANCE(CONCATENATE(""NSE:"",A26),""high""))"),"")</f>
        <v/>
      </c>
      <c r="D26" s="12" t="str">
        <f>IFERROR(__xludf.DUMMYFUNCTION("if(A26="""","""",GOOGLEFINANCE(CONCATENATE(""NSE:"",A26),""low""))"),"")</f>
        <v/>
      </c>
      <c r="E26" s="12" t="str">
        <f>IFERROR(__xludf.DUMMYFUNCTION("if(A26="""","""",GOOGLEFINANCE(CONCATENATE(""NSE:"",A26),""closeyest""))"),"")</f>
        <v/>
      </c>
      <c r="F26" s="12" t="str">
        <f>IFERROR(__xludf.DUMMYFUNCTION("if(A26="""","""",GOOGLEFINANCE(CONCATENATE(""NSE:"",A26),""price""))"),"")</f>
        <v/>
      </c>
      <c r="G26" s="12" t="str">
        <f>IFERROR(__xludf.DUMMYFUNCTION("if(A26="""","""",GOOGLEFINANCE(CONCATENATE(""NSE:"",A26),""change""))"),"")</f>
        <v/>
      </c>
      <c r="H26" s="13" t="str">
        <f>IFERROR(__xludf.DUMMYFUNCTION("if(A26="""","""",GOOGLEFINANCE(CONCATENATE(""NSE:"",A26),""changepct"")/100)"),"")</f>
        <v/>
      </c>
      <c r="I26" s="12" t="str">
        <f>IFERROR(__xludf.DUMMYFUNCTION("if(A26="""","""",GOOGLEFINANCE(CONCATENATE(""NSE:"",A26),""volume""))"),"")</f>
        <v/>
      </c>
      <c r="J26" s="12" t="str">
        <f>IFERROR(__xludf.DUMMYFUNCTION("if(A26="""","""",GOOGLEFINANCE(CONCATENATE(""NSE:"",A26),""high52""))"),"")</f>
        <v/>
      </c>
      <c r="K26" s="12" t="str">
        <f>IFERROR(__xludf.DUMMYFUNCTION("if(A26="""","""",GOOGLEFINANCE(CONCATENATE(""NSE:"",A26),""low52""))"),"")</f>
        <v/>
      </c>
      <c r="L26" s="12" t="str">
        <f>IFERROR(__xludf.DUMMYFUNCTION("if(A26="""","""",GOOGLEFINANCE(CONCATENATE(""NSE:"",A26),""pe""))"),"")</f>
        <v/>
      </c>
      <c r="M26" s="13" t="str">
        <f>IFERROR(__xludf.DUMMYFUNCTION("if(A26="""","""",F26/index(GOOGLEFINANCE(CONCATENATE(""NSE:"",A26),""price"",workday(TODAY(),-M$1)),2,2)-1)"),"")</f>
        <v/>
      </c>
      <c r="N26" s="13" t="str">
        <f>IFERROR(__xludf.DUMMYFUNCTION("if(A26="""","""",F26/index(GOOGLEFINANCE(CONCATENATE(""NSE:"",A26),""price"",workday(TODAY(),-N$1)),2,2)-1)"),"")</f>
        <v/>
      </c>
      <c r="O26" s="44" t="str">
        <f>IFERROR(__xludf.DUMMYFUNCTION("if(A26="""","""",sparkline(index(GOOGLEFINANCE(CONCATENATE(""NSE:"",A26),""price"",workday(TODAY(),-O$1),today()),,2),{""charttype"",""column"";""color"",""green""}))"),"")</f>
        <v/>
      </c>
    </row>
    <row r="27" ht="26.25" customHeight="1">
      <c r="A27" s="48"/>
      <c r="B27" s="12" t="str">
        <f>IFERROR(__xludf.DUMMYFUNCTION("if(A27="""","""",GOOGLEFINANCE(CONCATENATE(""NSE:"",A27),""priceopen""))"),"")</f>
        <v/>
      </c>
      <c r="C27" s="12" t="str">
        <f>IFERROR(__xludf.DUMMYFUNCTION("if(A27="""","""",GOOGLEFINANCE(CONCATENATE(""NSE:"",A27),""high""))"),"")</f>
        <v/>
      </c>
      <c r="D27" s="12" t="str">
        <f>IFERROR(__xludf.DUMMYFUNCTION("if(A27="""","""",GOOGLEFINANCE(CONCATENATE(""NSE:"",A27),""low""))"),"")</f>
        <v/>
      </c>
      <c r="E27" s="12" t="str">
        <f>IFERROR(__xludf.DUMMYFUNCTION("if(A27="""","""",GOOGLEFINANCE(CONCATENATE(""NSE:"",A27),""closeyest""))"),"")</f>
        <v/>
      </c>
      <c r="F27" s="12" t="str">
        <f>IFERROR(__xludf.DUMMYFUNCTION("if(A27="""","""",GOOGLEFINANCE(CONCATENATE(""NSE:"",A27),""price""))"),"")</f>
        <v/>
      </c>
      <c r="G27" s="12" t="str">
        <f>IFERROR(__xludf.DUMMYFUNCTION("if(A27="""","""",GOOGLEFINANCE(CONCATENATE(""NSE:"",A27),""change""))"),"")</f>
        <v/>
      </c>
      <c r="H27" s="13" t="str">
        <f>IFERROR(__xludf.DUMMYFUNCTION("if(A27="""","""",GOOGLEFINANCE(CONCATENATE(""NSE:"",A27),""changepct"")/100)"),"")</f>
        <v/>
      </c>
      <c r="I27" s="12" t="str">
        <f>IFERROR(__xludf.DUMMYFUNCTION("if(A27="""","""",GOOGLEFINANCE(CONCATENATE(""NSE:"",A27),""volume""))"),"")</f>
        <v/>
      </c>
      <c r="J27" s="12" t="str">
        <f>IFERROR(__xludf.DUMMYFUNCTION("if(A27="""","""",GOOGLEFINANCE(CONCATENATE(""NSE:"",A27),""high52""))"),"")</f>
        <v/>
      </c>
      <c r="K27" s="12" t="str">
        <f>IFERROR(__xludf.DUMMYFUNCTION("if(A27="""","""",GOOGLEFINANCE(CONCATENATE(""NSE:"",A27),""low52""))"),"")</f>
        <v/>
      </c>
      <c r="L27" s="12" t="str">
        <f>IFERROR(__xludf.DUMMYFUNCTION("if(A27="""","""",GOOGLEFINANCE(CONCATENATE(""NSE:"",A27),""pe""))"),"")</f>
        <v/>
      </c>
      <c r="M27" s="13" t="str">
        <f>IFERROR(__xludf.DUMMYFUNCTION("if(A27="""","""",F27/index(GOOGLEFINANCE(CONCATENATE(""NSE:"",A27),""price"",workday(TODAY(),-M$1)),2,2)-1)"),"")</f>
        <v/>
      </c>
      <c r="N27" s="13" t="str">
        <f>IFERROR(__xludf.DUMMYFUNCTION("if(A27="""","""",F27/index(GOOGLEFINANCE(CONCATENATE(""NSE:"",A27),""price"",workday(TODAY(),-N$1)),2,2)-1)"),"")</f>
        <v/>
      </c>
      <c r="O27" s="44" t="str">
        <f>IFERROR(__xludf.DUMMYFUNCTION("if(A27="""","""",sparkline(index(GOOGLEFINANCE(CONCATENATE(""NSE:"",A27),""price"",workday(TODAY(),-O$1),today()),,2),{""charttype"",""column"";""color"",""green""}))"),"")</f>
        <v/>
      </c>
    </row>
    <row r="28" ht="26.25" customHeight="1">
      <c r="A28" s="48"/>
      <c r="B28" s="12" t="str">
        <f>IFERROR(__xludf.DUMMYFUNCTION("if(A28="""","""",GOOGLEFINANCE(CONCATENATE(""NSE:"",A28),""priceopen""))"),"")</f>
        <v/>
      </c>
      <c r="C28" s="12" t="str">
        <f>IFERROR(__xludf.DUMMYFUNCTION("if(A28="""","""",GOOGLEFINANCE(CONCATENATE(""NSE:"",A28),""high""))"),"")</f>
        <v/>
      </c>
      <c r="D28" s="12" t="str">
        <f>IFERROR(__xludf.DUMMYFUNCTION("if(A28="""","""",GOOGLEFINANCE(CONCATENATE(""NSE:"",A28),""low""))"),"")</f>
        <v/>
      </c>
      <c r="E28" s="12" t="str">
        <f>IFERROR(__xludf.DUMMYFUNCTION("if(A28="""","""",GOOGLEFINANCE(CONCATENATE(""NSE:"",A28),""closeyest""))"),"")</f>
        <v/>
      </c>
      <c r="F28" s="12" t="str">
        <f>IFERROR(__xludf.DUMMYFUNCTION("if(A28="""","""",GOOGLEFINANCE(CONCATENATE(""NSE:"",A28),""price""))"),"")</f>
        <v/>
      </c>
      <c r="G28" s="12" t="str">
        <f>IFERROR(__xludf.DUMMYFUNCTION("if(A28="""","""",GOOGLEFINANCE(CONCATENATE(""NSE:"",A28),""change""))"),"")</f>
        <v/>
      </c>
      <c r="H28" s="13" t="str">
        <f>IFERROR(__xludf.DUMMYFUNCTION("if(A28="""","""",GOOGLEFINANCE(CONCATENATE(""NSE:"",A28),""changepct"")/100)"),"")</f>
        <v/>
      </c>
      <c r="I28" s="12" t="str">
        <f>IFERROR(__xludf.DUMMYFUNCTION("if(A28="""","""",GOOGLEFINANCE(CONCATENATE(""NSE:"",A28),""volume""))"),"")</f>
        <v/>
      </c>
      <c r="J28" s="12" t="str">
        <f>IFERROR(__xludf.DUMMYFUNCTION("if(A28="""","""",GOOGLEFINANCE(CONCATENATE(""NSE:"",A28),""high52""))"),"")</f>
        <v/>
      </c>
      <c r="K28" s="12" t="str">
        <f>IFERROR(__xludf.DUMMYFUNCTION("if(A28="""","""",GOOGLEFINANCE(CONCATENATE(""NSE:"",A28),""low52""))"),"")</f>
        <v/>
      </c>
      <c r="L28" s="12" t="str">
        <f>IFERROR(__xludf.DUMMYFUNCTION("if(A28="""","""",GOOGLEFINANCE(CONCATENATE(""NSE:"",A28),""pe""))"),"")</f>
        <v/>
      </c>
      <c r="M28" s="13" t="str">
        <f>IFERROR(__xludf.DUMMYFUNCTION("if(A28="""","""",F28/index(GOOGLEFINANCE(CONCATENATE(""NSE:"",A28),""price"",workday(TODAY(),-M$1)),2,2)-1)"),"")</f>
        <v/>
      </c>
      <c r="N28" s="13" t="str">
        <f>IFERROR(__xludf.DUMMYFUNCTION("if(A28="""","""",F28/index(GOOGLEFINANCE(CONCATENATE(""NSE:"",A28),""price"",workday(TODAY(),-N$1)),2,2)-1)"),"")</f>
        <v/>
      </c>
      <c r="O28" s="44" t="str">
        <f>IFERROR(__xludf.DUMMYFUNCTION("if(A28="""","""",sparkline(index(GOOGLEFINANCE(CONCATENATE(""NSE:"",A28),""price"",workday(TODAY(),-O$1),today()),,2),{""charttype"",""column"";""color"",""green""}))"),"")</f>
        <v/>
      </c>
    </row>
    <row r="29" ht="26.25" customHeight="1">
      <c r="A29" s="48"/>
      <c r="B29" s="12" t="str">
        <f>IFERROR(__xludf.DUMMYFUNCTION("if(A29="""","""",GOOGLEFINANCE(CONCATENATE(""NSE:"",A29),""priceopen""))"),"")</f>
        <v/>
      </c>
      <c r="C29" s="12" t="str">
        <f>IFERROR(__xludf.DUMMYFUNCTION("if(A29="""","""",GOOGLEFINANCE(CONCATENATE(""NSE:"",A29),""high""))"),"")</f>
        <v/>
      </c>
      <c r="D29" s="12" t="str">
        <f>IFERROR(__xludf.DUMMYFUNCTION("if(A29="""","""",GOOGLEFINANCE(CONCATENATE(""NSE:"",A29),""low""))"),"")</f>
        <v/>
      </c>
      <c r="E29" s="12" t="str">
        <f>IFERROR(__xludf.DUMMYFUNCTION("if(A29="""","""",GOOGLEFINANCE(CONCATENATE(""NSE:"",A29),""closeyest""))"),"")</f>
        <v/>
      </c>
      <c r="F29" s="12" t="str">
        <f>IFERROR(__xludf.DUMMYFUNCTION("if(A29="""","""",GOOGLEFINANCE(CONCATENATE(""NSE:"",A29),""price""))"),"")</f>
        <v/>
      </c>
      <c r="G29" s="12" t="str">
        <f>IFERROR(__xludf.DUMMYFUNCTION("if(A29="""","""",GOOGLEFINANCE(CONCATENATE(""NSE:"",A29),""change""))"),"")</f>
        <v/>
      </c>
      <c r="H29" s="13" t="str">
        <f>IFERROR(__xludf.DUMMYFUNCTION("if(A29="""","""",GOOGLEFINANCE(CONCATENATE(""NSE:"",A29),""changepct"")/100)"),"")</f>
        <v/>
      </c>
      <c r="I29" s="12" t="str">
        <f>IFERROR(__xludf.DUMMYFUNCTION("if(A29="""","""",GOOGLEFINANCE(CONCATENATE(""NSE:"",A29),""volume""))"),"")</f>
        <v/>
      </c>
      <c r="J29" s="12" t="str">
        <f>IFERROR(__xludf.DUMMYFUNCTION("if(A29="""","""",GOOGLEFINANCE(CONCATENATE(""NSE:"",A29),""high52""))"),"")</f>
        <v/>
      </c>
      <c r="K29" s="12" t="str">
        <f>IFERROR(__xludf.DUMMYFUNCTION("if(A29="""","""",GOOGLEFINANCE(CONCATENATE(""NSE:"",A29),""low52""))"),"")</f>
        <v/>
      </c>
      <c r="L29" s="12" t="str">
        <f>IFERROR(__xludf.DUMMYFUNCTION("if(A29="""","""",GOOGLEFINANCE(CONCATENATE(""NSE:"",A29),""pe""))"),"")</f>
        <v/>
      </c>
      <c r="M29" s="13" t="str">
        <f>IFERROR(__xludf.DUMMYFUNCTION("if(A29="""","""",F29/index(GOOGLEFINANCE(CONCATENATE(""NSE:"",A29),""price"",workday(TODAY(),-M$1)),2,2)-1)"),"")</f>
        <v/>
      </c>
      <c r="N29" s="13" t="str">
        <f>IFERROR(__xludf.DUMMYFUNCTION("if(A29="""","""",F29/index(GOOGLEFINANCE(CONCATENATE(""NSE:"",A29),""price"",workday(TODAY(),-N$1)),2,2)-1)"),"")</f>
        <v/>
      </c>
      <c r="O29" s="44" t="str">
        <f>IFERROR(__xludf.DUMMYFUNCTION("if(A29="""","""",sparkline(index(GOOGLEFINANCE(CONCATENATE(""NSE:"",A29),""price"",workday(TODAY(),-O$1),today()),,2),{""charttype"",""column"";""color"",""green""}))"),"")</f>
        <v/>
      </c>
    </row>
    <row r="30" ht="26.25" customHeight="1">
      <c r="A30" s="48"/>
      <c r="B30" s="12" t="str">
        <f>IFERROR(__xludf.DUMMYFUNCTION("if(A30="""","""",GOOGLEFINANCE(CONCATENATE(""NSE:"",A30),""priceopen""))"),"")</f>
        <v/>
      </c>
      <c r="C30" s="12" t="str">
        <f>IFERROR(__xludf.DUMMYFUNCTION("if(A30="""","""",GOOGLEFINANCE(CONCATENATE(""NSE:"",A30),""high""))"),"")</f>
        <v/>
      </c>
      <c r="D30" s="12" t="str">
        <f>IFERROR(__xludf.DUMMYFUNCTION("if(A30="""","""",GOOGLEFINANCE(CONCATENATE(""NSE:"",A30),""low""))"),"")</f>
        <v/>
      </c>
      <c r="E30" s="12" t="str">
        <f>IFERROR(__xludf.DUMMYFUNCTION("if(A30="""","""",GOOGLEFINANCE(CONCATENATE(""NSE:"",A30),""closeyest""))"),"")</f>
        <v/>
      </c>
      <c r="F30" s="12" t="str">
        <f>IFERROR(__xludf.DUMMYFUNCTION("if(A30="""","""",GOOGLEFINANCE(CONCATENATE(""NSE:"",A30),""price""))"),"")</f>
        <v/>
      </c>
      <c r="G30" s="12" t="str">
        <f>IFERROR(__xludf.DUMMYFUNCTION("if(A30="""","""",GOOGLEFINANCE(CONCATENATE(""NSE:"",A30),""change""))"),"")</f>
        <v/>
      </c>
      <c r="H30" s="13" t="str">
        <f>IFERROR(__xludf.DUMMYFUNCTION("if(A30="""","""",GOOGLEFINANCE(CONCATENATE(""NSE:"",A30),""changepct"")/100)"),"")</f>
        <v/>
      </c>
      <c r="I30" s="12" t="str">
        <f>IFERROR(__xludf.DUMMYFUNCTION("if(A30="""","""",GOOGLEFINANCE(CONCATENATE(""NSE:"",A30),""volume""))"),"")</f>
        <v/>
      </c>
      <c r="J30" s="12" t="str">
        <f>IFERROR(__xludf.DUMMYFUNCTION("if(A30="""","""",GOOGLEFINANCE(CONCATENATE(""NSE:"",A30),""high52""))"),"")</f>
        <v/>
      </c>
      <c r="K30" s="12" t="str">
        <f>IFERROR(__xludf.DUMMYFUNCTION("if(A30="""","""",GOOGLEFINANCE(CONCATENATE(""NSE:"",A30),""low52""))"),"")</f>
        <v/>
      </c>
      <c r="L30" s="12" t="str">
        <f>IFERROR(__xludf.DUMMYFUNCTION("if(A30="""","""",GOOGLEFINANCE(CONCATENATE(""NSE:"",A30),""pe""))"),"")</f>
        <v/>
      </c>
      <c r="M30" s="13" t="str">
        <f>IFERROR(__xludf.DUMMYFUNCTION("if(A30="""","""",F30/index(GOOGLEFINANCE(CONCATENATE(""NSE:"",A30),""price"",workday(TODAY(),-M$1)),2,2)-1)"),"")</f>
        <v/>
      </c>
      <c r="N30" s="13" t="str">
        <f>IFERROR(__xludf.DUMMYFUNCTION("if(A30="""","""",F30/index(GOOGLEFINANCE(CONCATENATE(""NSE:"",A30),""price"",workday(TODAY(),-N$1)),2,2)-1)"),"")</f>
        <v/>
      </c>
      <c r="O30" s="44" t="str">
        <f>IFERROR(__xludf.DUMMYFUNCTION("if(A30="""","""",sparkline(index(GOOGLEFINANCE(CONCATENATE(""NSE:"",A30),""price"",workday(TODAY(),-O$1),today()),,2),{""charttype"",""column"";""color"",""green""}))"),"")</f>
        <v/>
      </c>
    </row>
    <row r="31" ht="26.25" customHeight="1">
      <c r="A31" s="49"/>
      <c r="B31" s="12" t="str">
        <f>IFERROR(__xludf.DUMMYFUNCTION("if(A31="""","""",GOOGLEFINANCE(CONCATENATE(""NSE:"",A31),""priceopen""))"),"")</f>
        <v/>
      </c>
      <c r="C31" s="12" t="str">
        <f>IFERROR(__xludf.DUMMYFUNCTION("if(A31="""","""",GOOGLEFINANCE(CONCATENATE(""NSE:"",A31),""high""))"),"")</f>
        <v/>
      </c>
      <c r="D31" s="12" t="str">
        <f>IFERROR(__xludf.DUMMYFUNCTION("if(A31="""","""",GOOGLEFINANCE(CONCATENATE(""NSE:"",A31),""low""))"),"")</f>
        <v/>
      </c>
      <c r="E31" s="12" t="str">
        <f>IFERROR(__xludf.DUMMYFUNCTION("if(A31="""","""",GOOGLEFINANCE(CONCATENATE(""NSE:"",A31),""closeyest""))"),"")</f>
        <v/>
      </c>
      <c r="F31" s="12" t="str">
        <f>IFERROR(__xludf.DUMMYFUNCTION("if(A31="""","""",GOOGLEFINANCE(CONCATENATE(""NSE:"",A31),""price""))"),"")</f>
        <v/>
      </c>
      <c r="G31" s="12" t="str">
        <f>IFERROR(__xludf.DUMMYFUNCTION("if(A31="""","""",GOOGLEFINANCE(CONCATENATE(""NSE:"",A31),""change""))"),"")</f>
        <v/>
      </c>
      <c r="H31" s="13" t="str">
        <f>IFERROR(__xludf.DUMMYFUNCTION("if(A31="""","""",GOOGLEFINANCE(CONCATENATE(""NSE:"",A31),""changepct"")/100)"),"")</f>
        <v/>
      </c>
      <c r="I31" s="12" t="str">
        <f>IFERROR(__xludf.DUMMYFUNCTION("if(A31="""","""",GOOGLEFINANCE(CONCATENATE(""NSE:"",A31),""volume""))"),"")</f>
        <v/>
      </c>
      <c r="J31" s="12" t="str">
        <f>IFERROR(__xludf.DUMMYFUNCTION("if(A31="""","""",GOOGLEFINANCE(CONCATENATE(""NSE:"",A31),""high52""))"),"")</f>
        <v/>
      </c>
      <c r="K31" s="12" t="str">
        <f>IFERROR(__xludf.DUMMYFUNCTION("if(A31="""","""",GOOGLEFINANCE(CONCATENATE(""NSE:"",A31),""low52""))"),"")</f>
        <v/>
      </c>
      <c r="L31" s="12" t="str">
        <f>IFERROR(__xludf.DUMMYFUNCTION("if(A31="""","""",GOOGLEFINANCE(CONCATENATE(""NSE:"",A31),""pe""))"),"")</f>
        <v/>
      </c>
      <c r="M31" s="13" t="str">
        <f>IFERROR(__xludf.DUMMYFUNCTION("if(A31="""","""",F31/index(GOOGLEFINANCE(CONCATENATE(""NSE:"",A31),""price"",workday(TODAY(),-M$1)),2,2)-1)"),"")</f>
        <v/>
      </c>
      <c r="N31" s="13" t="str">
        <f>IFERROR(__xludf.DUMMYFUNCTION("if(A31="""","""",F31/index(GOOGLEFINANCE(CONCATENATE(""NSE:"",A31),""price"",workday(TODAY(),-N$1)),2,2)-1)"),"")</f>
        <v/>
      </c>
      <c r="O31" s="44" t="str">
        <f>IFERROR(__xludf.DUMMYFUNCTION("if(A31="""","""",sparkline(index(GOOGLEFINANCE(CONCATENATE(""NSE:"",A31),""price"",workday(TODAY(),-O$1),today()),,2),{""charttype"",""column"";""color"",""green""}))"),"")</f>
        <v/>
      </c>
    </row>
    <row r="32" ht="26.25" customHeight="1">
      <c r="A32" s="50"/>
      <c r="H32" s="51"/>
    </row>
    <row r="33" ht="26.25" customHeight="1">
      <c r="A33" s="50"/>
      <c r="H33" s="51"/>
    </row>
    <row r="34" ht="26.25" customHeight="1">
      <c r="A34" s="50"/>
      <c r="H34" s="51"/>
    </row>
    <row r="35" ht="26.25" customHeight="1">
      <c r="A35" s="50"/>
      <c r="H35" s="51"/>
    </row>
    <row r="36">
      <c r="A36" s="50"/>
      <c r="H36" s="51"/>
    </row>
    <row r="37">
      <c r="A37" s="50"/>
      <c r="H37" s="51"/>
    </row>
    <row r="38">
      <c r="A38" s="50"/>
      <c r="H38" s="51"/>
    </row>
    <row r="39">
      <c r="A39" s="50"/>
      <c r="H39" s="51"/>
    </row>
    <row r="40">
      <c r="A40" s="50"/>
      <c r="H40" s="51"/>
    </row>
    <row r="41">
      <c r="A41" s="50"/>
      <c r="H41" s="51"/>
    </row>
    <row r="42">
      <c r="A42" s="50"/>
      <c r="H42" s="51"/>
    </row>
    <row r="43">
      <c r="A43" s="50"/>
      <c r="H43" s="51"/>
    </row>
    <row r="44">
      <c r="A44" s="50"/>
      <c r="H44" s="51"/>
    </row>
    <row r="45">
      <c r="A45" s="50"/>
      <c r="H45" s="51"/>
    </row>
    <row r="46">
      <c r="A46" s="50"/>
      <c r="H46" s="51"/>
    </row>
    <row r="47">
      <c r="A47" s="50"/>
      <c r="H47" s="51"/>
    </row>
    <row r="48">
      <c r="A48" s="50"/>
      <c r="H48" s="51"/>
    </row>
    <row r="49">
      <c r="A49" s="50"/>
      <c r="H49" s="51"/>
    </row>
    <row r="50">
      <c r="A50" s="50"/>
      <c r="H50" s="51"/>
    </row>
    <row r="51">
      <c r="A51" s="50"/>
      <c r="H51" s="51"/>
    </row>
    <row r="52">
      <c r="A52" s="50"/>
      <c r="H52" s="51"/>
    </row>
    <row r="53">
      <c r="A53" s="50"/>
      <c r="H53" s="51"/>
    </row>
    <row r="54">
      <c r="A54" s="50"/>
      <c r="H54" s="51"/>
    </row>
    <row r="55">
      <c r="A55" s="50"/>
      <c r="H55" s="51"/>
    </row>
    <row r="56">
      <c r="A56" s="50"/>
      <c r="H56" s="51"/>
    </row>
    <row r="57">
      <c r="A57" s="50"/>
      <c r="H57" s="51"/>
    </row>
    <row r="58">
      <c r="A58" s="50"/>
      <c r="H58" s="51"/>
    </row>
    <row r="59">
      <c r="A59" s="50"/>
      <c r="H59" s="51"/>
    </row>
    <row r="60">
      <c r="A60" s="50"/>
      <c r="H60" s="51"/>
    </row>
    <row r="61">
      <c r="A61" s="50"/>
      <c r="H61" s="51"/>
    </row>
    <row r="62">
      <c r="A62" s="50"/>
      <c r="H62" s="51"/>
    </row>
    <row r="63">
      <c r="A63" s="50"/>
      <c r="H63" s="51"/>
    </row>
    <row r="64">
      <c r="A64" s="50"/>
      <c r="H64" s="51"/>
    </row>
    <row r="65">
      <c r="A65" s="50"/>
      <c r="H65" s="51"/>
    </row>
    <row r="66">
      <c r="A66" s="50"/>
      <c r="H66" s="51"/>
    </row>
    <row r="67">
      <c r="A67" s="50"/>
      <c r="H67" s="51"/>
    </row>
    <row r="68">
      <c r="A68" s="50"/>
      <c r="H68" s="51"/>
    </row>
    <row r="69">
      <c r="A69" s="50"/>
      <c r="H69" s="51"/>
    </row>
    <row r="70">
      <c r="A70" s="50"/>
      <c r="H70" s="51"/>
    </row>
    <row r="71">
      <c r="A71" s="50"/>
      <c r="H71" s="51"/>
    </row>
    <row r="72">
      <c r="A72" s="50"/>
      <c r="H72" s="51"/>
    </row>
    <row r="73">
      <c r="A73" s="50"/>
      <c r="H73" s="51"/>
    </row>
    <row r="74">
      <c r="A74" s="50"/>
      <c r="H74" s="51"/>
    </row>
    <row r="75">
      <c r="A75" s="50"/>
      <c r="H75" s="51"/>
    </row>
    <row r="76">
      <c r="A76" s="50"/>
      <c r="H76" s="51"/>
    </row>
    <row r="77">
      <c r="A77" s="50"/>
      <c r="H77" s="51"/>
    </row>
    <row r="78">
      <c r="A78" s="50"/>
      <c r="H78" s="51"/>
    </row>
    <row r="79">
      <c r="A79" s="50"/>
      <c r="H79" s="51"/>
    </row>
    <row r="80">
      <c r="A80" s="50"/>
      <c r="H80" s="51"/>
    </row>
    <row r="81">
      <c r="A81" s="50"/>
      <c r="H81" s="51"/>
    </row>
    <row r="82">
      <c r="A82" s="50"/>
      <c r="H82" s="51"/>
    </row>
    <row r="83">
      <c r="A83" s="50"/>
      <c r="H83" s="51"/>
    </row>
    <row r="84">
      <c r="A84" s="50"/>
      <c r="H84" s="51"/>
    </row>
    <row r="85">
      <c r="A85" s="50"/>
      <c r="H85" s="51"/>
    </row>
    <row r="86">
      <c r="A86" s="50"/>
      <c r="H86" s="51"/>
    </row>
    <row r="87">
      <c r="A87" s="50"/>
      <c r="H87" s="51"/>
    </row>
    <row r="88">
      <c r="A88" s="50"/>
      <c r="H88" s="51"/>
    </row>
    <row r="89">
      <c r="A89" s="50"/>
      <c r="H89" s="51"/>
    </row>
    <row r="90">
      <c r="A90" s="50"/>
      <c r="H90" s="51"/>
    </row>
    <row r="91">
      <c r="A91" s="50"/>
      <c r="H91" s="51"/>
    </row>
    <row r="92">
      <c r="A92" s="50"/>
      <c r="H92" s="51"/>
    </row>
    <row r="93">
      <c r="A93" s="50"/>
      <c r="H93" s="51"/>
    </row>
    <row r="94">
      <c r="A94" s="50"/>
      <c r="H94" s="51"/>
    </row>
    <row r="95">
      <c r="A95" s="50"/>
      <c r="H95" s="51"/>
    </row>
    <row r="96">
      <c r="A96" s="50"/>
      <c r="H96" s="51"/>
    </row>
    <row r="97">
      <c r="A97" s="50"/>
      <c r="H97" s="51"/>
    </row>
    <row r="98">
      <c r="A98" s="50"/>
      <c r="H98" s="51"/>
    </row>
    <row r="99">
      <c r="A99" s="50"/>
      <c r="H99" s="51"/>
    </row>
    <row r="100">
      <c r="A100" s="50"/>
      <c r="H100" s="51"/>
    </row>
    <row r="101">
      <c r="A101" s="50"/>
      <c r="H101" s="51"/>
    </row>
    <row r="102">
      <c r="A102" s="50"/>
      <c r="H102" s="51"/>
    </row>
    <row r="103">
      <c r="A103" s="50"/>
      <c r="H103" s="51"/>
    </row>
    <row r="104">
      <c r="A104" s="50"/>
      <c r="H104" s="51"/>
    </row>
    <row r="105">
      <c r="A105" s="50"/>
      <c r="H105" s="51"/>
    </row>
    <row r="106">
      <c r="A106" s="50"/>
      <c r="H106" s="51"/>
    </row>
    <row r="107">
      <c r="A107" s="50"/>
      <c r="H107" s="51"/>
    </row>
    <row r="108">
      <c r="A108" s="50"/>
      <c r="H108" s="51"/>
    </row>
    <row r="109">
      <c r="A109" s="50"/>
      <c r="H109" s="51"/>
    </row>
    <row r="110">
      <c r="A110" s="50"/>
      <c r="H110" s="51"/>
    </row>
    <row r="111">
      <c r="A111" s="50"/>
      <c r="H111" s="51"/>
    </row>
    <row r="112">
      <c r="A112" s="50"/>
      <c r="H112" s="51"/>
    </row>
    <row r="113">
      <c r="A113" s="50"/>
      <c r="H113" s="51"/>
    </row>
    <row r="114">
      <c r="A114" s="50"/>
      <c r="H114" s="51"/>
    </row>
    <row r="115">
      <c r="A115" s="50"/>
      <c r="H115" s="51"/>
    </row>
    <row r="116">
      <c r="A116" s="50"/>
      <c r="H116" s="51"/>
    </row>
    <row r="117">
      <c r="A117" s="50"/>
      <c r="H117" s="51"/>
    </row>
    <row r="118">
      <c r="A118" s="50"/>
      <c r="H118" s="51"/>
    </row>
    <row r="119">
      <c r="A119" s="50"/>
      <c r="H119" s="51"/>
    </row>
    <row r="120">
      <c r="A120" s="50"/>
      <c r="H120" s="51"/>
    </row>
    <row r="121">
      <c r="A121" s="50"/>
      <c r="H121" s="51"/>
    </row>
    <row r="122">
      <c r="A122" s="50"/>
      <c r="H122" s="51"/>
    </row>
    <row r="123">
      <c r="A123" s="50"/>
      <c r="H123" s="51"/>
    </row>
    <row r="124">
      <c r="A124" s="50"/>
      <c r="H124" s="51"/>
    </row>
    <row r="125">
      <c r="A125" s="50"/>
      <c r="H125" s="51"/>
    </row>
    <row r="126">
      <c r="A126" s="50"/>
      <c r="H126" s="51"/>
    </row>
    <row r="127">
      <c r="A127" s="50"/>
      <c r="H127" s="51"/>
    </row>
    <row r="128">
      <c r="A128" s="50"/>
      <c r="H128" s="51"/>
    </row>
    <row r="129">
      <c r="A129" s="50"/>
      <c r="H129" s="51"/>
    </row>
    <row r="130">
      <c r="A130" s="50"/>
      <c r="H130" s="51"/>
    </row>
    <row r="131">
      <c r="A131" s="50"/>
      <c r="H131" s="51"/>
    </row>
    <row r="132">
      <c r="A132" s="50"/>
      <c r="H132" s="51"/>
    </row>
    <row r="133">
      <c r="A133" s="50"/>
      <c r="H133" s="51"/>
    </row>
    <row r="134">
      <c r="A134" s="50"/>
      <c r="H134" s="51"/>
    </row>
    <row r="135">
      <c r="A135" s="50"/>
      <c r="H135" s="51"/>
    </row>
    <row r="136">
      <c r="A136" s="50"/>
      <c r="H136" s="51"/>
    </row>
    <row r="137">
      <c r="A137" s="50"/>
      <c r="H137" s="51"/>
    </row>
    <row r="138">
      <c r="A138" s="50"/>
      <c r="H138" s="51"/>
    </row>
    <row r="139">
      <c r="A139" s="50"/>
      <c r="H139" s="51"/>
    </row>
    <row r="140">
      <c r="A140" s="50"/>
      <c r="H140" s="51"/>
    </row>
    <row r="141">
      <c r="A141" s="50"/>
      <c r="H141" s="51"/>
    </row>
    <row r="142">
      <c r="A142" s="50"/>
      <c r="H142" s="51"/>
    </row>
    <row r="143">
      <c r="A143" s="50"/>
      <c r="H143" s="51"/>
    </row>
    <row r="144">
      <c r="A144" s="50"/>
      <c r="H144" s="51"/>
    </row>
    <row r="145">
      <c r="A145" s="50"/>
      <c r="H145" s="51"/>
    </row>
    <row r="146">
      <c r="A146" s="50"/>
      <c r="H146" s="51"/>
    </row>
    <row r="147">
      <c r="A147" s="50"/>
      <c r="H147" s="51"/>
    </row>
    <row r="148">
      <c r="A148" s="50"/>
      <c r="H148" s="51"/>
    </row>
    <row r="149">
      <c r="A149" s="50"/>
      <c r="H149" s="51"/>
    </row>
    <row r="150">
      <c r="A150" s="50"/>
      <c r="H150" s="51"/>
    </row>
    <row r="151">
      <c r="A151" s="50"/>
      <c r="H151" s="51"/>
    </row>
    <row r="152">
      <c r="A152" s="50"/>
      <c r="H152" s="51"/>
    </row>
    <row r="153">
      <c r="A153" s="50"/>
      <c r="H153" s="51"/>
    </row>
    <row r="154">
      <c r="A154" s="50"/>
      <c r="H154" s="51"/>
    </row>
    <row r="155">
      <c r="A155" s="50"/>
      <c r="H155" s="51"/>
    </row>
    <row r="156">
      <c r="A156" s="50"/>
      <c r="H156" s="51"/>
    </row>
    <row r="157">
      <c r="A157" s="50"/>
      <c r="H157" s="51"/>
    </row>
    <row r="158">
      <c r="A158" s="50"/>
      <c r="H158" s="51"/>
    </row>
    <row r="159">
      <c r="A159" s="50"/>
      <c r="H159" s="51"/>
    </row>
    <row r="160">
      <c r="A160" s="50"/>
      <c r="H160" s="51"/>
    </row>
    <row r="161">
      <c r="A161" s="50"/>
      <c r="H161" s="51"/>
    </row>
    <row r="162">
      <c r="A162" s="50"/>
      <c r="H162" s="51"/>
    </row>
    <row r="163">
      <c r="A163" s="50"/>
      <c r="H163" s="51"/>
    </row>
    <row r="164">
      <c r="A164" s="50"/>
      <c r="H164" s="51"/>
    </row>
    <row r="165">
      <c r="A165" s="50"/>
      <c r="H165" s="51"/>
    </row>
    <row r="166">
      <c r="A166" s="50"/>
      <c r="H166" s="51"/>
    </row>
    <row r="167">
      <c r="A167" s="50"/>
      <c r="H167" s="51"/>
    </row>
    <row r="168">
      <c r="A168" s="50"/>
      <c r="H168" s="51"/>
    </row>
    <row r="169">
      <c r="A169" s="50"/>
      <c r="H169" s="51"/>
    </row>
    <row r="170">
      <c r="A170" s="50"/>
      <c r="H170" s="51"/>
    </row>
    <row r="171">
      <c r="A171" s="50"/>
      <c r="H171" s="51"/>
    </row>
    <row r="172">
      <c r="A172" s="50"/>
      <c r="H172" s="51"/>
    </row>
    <row r="173">
      <c r="A173" s="50"/>
      <c r="H173" s="51"/>
    </row>
    <row r="174">
      <c r="A174" s="50"/>
      <c r="H174" s="51"/>
    </row>
    <row r="175">
      <c r="A175" s="50"/>
      <c r="H175" s="51"/>
    </row>
    <row r="176">
      <c r="A176" s="50"/>
      <c r="H176" s="51"/>
    </row>
    <row r="177">
      <c r="A177" s="50"/>
      <c r="H177" s="51"/>
    </row>
    <row r="178">
      <c r="A178" s="50"/>
      <c r="H178" s="51"/>
    </row>
    <row r="179">
      <c r="A179" s="50"/>
      <c r="H179" s="51"/>
    </row>
    <row r="180">
      <c r="A180" s="50"/>
      <c r="H180" s="51"/>
    </row>
    <row r="181">
      <c r="A181" s="50"/>
      <c r="H181" s="51"/>
    </row>
    <row r="182">
      <c r="A182" s="50"/>
      <c r="H182" s="51"/>
    </row>
    <row r="183">
      <c r="A183" s="50"/>
      <c r="H183" s="51"/>
    </row>
    <row r="184">
      <c r="A184" s="50"/>
      <c r="H184" s="51"/>
    </row>
    <row r="185">
      <c r="A185" s="50"/>
      <c r="H185" s="51"/>
    </row>
    <row r="186">
      <c r="A186" s="50"/>
      <c r="H186" s="51"/>
    </row>
    <row r="187">
      <c r="A187" s="50"/>
      <c r="H187" s="51"/>
    </row>
    <row r="188">
      <c r="A188" s="50"/>
      <c r="H188" s="51"/>
    </row>
    <row r="189">
      <c r="A189" s="50"/>
      <c r="H189" s="51"/>
    </row>
    <row r="190">
      <c r="A190" s="50"/>
      <c r="H190" s="51"/>
    </row>
    <row r="191">
      <c r="A191" s="50"/>
      <c r="H191" s="51"/>
    </row>
    <row r="192">
      <c r="A192" s="50"/>
      <c r="H192" s="51"/>
    </row>
    <row r="193">
      <c r="A193" s="50"/>
      <c r="H193" s="51"/>
    </row>
    <row r="194">
      <c r="A194" s="50"/>
      <c r="H194" s="51"/>
    </row>
    <row r="195">
      <c r="A195" s="50"/>
      <c r="H195" s="51"/>
    </row>
    <row r="196">
      <c r="A196" s="50"/>
      <c r="H196" s="51"/>
    </row>
    <row r="197">
      <c r="A197" s="50"/>
      <c r="H197" s="51"/>
    </row>
    <row r="198">
      <c r="A198" s="50"/>
      <c r="H198" s="51"/>
    </row>
    <row r="199">
      <c r="A199" s="50"/>
      <c r="H199" s="51"/>
    </row>
    <row r="200">
      <c r="A200" s="50"/>
      <c r="H200" s="51"/>
    </row>
    <row r="201">
      <c r="A201" s="50"/>
      <c r="H201" s="51"/>
    </row>
    <row r="202">
      <c r="A202" s="50"/>
      <c r="H202" s="51"/>
    </row>
    <row r="203">
      <c r="A203" s="50"/>
      <c r="H203" s="51"/>
    </row>
    <row r="204">
      <c r="A204" s="50"/>
      <c r="H204" s="51"/>
    </row>
    <row r="205">
      <c r="A205" s="50"/>
      <c r="H205" s="51"/>
    </row>
    <row r="206">
      <c r="A206" s="50"/>
      <c r="H206" s="51"/>
    </row>
    <row r="207">
      <c r="A207" s="50"/>
      <c r="H207" s="51"/>
    </row>
    <row r="208">
      <c r="A208" s="50"/>
      <c r="H208" s="51"/>
    </row>
    <row r="209">
      <c r="A209" s="50"/>
      <c r="H209" s="51"/>
    </row>
    <row r="210">
      <c r="A210" s="50"/>
      <c r="H210" s="51"/>
    </row>
    <row r="211">
      <c r="A211" s="50"/>
      <c r="H211" s="51"/>
    </row>
    <row r="212">
      <c r="A212" s="50"/>
      <c r="H212" s="51"/>
    </row>
    <row r="213">
      <c r="A213" s="50"/>
      <c r="H213" s="51"/>
    </row>
    <row r="214">
      <c r="A214" s="50"/>
      <c r="H214" s="51"/>
    </row>
    <row r="215">
      <c r="A215" s="50"/>
      <c r="H215" s="51"/>
    </row>
    <row r="216">
      <c r="A216" s="50"/>
      <c r="H216" s="51"/>
    </row>
    <row r="217">
      <c r="A217" s="50"/>
      <c r="H217" s="51"/>
    </row>
    <row r="218">
      <c r="A218" s="50"/>
      <c r="H218" s="51"/>
    </row>
    <row r="219">
      <c r="A219" s="50"/>
      <c r="H219" s="51"/>
    </row>
    <row r="220">
      <c r="A220" s="50"/>
      <c r="H220" s="51"/>
    </row>
    <row r="221">
      <c r="A221" s="50"/>
      <c r="H221" s="51"/>
    </row>
    <row r="222">
      <c r="A222" s="50"/>
      <c r="H222" s="51"/>
    </row>
    <row r="223">
      <c r="A223" s="50"/>
      <c r="H223" s="51"/>
    </row>
    <row r="224">
      <c r="A224" s="50"/>
      <c r="H224" s="51"/>
    </row>
    <row r="225">
      <c r="A225" s="50"/>
      <c r="H225" s="51"/>
    </row>
    <row r="226">
      <c r="A226" s="50"/>
      <c r="H226" s="51"/>
    </row>
    <row r="227">
      <c r="A227" s="50"/>
      <c r="H227" s="51"/>
    </row>
    <row r="228">
      <c r="A228" s="50"/>
      <c r="H228" s="51"/>
    </row>
    <row r="229">
      <c r="A229" s="50"/>
      <c r="H229" s="51"/>
    </row>
    <row r="230">
      <c r="A230" s="50"/>
      <c r="H230" s="51"/>
    </row>
    <row r="231">
      <c r="A231" s="50"/>
      <c r="H231" s="51"/>
    </row>
    <row r="232">
      <c r="A232" s="50"/>
      <c r="H232" s="51"/>
    </row>
    <row r="233">
      <c r="A233" s="50"/>
      <c r="H233" s="51"/>
    </row>
    <row r="234">
      <c r="A234" s="50"/>
      <c r="H234" s="51"/>
    </row>
    <row r="235">
      <c r="A235" s="50"/>
      <c r="H235" s="51"/>
    </row>
    <row r="236">
      <c r="A236" s="50"/>
      <c r="H236" s="51"/>
    </row>
    <row r="237">
      <c r="A237" s="50"/>
      <c r="H237" s="51"/>
    </row>
    <row r="238">
      <c r="A238" s="50"/>
      <c r="H238" s="51"/>
    </row>
    <row r="239">
      <c r="A239" s="50"/>
      <c r="H239" s="51"/>
    </row>
    <row r="240">
      <c r="A240" s="50"/>
      <c r="H240" s="51"/>
    </row>
    <row r="241">
      <c r="A241" s="50"/>
      <c r="H241" s="51"/>
    </row>
    <row r="242">
      <c r="A242" s="50"/>
      <c r="H242" s="51"/>
    </row>
    <row r="243">
      <c r="A243" s="50"/>
      <c r="H243" s="51"/>
    </row>
    <row r="244">
      <c r="A244" s="50"/>
      <c r="H244" s="51"/>
    </row>
    <row r="245">
      <c r="A245" s="50"/>
      <c r="H245" s="51"/>
    </row>
    <row r="246">
      <c r="A246" s="50"/>
      <c r="H246" s="51"/>
    </row>
    <row r="247">
      <c r="A247" s="50"/>
      <c r="H247" s="51"/>
    </row>
    <row r="248">
      <c r="A248" s="50"/>
      <c r="H248" s="51"/>
    </row>
    <row r="249">
      <c r="A249" s="50"/>
      <c r="H249" s="51"/>
    </row>
    <row r="250">
      <c r="A250" s="50"/>
      <c r="H250" s="51"/>
    </row>
    <row r="251">
      <c r="A251" s="50"/>
      <c r="H251" s="51"/>
    </row>
    <row r="252">
      <c r="A252" s="50"/>
      <c r="H252" s="51"/>
    </row>
    <row r="253">
      <c r="A253" s="50"/>
      <c r="H253" s="51"/>
    </row>
    <row r="254">
      <c r="A254" s="50"/>
      <c r="H254" s="51"/>
    </row>
    <row r="255">
      <c r="A255" s="50"/>
      <c r="H255" s="51"/>
    </row>
    <row r="256">
      <c r="A256" s="50"/>
      <c r="H256" s="51"/>
    </row>
    <row r="257">
      <c r="A257" s="50"/>
      <c r="H257" s="51"/>
    </row>
    <row r="258">
      <c r="A258" s="50"/>
      <c r="H258" s="51"/>
    </row>
    <row r="259">
      <c r="A259" s="50"/>
      <c r="H259" s="51"/>
    </row>
    <row r="260">
      <c r="A260" s="50"/>
      <c r="H260" s="51"/>
    </row>
    <row r="261">
      <c r="A261" s="50"/>
      <c r="H261" s="51"/>
    </row>
    <row r="262">
      <c r="A262" s="50"/>
      <c r="H262" s="51"/>
    </row>
    <row r="263">
      <c r="A263" s="50"/>
      <c r="H263" s="51"/>
    </row>
    <row r="264">
      <c r="A264" s="50"/>
      <c r="H264" s="51"/>
    </row>
    <row r="265">
      <c r="A265" s="50"/>
      <c r="H265" s="51"/>
    </row>
    <row r="266">
      <c r="A266" s="50"/>
      <c r="H266" s="51"/>
    </row>
    <row r="267">
      <c r="A267" s="50"/>
      <c r="H267" s="51"/>
    </row>
    <row r="268">
      <c r="A268" s="50"/>
      <c r="H268" s="51"/>
    </row>
    <row r="269">
      <c r="A269" s="50"/>
      <c r="H269" s="51"/>
    </row>
    <row r="270">
      <c r="A270" s="50"/>
      <c r="H270" s="51"/>
    </row>
    <row r="271">
      <c r="A271" s="50"/>
      <c r="H271" s="51"/>
    </row>
    <row r="272">
      <c r="A272" s="50"/>
      <c r="H272" s="51"/>
    </row>
    <row r="273">
      <c r="A273" s="50"/>
      <c r="H273" s="51"/>
    </row>
    <row r="274">
      <c r="A274" s="50"/>
      <c r="H274" s="51"/>
    </row>
    <row r="275">
      <c r="A275" s="50"/>
      <c r="H275" s="51"/>
    </row>
    <row r="276">
      <c r="A276" s="50"/>
      <c r="H276" s="51"/>
    </row>
    <row r="277">
      <c r="A277" s="50"/>
      <c r="H277" s="51"/>
    </row>
    <row r="278">
      <c r="A278" s="50"/>
      <c r="H278" s="51"/>
    </row>
    <row r="279">
      <c r="A279" s="50"/>
      <c r="H279" s="51"/>
    </row>
    <row r="280">
      <c r="A280" s="50"/>
      <c r="H280" s="51"/>
    </row>
    <row r="281">
      <c r="A281" s="50"/>
      <c r="H281" s="51"/>
    </row>
    <row r="282">
      <c r="A282" s="50"/>
      <c r="H282" s="51"/>
    </row>
    <row r="283">
      <c r="A283" s="50"/>
      <c r="H283" s="51"/>
    </row>
    <row r="284">
      <c r="A284" s="50"/>
      <c r="H284" s="51"/>
    </row>
    <row r="285">
      <c r="A285" s="50"/>
      <c r="H285" s="51"/>
    </row>
    <row r="286">
      <c r="A286" s="50"/>
      <c r="H286" s="51"/>
    </row>
    <row r="287">
      <c r="A287" s="50"/>
      <c r="H287" s="51"/>
    </row>
    <row r="288">
      <c r="A288" s="50"/>
      <c r="H288" s="51"/>
    </row>
    <row r="289">
      <c r="A289" s="50"/>
      <c r="H289" s="51"/>
    </row>
    <row r="290">
      <c r="A290" s="50"/>
      <c r="H290" s="51"/>
    </row>
    <row r="291">
      <c r="A291" s="50"/>
      <c r="H291" s="51"/>
    </row>
    <row r="292">
      <c r="A292" s="50"/>
      <c r="H292" s="51"/>
    </row>
    <row r="293">
      <c r="A293" s="50"/>
      <c r="H293" s="51"/>
    </row>
    <row r="294">
      <c r="A294" s="50"/>
      <c r="H294" s="51"/>
    </row>
    <row r="295">
      <c r="A295" s="50"/>
      <c r="H295" s="51"/>
    </row>
    <row r="296">
      <c r="A296" s="50"/>
      <c r="H296" s="51"/>
    </row>
    <row r="297">
      <c r="A297" s="50"/>
      <c r="H297" s="51"/>
    </row>
    <row r="298">
      <c r="A298" s="50"/>
      <c r="H298" s="51"/>
    </row>
    <row r="299">
      <c r="A299" s="50"/>
      <c r="H299" s="51"/>
    </row>
    <row r="300">
      <c r="A300" s="50"/>
      <c r="H300" s="51"/>
    </row>
    <row r="301">
      <c r="A301" s="50"/>
      <c r="H301" s="51"/>
    </row>
    <row r="302">
      <c r="A302" s="50"/>
      <c r="H302" s="51"/>
    </row>
    <row r="303">
      <c r="A303" s="50"/>
      <c r="H303" s="51"/>
    </row>
    <row r="304">
      <c r="A304" s="50"/>
      <c r="H304" s="51"/>
    </row>
    <row r="305">
      <c r="A305" s="50"/>
      <c r="H305" s="51"/>
    </row>
    <row r="306">
      <c r="A306" s="50"/>
      <c r="H306" s="51"/>
    </row>
    <row r="307">
      <c r="A307" s="50"/>
      <c r="H307" s="51"/>
    </row>
    <row r="308">
      <c r="A308" s="50"/>
      <c r="H308" s="51"/>
    </row>
    <row r="309">
      <c r="A309" s="50"/>
      <c r="H309" s="51"/>
    </row>
    <row r="310">
      <c r="A310" s="50"/>
      <c r="H310" s="51"/>
    </row>
    <row r="311">
      <c r="A311" s="50"/>
      <c r="H311" s="51"/>
    </row>
    <row r="312">
      <c r="A312" s="50"/>
      <c r="H312" s="51"/>
    </row>
    <row r="313">
      <c r="A313" s="50"/>
      <c r="H313" s="51"/>
    </row>
    <row r="314">
      <c r="A314" s="50"/>
      <c r="H314" s="51"/>
    </row>
    <row r="315">
      <c r="A315" s="50"/>
      <c r="H315" s="51"/>
    </row>
    <row r="316">
      <c r="A316" s="50"/>
      <c r="H316" s="51"/>
    </row>
    <row r="317">
      <c r="A317" s="50"/>
      <c r="H317" s="51"/>
    </row>
    <row r="318">
      <c r="A318" s="50"/>
      <c r="H318" s="51"/>
    </row>
    <row r="319">
      <c r="A319" s="50"/>
      <c r="H319" s="51"/>
    </row>
    <row r="320">
      <c r="A320" s="50"/>
      <c r="H320" s="51"/>
    </row>
    <row r="321">
      <c r="A321" s="50"/>
      <c r="H321" s="51"/>
    </row>
    <row r="322">
      <c r="A322" s="50"/>
      <c r="H322" s="51"/>
    </row>
    <row r="323">
      <c r="A323" s="50"/>
      <c r="H323" s="51"/>
    </row>
    <row r="324">
      <c r="A324" s="50"/>
      <c r="H324" s="51"/>
    </row>
    <row r="325">
      <c r="A325" s="50"/>
      <c r="H325" s="51"/>
    </row>
    <row r="326">
      <c r="A326" s="50"/>
      <c r="H326" s="51"/>
    </row>
    <row r="327">
      <c r="A327" s="50"/>
      <c r="H327" s="51"/>
    </row>
    <row r="328">
      <c r="A328" s="50"/>
      <c r="H328" s="51"/>
    </row>
    <row r="329">
      <c r="A329" s="50"/>
      <c r="H329" s="51"/>
    </row>
    <row r="330">
      <c r="A330" s="50"/>
      <c r="H330" s="51"/>
    </row>
    <row r="331">
      <c r="A331" s="50"/>
      <c r="H331" s="51"/>
    </row>
    <row r="332">
      <c r="A332" s="50"/>
      <c r="H332" s="51"/>
    </row>
    <row r="333">
      <c r="A333" s="50"/>
      <c r="H333" s="51"/>
    </row>
    <row r="334">
      <c r="A334" s="50"/>
      <c r="H334" s="51"/>
    </row>
    <row r="335">
      <c r="A335" s="50"/>
      <c r="H335" s="51"/>
    </row>
    <row r="336">
      <c r="A336" s="50"/>
      <c r="H336" s="51"/>
    </row>
    <row r="337">
      <c r="A337" s="50"/>
      <c r="H337" s="51"/>
    </row>
    <row r="338">
      <c r="A338" s="50"/>
      <c r="H338" s="51"/>
    </row>
    <row r="339">
      <c r="A339" s="50"/>
      <c r="H339" s="51"/>
    </row>
    <row r="340">
      <c r="A340" s="50"/>
      <c r="H340" s="51"/>
    </row>
    <row r="341">
      <c r="A341" s="50"/>
      <c r="H341" s="51"/>
    </row>
    <row r="342">
      <c r="A342" s="50"/>
      <c r="H342" s="51"/>
    </row>
    <row r="343">
      <c r="A343" s="50"/>
      <c r="H343" s="51"/>
    </row>
    <row r="344">
      <c r="A344" s="50"/>
      <c r="H344" s="51"/>
    </row>
    <row r="345">
      <c r="A345" s="50"/>
      <c r="H345" s="51"/>
    </row>
    <row r="346">
      <c r="A346" s="50"/>
      <c r="H346" s="51"/>
    </row>
    <row r="347">
      <c r="A347" s="50"/>
      <c r="H347" s="51"/>
    </row>
    <row r="348">
      <c r="A348" s="50"/>
      <c r="H348" s="51"/>
    </row>
    <row r="349">
      <c r="A349" s="50"/>
      <c r="H349" s="51"/>
    </row>
    <row r="350">
      <c r="A350" s="50"/>
      <c r="H350" s="51"/>
    </row>
    <row r="351">
      <c r="A351" s="50"/>
      <c r="H351" s="51"/>
    </row>
    <row r="352">
      <c r="A352" s="50"/>
      <c r="H352" s="51"/>
    </row>
    <row r="353">
      <c r="A353" s="50"/>
      <c r="H353" s="51"/>
    </row>
    <row r="354">
      <c r="A354" s="50"/>
      <c r="H354" s="51"/>
    </row>
    <row r="355">
      <c r="A355" s="50"/>
      <c r="H355" s="51"/>
    </row>
    <row r="356">
      <c r="A356" s="50"/>
      <c r="H356" s="51"/>
    </row>
    <row r="357">
      <c r="A357" s="50"/>
      <c r="H357" s="51"/>
    </row>
    <row r="358">
      <c r="A358" s="50"/>
      <c r="H358" s="51"/>
    </row>
    <row r="359">
      <c r="A359" s="50"/>
      <c r="H359" s="51"/>
    </row>
    <row r="360">
      <c r="A360" s="50"/>
      <c r="H360" s="51"/>
    </row>
    <row r="361">
      <c r="A361" s="50"/>
      <c r="H361" s="51"/>
    </row>
    <row r="362">
      <c r="A362" s="50"/>
      <c r="H362" s="51"/>
    </row>
    <row r="363">
      <c r="A363" s="50"/>
      <c r="H363" s="51"/>
    </row>
    <row r="364">
      <c r="A364" s="50"/>
      <c r="H364" s="51"/>
    </row>
    <row r="365">
      <c r="A365" s="50"/>
      <c r="H365" s="51"/>
    </row>
    <row r="366">
      <c r="A366" s="50"/>
      <c r="H366" s="51"/>
    </row>
    <row r="367">
      <c r="A367" s="50"/>
      <c r="H367" s="51"/>
    </row>
    <row r="368">
      <c r="A368" s="50"/>
      <c r="H368" s="51"/>
    </row>
    <row r="369">
      <c r="A369" s="50"/>
      <c r="H369" s="51"/>
    </row>
    <row r="370">
      <c r="A370" s="50"/>
      <c r="H370" s="51"/>
    </row>
    <row r="371">
      <c r="A371" s="50"/>
      <c r="H371" s="51"/>
    </row>
    <row r="372">
      <c r="A372" s="50"/>
      <c r="H372" s="51"/>
    </row>
    <row r="373">
      <c r="A373" s="50"/>
      <c r="H373" s="51"/>
    </row>
    <row r="374">
      <c r="A374" s="50"/>
      <c r="H374" s="51"/>
    </row>
    <row r="375">
      <c r="A375" s="50"/>
      <c r="H375" s="51"/>
    </row>
    <row r="376">
      <c r="A376" s="50"/>
      <c r="H376" s="51"/>
    </row>
    <row r="377">
      <c r="A377" s="50"/>
      <c r="H377" s="51"/>
    </row>
    <row r="378">
      <c r="A378" s="50"/>
      <c r="H378" s="51"/>
    </row>
    <row r="379">
      <c r="A379" s="50"/>
      <c r="H379" s="51"/>
    </row>
    <row r="380">
      <c r="A380" s="50"/>
      <c r="H380" s="51"/>
    </row>
    <row r="381">
      <c r="A381" s="50"/>
      <c r="H381" s="51"/>
    </row>
    <row r="382">
      <c r="A382" s="50"/>
      <c r="H382" s="51"/>
    </row>
    <row r="383">
      <c r="A383" s="50"/>
      <c r="H383" s="51"/>
    </row>
    <row r="384">
      <c r="A384" s="50"/>
      <c r="H384" s="51"/>
    </row>
    <row r="385">
      <c r="A385" s="50"/>
      <c r="H385" s="51"/>
    </row>
    <row r="386">
      <c r="A386" s="50"/>
      <c r="H386" s="51"/>
    </row>
    <row r="387">
      <c r="A387" s="50"/>
      <c r="H387" s="51"/>
    </row>
    <row r="388">
      <c r="A388" s="50"/>
      <c r="H388" s="51"/>
    </row>
    <row r="389">
      <c r="A389" s="50"/>
      <c r="H389" s="51"/>
    </row>
    <row r="390">
      <c r="A390" s="50"/>
      <c r="H390" s="51"/>
    </row>
    <row r="391">
      <c r="A391" s="50"/>
      <c r="H391" s="51"/>
    </row>
    <row r="392">
      <c r="A392" s="50"/>
      <c r="H392" s="51"/>
    </row>
    <row r="393">
      <c r="A393" s="50"/>
      <c r="H393" s="51"/>
    </row>
    <row r="394">
      <c r="A394" s="50"/>
      <c r="H394" s="51"/>
    </row>
    <row r="395">
      <c r="A395" s="50"/>
      <c r="H395" s="51"/>
    </row>
    <row r="396">
      <c r="A396" s="50"/>
      <c r="H396" s="51"/>
    </row>
    <row r="397">
      <c r="A397" s="50"/>
      <c r="H397" s="51"/>
    </row>
    <row r="398">
      <c r="A398" s="50"/>
      <c r="H398" s="51"/>
    </row>
    <row r="399">
      <c r="A399" s="50"/>
      <c r="H399" s="51"/>
    </row>
    <row r="400">
      <c r="A400" s="50"/>
      <c r="H400" s="51"/>
    </row>
    <row r="401">
      <c r="A401" s="50"/>
      <c r="H401" s="51"/>
    </row>
    <row r="402">
      <c r="A402" s="50"/>
      <c r="H402" s="51"/>
    </row>
    <row r="403">
      <c r="A403" s="50"/>
      <c r="H403" s="51"/>
    </row>
    <row r="404">
      <c r="A404" s="50"/>
      <c r="H404" s="51"/>
    </row>
    <row r="405">
      <c r="A405" s="50"/>
      <c r="H405" s="51"/>
    </row>
    <row r="406">
      <c r="A406" s="50"/>
      <c r="H406" s="51"/>
    </row>
    <row r="407">
      <c r="A407" s="50"/>
      <c r="H407" s="51"/>
    </row>
    <row r="408">
      <c r="A408" s="50"/>
      <c r="H408" s="51"/>
    </row>
    <row r="409">
      <c r="A409" s="50"/>
      <c r="H409" s="51"/>
    </row>
    <row r="410">
      <c r="A410" s="50"/>
      <c r="H410" s="51"/>
    </row>
    <row r="411">
      <c r="A411" s="50"/>
      <c r="H411" s="51"/>
    </row>
    <row r="412">
      <c r="A412" s="50"/>
      <c r="H412" s="51"/>
    </row>
    <row r="413">
      <c r="A413" s="50"/>
      <c r="H413" s="51"/>
    </row>
    <row r="414">
      <c r="A414" s="50"/>
      <c r="H414" s="51"/>
    </row>
    <row r="415">
      <c r="A415" s="50"/>
      <c r="H415" s="51"/>
    </row>
    <row r="416">
      <c r="A416" s="50"/>
      <c r="H416" s="51"/>
    </row>
    <row r="417">
      <c r="A417" s="50"/>
      <c r="H417" s="51"/>
    </row>
    <row r="418">
      <c r="A418" s="50"/>
      <c r="H418" s="51"/>
    </row>
    <row r="419">
      <c r="A419" s="50"/>
      <c r="H419" s="51"/>
    </row>
    <row r="420">
      <c r="A420" s="50"/>
      <c r="H420" s="51"/>
    </row>
    <row r="421">
      <c r="A421" s="50"/>
      <c r="H421" s="51"/>
    </row>
    <row r="422">
      <c r="A422" s="50"/>
      <c r="H422" s="51"/>
    </row>
    <row r="423">
      <c r="A423" s="50"/>
      <c r="H423" s="51"/>
    </row>
    <row r="424">
      <c r="A424" s="50"/>
      <c r="H424" s="51"/>
    </row>
    <row r="425">
      <c r="A425" s="50"/>
      <c r="H425" s="51"/>
    </row>
    <row r="426">
      <c r="A426" s="50"/>
      <c r="H426" s="51"/>
    </row>
    <row r="427">
      <c r="A427" s="50"/>
      <c r="H427" s="51"/>
    </row>
    <row r="428">
      <c r="A428" s="50"/>
      <c r="H428" s="51"/>
    </row>
    <row r="429">
      <c r="A429" s="50"/>
      <c r="H429" s="51"/>
    </row>
    <row r="430">
      <c r="A430" s="50"/>
      <c r="H430" s="51"/>
    </row>
    <row r="431">
      <c r="A431" s="50"/>
      <c r="H431" s="51"/>
    </row>
    <row r="432">
      <c r="A432" s="50"/>
      <c r="H432" s="51"/>
    </row>
    <row r="433">
      <c r="A433" s="50"/>
      <c r="H433" s="51"/>
    </row>
    <row r="434">
      <c r="A434" s="50"/>
      <c r="H434" s="51"/>
    </row>
    <row r="435">
      <c r="A435" s="50"/>
      <c r="H435" s="51"/>
    </row>
    <row r="436">
      <c r="A436" s="50"/>
      <c r="H436" s="51"/>
    </row>
    <row r="437">
      <c r="A437" s="50"/>
      <c r="H437" s="51"/>
    </row>
    <row r="438">
      <c r="A438" s="50"/>
      <c r="H438" s="51"/>
    </row>
    <row r="439">
      <c r="A439" s="50"/>
      <c r="H439" s="51"/>
    </row>
    <row r="440">
      <c r="A440" s="50"/>
      <c r="H440" s="51"/>
    </row>
    <row r="441">
      <c r="A441" s="50"/>
      <c r="H441" s="51"/>
    </row>
    <row r="442">
      <c r="A442" s="50"/>
      <c r="H442" s="51"/>
    </row>
    <row r="443">
      <c r="A443" s="50"/>
      <c r="H443" s="51"/>
    </row>
    <row r="444">
      <c r="A444" s="50"/>
      <c r="H444" s="51"/>
    </row>
    <row r="445">
      <c r="A445" s="50"/>
      <c r="H445" s="51"/>
    </row>
    <row r="446">
      <c r="A446" s="50"/>
      <c r="H446" s="51"/>
    </row>
    <row r="447">
      <c r="A447" s="50"/>
      <c r="H447" s="51"/>
    </row>
    <row r="448">
      <c r="A448" s="50"/>
      <c r="H448" s="51"/>
    </row>
    <row r="449">
      <c r="A449" s="50"/>
      <c r="H449" s="51"/>
    </row>
    <row r="450">
      <c r="A450" s="50"/>
      <c r="H450" s="51"/>
    </row>
    <row r="451">
      <c r="A451" s="50"/>
      <c r="H451" s="51"/>
    </row>
    <row r="452">
      <c r="A452" s="50"/>
      <c r="H452" s="51"/>
    </row>
    <row r="453">
      <c r="A453" s="50"/>
      <c r="H453" s="51"/>
    </row>
    <row r="454">
      <c r="A454" s="50"/>
      <c r="H454" s="51"/>
    </row>
    <row r="455">
      <c r="A455" s="50"/>
      <c r="H455" s="51"/>
    </row>
    <row r="456">
      <c r="A456" s="50"/>
      <c r="H456" s="51"/>
    </row>
    <row r="457">
      <c r="A457" s="50"/>
      <c r="H457" s="51"/>
    </row>
    <row r="458">
      <c r="A458" s="50"/>
      <c r="H458" s="51"/>
    </row>
    <row r="459">
      <c r="A459" s="50"/>
      <c r="H459" s="51"/>
    </row>
    <row r="460">
      <c r="A460" s="50"/>
      <c r="H460" s="51"/>
    </row>
    <row r="461">
      <c r="A461" s="50"/>
      <c r="H461" s="51"/>
    </row>
    <row r="462">
      <c r="A462" s="50"/>
      <c r="H462" s="51"/>
    </row>
    <row r="463">
      <c r="A463" s="50"/>
      <c r="H463" s="51"/>
    </row>
    <row r="464">
      <c r="A464" s="50"/>
      <c r="H464" s="51"/>
    </row>
    <row r="465">
      <c r="A465" s="50"/>
      <c r="H465" s="51"/>
    </row>
    <row r="466">
      <c r="A466" s="50"/>
      <c r="H466" s="51"/>
    </row>
    <row r="467">
      <c r="A467" s="50"/>
      <c r="H467" s="51"/>
    </row>
    <row r="468">
      <c r="A468" s="50"/>
      <c r="H468" s="51"/>
    </row>
    <row r="469">
      <c r="A469" s="50"/>
      <c r="H469" s="51"/>
    </row>
    <row r="470">
      <c r="A470" s="50"/>
      <c r="H470" s="51"/>
    </row>
    <row r="471">
      <c r="A471" s="50"/>
      <c r="H471" s="51"/>
    </row>
    <row r="472">
      <c r="A472" s="50"/>
      <c r="H472" s="51"/>
    </row>
    <row r="473">
      <c r="A473" s="50"/>
      <c r="H473" s="51"/>
    </row>
    <row r="474">
      <c r="A474" s="50"/>
      <c r="H474" s="51"/>
    </row>
    <row r="475">
      <c r="A475" s="50"/>
      <c r="H475" s="51"/>
    </row>
    <row r="476">
      <c r="A476" s="50"/>
      <c r="H476" s="51"/>
    </row>
    <row r="477">
      <c r="A477" s="50"/>
      <c r="H477" s="51"/>
    </row>
    <row r="478">
      <c r="A478" s="50"/>
      <c r="H478" s="51"/>
    </row>
    <row r="479">
      <c r="A479" s="50"/>
      <c r="H479" s="51"/>
    </row>
    <row r="480">
      <c r="A480" s="50"/>
      <c r="H480" s="51"/>
    </row>
    <row r="481">
      <c r="A481" s="50"/>
      <c r="H481" s="51"/>
    </row>
    <row r="482">
      <c r="A482" s="50"/>
      <c r="H482" s="51"/>
    </row>
    <row r="483">
      <c r="A483" s="50"/>
      <c r="H483" s="51"/>
    </row>
    <row r="484">
      <c r="A484" s="50"/>
      <c r="H484" s="51"/>
    </row>
    <row r="485">
      <c r="A485" s="50"/>
      <c r="H485" s="51"/>
    </row>
    <row r="486">
      <c r="A486" s="50"/>
      <c r="H486" s="51"/>
    </row>
    <row r="487">
      <c r="A487" s="50"/>
      <c r="H487" s="51"/>
    </row>
    <row r="488">
      <c r="A488" s="50"/>
      <c r="H488" s="51"/>
    </row>
    <row r="489">
      <c r="A489" s="50"/>
      <c r="H489" s="51"/>
    </row>
    <row r="490">
      <c r="A490" s="50"/>
      <c r="H490" s="51"/>
    </row>
    <row r="491">
      <c r="A491" s="50"/>
      <c r="H491" s="51"/>
    </row>
    <row r="492">
      <c r="A492" s="50"/>
      <c r="H492" s="51"/>
    </row>
    <row r="493">
      <c r="A493" s="50"/>
      <c r="H493" s="51"/>
    </row>
    <row r="494">
      <c r="A494" s="50"/>
      <c r="H494" s="51"/>
    </row>
    <row r="495">
      <c r="A495" s="50"/>
      <c r="H495" s="51"/>
    </row>
    <row r="496">
      <c r="A496" s="50"/>
      <c r="H496" s="51"/>
    </row>
    <row r="497">
      <c r="A497" s="50"/>
      <c r="H497" s="51"/>
    </row>
    <row r="498">
      <c r="A498" s="50"/>
      <c r="H498" s="51"/>
    </row>
    <row r="499">
      <c r="A499" s="50"/>
      <c r="H499" s="51"/>
    </row>
    <row r="500">
      <c r="A500" s="50"/>
      <c r="H500" s="51"/>
    </row>
    <row r="501">
      <c r="A501" s="50"/>
      <c r="H501" s="51"/>
    </row>
    <row r="502">
      <c r="A502" s="50"/>
      <c r="H502" s="51"/>
    </row>
    <row r="503">
      <c r="A503" s="50"/>
      <c r="H503" s="51"/>
    </row>
    <row r="504">
      <c r="A504" s="50"/>
      <c r="H504" s="51"/>
    </row>
    <row r="505">
      <c r="A505" s="50"/>
      <c r="H505" s="51"/>
    </row>
    <row r="506">
      <c r="A506" s="50"/>
      <c r="H506" s="51"/>
    </row>
    <row r="507">
      <c r="A507" s="50"/>
      <c r="H507" s="51"/>
    </row>
    <row r="508">
      <c r="A508" s="50"/>
      <c r="H508" s="51"/>
    </row>
    <row r="509">
      <c r="A509" s="50"/>
      <c r="H509" s="51"/>
    </row>
    <row r="510">
      <c r="A510" s="50"/>
      <c r="H510" s="51"/>
    </row>
    <row r="511">
      <c r="A511" s="50"/>
      <c r="H511" s="51"/>
    </row>
    <row r="512">
      <c r="A512" s="50"/>
      <c r="H512" s="51"/>
    </row>
    <row r="513">
      <c r="A513" s="50"/>
      <c r="H513" s="51"/>
    </row>
    <row r="514">
      <c r="A514" s="50"/>
      <c r="H514" s="51"/>
    </row>
    <row r="515">
      <c r="A515" s="50"/>
      <c r="H515" s="51"/>
    </row>
    <row r="516">
      <c r="A516" s="50"/>
      <c r="H516" s="51"/>
    </row>
    <row r="517">
      <c r="A517" s="50"/>
      <c r="H517" s="51"/>
    </row>
    <row r="518">
      <c r="A518" s="50"/>
      <c r="H518" s="51"/>
    </row>
    <row r="519">
      <c r="A519" s="50"/>
      <c r="H519" s="51"/>
    </row>
    <row r="520">
      <c r="A520" s="50"/>
      <c r="H520" s="51"/>
    </row>
    <row r="521">
      <c r="A521" s="50"/>
      <c r="H521" s="51"/>
    </row>
    <row r="522">
      <c r="A522" s="50"/>
      <c r="H522" s="51"/>
    </row>
    <row r="523">
      <c r="A523" s="50"/>
      <c r="H523" s="51"/>
    </row>
    <row r="524">
      <c r="A524" s="50"/>
      <c r="H524" s="51"/>
    </row>
    <row r="525">
      <c r="A525" s="50"/>
      <c r="H525" s="51"/>
    </row>
    <row r="526">
      <c r="A526" s="50"/>
      <c r="H526" s="51"/>
    </row>
    <row r="527">
      <c r="A527" s="50"/>
      <c r="H527" s="51"/>
    </row>
    <row r="528">
      <c r="A528" s="50"/>
      <c r="H528" s="51"/>
    </row>
    <row r="529">
      <c r="A529" s="50"/>
      <c r="H529" s="51"/>
    </row>
    <row r="530">
      <c r="A530" s="50"/>
      <c r="H530" s="51"/>
    </row>
    <row r="531">
      <c r="A531" s="50"/>
      <c r="H531" s="51"/>
    </row>
    <row r="532">
      <c r="A532" s="50"/>
      <c r="H532" s="51"/>
    </row>
    <row r="533">
      <c r="A533" s="50"/>
      <c r="H533" s="51"/>
    </row>
    <row r="534">
      <c r="A534" s="50"/>
      <c r="H534" s="51"/>
    </row>
    <row r="535">
      <c r="A535" s="50"/>
      <c r="H535" s="51"/>
    </row>
    <row r="536">
      <c r="A536" s="50"/>
      <c r="H536" s="51"/>
    </row>
    <row r="537">
      <c r="A537" s="50"/>
      <c r="H537" s="51"/>
    </row>
    <row r="538">
      <c r="A538" s="50"/>
      <c r="H538" s="51"/>
    </row>
    <row r="539">
      <c r="A539" s="50"/>
      <c r="H539" s="51"/>
    </row>
    <row r="540">
      <c r="A540" s="50"/>
      <c r="H540" s="51"/>
    </row>
    <row r="541">
      <c r="A541" s="50"/>
      <c r="H541" s="51"/>
    </row>
    <row r="542">
      <c r="A542" s="50"/>
      <c r="H542" s="51"/>
    </row>
    <row r="543">
      <c r="A543" s="50"/>
      <c r="H543" s="51"/>
    </row>
    <row r="544">
      <c r="A544" s="50"/>
      <c r="H544" s="51"/>
    </row>
    <row r="545">
      <c r="A545" s="50"/>
      <c r="H545" s="51"/>
    </row>
    <row r="546">
      <c r="A546" s="50"/>
      <c r="H546" s="51"/>
    </row>
    <row r="547">
      <c r="A547" s="50"/>
      <c r="H547" s="51"/>
    </row>
    <row r="548">
      <c r="A548" s="50"/>
      <c r="H548" s="51"/>
    </row>
    <row r="549">
      <c r="A549" s="50"/>
      <c r="H549" s="51"/>
    </row>
    <row r="550">
      <c r="A550" s="50"/>
      <c r="H550" s="51"/>
    </row>
    <row r="551">
      <c r="A551" s="50"/>
      <c r="H551" s="51"/>
    </row>
    <row r="552">
      <c r="A552" s="50"/>
      <c r="H552" s="51"/>
    </row>
    <row r="553">
      <c r="A553" s="50"/>
      <c r="H553" s="51"/>
    </row>
    <row r="554">
      <c r="A554" s="50"/>
      <c r="H554" s="51"/>
    </row>
    <row r="555">
      <c r="A555" s="50"/>
      <c r="H555" s="51"/>
    </row>
    <row r="556">
      <c r="A556" s="50"/>
      <c r="H556" s="51"/>
    </row>
    <row r="557">
      <c r="A557" s="50"/>
      <c r="H557" s="51"/>
    </row>
    <row r="558">
      <c r="A558" s="50"/>
      <c r="H558" s="51"/>
    </row>
    <row r="559">
      <c r="A559" s="50"/>
      <c r="H559" s="51"/>
    </row>
    <row r="560">
      <c r="A560" s="50"/>
      <c r="H560" s="51"/>
    </row>
    <row r="561">
      <c r="A561" s="50"/>
      <c r="H561" s="51"/>
    </row>
    <row r="562">
      <c r="A562" s="50"/>
      <c r="H562" s="51"/>
    </row>
    <row r="563">
      <c r="A563" s="50"/>
      <c r="H563" s="51"/>
    </row>
    <row r="564">
      <c r="A564" s="50"/>
      <c r="H564" s="51"/>
    </row>
    <row r="565">
      <c r="A565" s="50"/>
      <c r="H565" s="51"/>
    </row>
    <row r="566">
      <c r="A566" s="50"/>
      <c r="H566" s="51"/>
    </row>
    <row r="567">
      <c r="A567" s="50"/>
      <c r="H567" s="51"/>
    </row>
    <row r="568">
      <c r="A568" s="50"/>
      <c r="H568" s="51"/>
    </row>
    <row r="569">
      <c r="A569" s="50"/>
      <c r="H569" s="51"/>
    </row>
    <row r="570">
      <c r="A570" s="50"/>
      <c r="H570" s="51"/>
    </row>
    <row r="571">
      <c r="A571" s="50"/>
      <c r="H571" s="51"/>
    </row>
    <row r="572">
      <c r="A572" s="50"/>
      <c r="H572" s="51"/>
    </row>
    <row r="573">
      <c r="A573" s="50"/>
      <c r="H573" s="51"/>
    </row>
    <row r="574">
      <c r="A574" s="50"/>
      <c r="H574" s="51"/>
    </row>
    <row r="575">
      <c r="A575" s="50"/>
      <c r="H575" s="51"/>
    </row>
    <row r="576">
      <c r="A576" s="50"/>
      <c r="H576" s="51"/>
    </row>
    <row r="577">
      <c r="A577" s="50"/>
      <c r="H577" s="51"/>
    </row>
    <row r="578">
      <c r="A578" s="50"/>
      <c r="H578" s="51"/>
    </row>
    <row r="579">
      <c r="A579" s="50"/>
      <c r="H579" s="51"/>
    </row>
    <row r="580">
      <c r="A580" s="50"/>
      <c r="H580" s="51"/>
    </row>
    <row r="581">
      <c r="A581" s="50"/>
      <c r="H581" s="51"/>
    </row>
    <row r="582">
      <c r="A582" s="50"/>
      <c r="H582" s="51"/>
    </row>
    <row r="583">
      <c r="A583" s="50"/>
      <c r="H583" s="51"/>
    </row>
    <row r="584">
      <c r="A584" s="50"/>
      <c r="H584" s="51"/>
    </row>
    <row r="585">
      <c r="A585" s="50"/>
      <c r="H585" s="51"/>
    </row>
    <row r="586">
      <c r="A586" s="50"/>
      <c r="H586" s="51"/>
    </row>
    <row r="587">
      <c r="A587" s="50"/>
      <c r="H587" s="51"/>
    </row>
    <row r="588">
      <c r="A588" s="50"/>
      <c r="H588" s="51"/>
    </row>
    <row r="589">
      <c r="A589" s="50"/>
      <c r="H589" s="51"/>
    </row>
    <row r="590">
      <c r="A590" s="50"/>
      <c r="H590" s="51"/>
    </row>
    <row r="591">
      <c r="A591" s="50"/>
      <c r="H591" s="51"/>
    </row>
    <row r="592">
      <c r="A592" s="50"/>
      <c r="H592" s="51"/>
    </row>
    <row r="593">
      <c r="A593" s="50"/>
      <c r="H593" s="51"/>
    </row>
    <row r="594">
      <c r="A594" s="50"/>
      <c r="H594" s="51"/>
    </row>
    <row r="595">
      <c r="A595" s="50"/>
      <c r="H595" s="51"/>
    </row>
    <row r="596">
      <c r="A596" s="50"/>
      <c r="H596" s="51"/>
    </row>
    <row r="597">
      <c r="A597" s="50"/>
      <c r="H597" s="51"/>
    </row>
    <row r="598">
      <c r="A598" s="50"/>
      <c r="H598" s="51"/>
    </row>
    <row r="599">
      <c r="A599" s="50"/>
      <c r="H599" s="51"/>
    </row>
    <row r="600">
      <c r="A600" s="50"/>
      <c r="H600" s="51"/>
    </row>
    <row r="601">
      <c r="A601" s="50"/>
      <c r="H601" s="51"/>
    </row>
    <row r="602">
      <c r="A602" s="50"/>
      <c r="H602" s="51"/>
    </row>
    <row r="603">
      <c r="A603" s="50"/>
      <c r="H603" s="51"/>
    </row>
    <row r="604">
      <c r="A604" s="50"/>
      <c r="H604" s="51"/>
    </row>
    <row r="605">
      <c r="A605" s="50"/>
      <c r="H605" s="51"/>
    </row>
    <row r="606">
      <c r="A606" s="50"/>
      <c r="H606" s="51"/>
    </row>
    <row r="607">
      <c r="A607" s="50"/>
      <c r="H607" s="51"/>
    </row>
    <row r="608">
      <c r="A608" s="50"/>
      <c r="H608" s="51"/>
    </row>
    <row r="609">
      <c r="A609" s="50"/>
      <c r="H609" s="51"/>
    </row>
    <row r="610">
      <c r="A610" s="50"/>
      <c r="H610" s="51"/>
    </row>
    <row r="611">
      <c r="A611" s="50"/>
      <c r="H611" s="51"/>
    </row>
    <row r="612">
      <c r="A612" s="50"/>
      <c r="H612" s="51"/>
    </row>
    <row r="613">
      <c r="A613" s="50"/>
      <c r="H613" s="51"/>
    </row>
    <row r="614">
      <c r="A614" s="50"/>
      <c r="H614" s="51"/>
    </row>
    <row r="615">
      <c r="A615" s="50"/>
      <c r="H615" s="51"/>
    </row>
    <row r="616">
      <c r="A616" s="50"/>
      <c r="H616" s="51"/>
    </row>
    <row r="617">
      <c r="A617" s="50"/>
      <c r="H617" s="51"/>
    </row>
    <row r="618">
      <c r="A618" s="50"/>
      <c r="H618" s="51"/>
    </row>
    <row r="619">
      <c r="A619" s="50"/>
      <c r="H619" s="51"/>
    </row>
    <row r="620">
      <c r="A620" s="50"/>
      <c r="H620" s="51"/>
    </row>
    <row r="621">
      <c r="A621" s="50"/>
      <c r="H621" s="51"/>
    </row>
    <row r="622">
      <c r="A622" s="50"/>
      <c r="H622" s="51"/>
    </row>
    <row r="623">
      <c r="A623" s="50"/>
      <c r="H623" s="51"/>
    </row>
    <row r="624">
      <c r="A624" s="50"/>
      <c r="H624" s="51"/>
    </row>
    <row r="625">
      <c r="A625" s="50"/>
      <c r="H625" s="51"/>
    </row>
    <row r="626">
      <c r="A626" s="50"/>
      <c r="H626" s="51"/>
    </row>
    <row r="627">
      <c r="A627" s="50"/>
      <c r="H627" s="51"/>
    </row>
    <row r="628">
      <c r="A628" s="50"/>
      <c r="H628" s="51"/>
    </row>
    <row r="629">
      <c r="A629" s="50"/>
      <c r="H629" s="51"/>
    </row>
    <row r="630">
      <c r="A630" s="50"/>
      <c r="H630" s="51"/>
    </row>
    <row r="631">
      <c r="A631" s="50"/>
      <c r="H631" s="51"/>
    </row>
    <row r="632">
      <c r="A632" s="50"/>
      <c r="H632" s="51"/>
    </row>
    <row r="633">
      <c r="A633" s="50"/>
      <c r="H633" s="51"/>
    </row>
    <row r="634">
      <c r="A634" s="50"/>
      <c r="H634" s="51"/>
    </row>
    <row r="635">
      <c r="A635" s="50"/>
      <c r="H635" s="51"/>
    </row>
    <row r="636">
      <c r="A636" s="50"/>
      <c r="H636" s="51"/>
    </row>
    <row r="637">
      <c r="A637" s="50"/>
      <c r="H637" s="51"/>
    </row>
    <row r="638">
      <c r="A638" s="50"/>
      <c r="H638" s="51"/>
    </row>
    <row r="639">
      <c r="A639" s="50"/>
      <c r="H639" s="51"/>
    </row>
    <row r="640">
      <c r="A640" s="50"/>
      <c r="H640" s="51"/>
    </row>
    <row r="641">
      <c r="A641" s="50"/>
      <c r="H641" s="51"/>
    </row>
    <row r="642">
      <c r="A642" s="50"/>
      <c r="H642" s="51"/>
    </row>
    <row r="643">
      <c r="A643" s="50"/>
      <c r="H643" s="51"/>
    </row>
    <row r="644">
      <c r="A644" s="50"/>
      <c r="H644" s="51"/>
    </row>
    <row r="645">
      <c r="A645" s="50"/>
      <c r="H645" s="51"/>
    </row>
    <row r="646">
      <c r="A646" s="50"/>
      <c r="H646" s="51"/>
    </row>
    <row r="647">
      <c r="A647" s="50"/>
      <c r="H647" s="51"/>
    </row>
    <row r="648">
      <c r="A648" s="50"/>
      <c r="H648" s="51"/>
    </row>
    <row r="649">
      <c r="A649" s="50"/>
      <c r="H649" s="51"/>
    </row>
    <row r="650">
      <c r="A650" s="50"/>
      <c r="H650" s="51"/>
    </row>
    <row r="651">
      <c r="A651" s="50"/>
      <c r="H651" s="51"/>
    </row>
    <row r="652">
      <c r="A652" s="50"/>
      <c r="H652" s="51"/>
    </row>
    <row r="653">
      <c r="A653" s="50"/>
      <c r="H653" s="51"/>
    </row>
    <row r="654">
      <c r="A654" s="50"/>
      <c r="H654" s="51"/>
    </row>
    <row r="655">
      <c r="A655" s="50"/>
      <c r="H655" s="51"/>
    </row>
    <row r="656">
      <c r="A656" s="50"/>
      <c r="H656" s="51"/>
    </row>
    <row r="657">
      <c r="A657" s="50"/>
      <c r="H657" s="51"/>
    </row>
    <row r="658">
      <c r="A658" s="50"/>
      <c r="H658" s="51"/>
    </row>
    <row r="659">
      <c r="A659" s="50"/>
      <c r="H659" s="51"/>
    </row>
    <row r="660">
      <c r="A660" s="50"/>
      <c r="H660" s="51"/>
    </row>
    <row r="661">
      <c r="A661" s="50"/>
      <c r="H661" s="51"/>
    </row>
    <row r="662">
      <c r="A662" s="50"/>
      <c r="H662" s="51"/>
    </row>
    <row r="663">
      <c r="A663" s="50"/>
      <c r="H663" s="51"/>
    </row>
    <row r="664">
      <c r="A664" s="50"/>
      <c r="H664" s="51"/>
    </row>
    <row r="665">
      <c r="A665" s="50"/>
      <c r="H665" s="51"/>
    </row>
    <row r="666">
      <c r="A666" s="50"/>
      <c r="H666" s="51"/>
    </row>
    <row r="667">
      <c r="A667" s="50"/>
      <c r="H667" s="51"/>
    </row>
    <row r="668">
      <c r="A668" s="50"/>
      <c r="H668" s="51"/>
    </row>
    <row r="669">
      <c r="A669" s="50"/>
      <c r="H669" s="51"/>
    </row>
    <row r="670">
      <c r="A670" s="50"/>
      <c r="H670" s="51"/>
    </row>
    <row r="671">
      <c r="A671" s="50"/>
      <c r="H671" s="51"/>
    </row>
    <row r="672">
      <c r="A672" s="50"/>
      <c r="H672" s="51"/>
    </row>
    <row r="673">
      <c r="A673" s="50"/>
      <c r="H673" s="51"/>
    </row>
    <row r="674">
      <c r="A674" s="50"/>
      <c r="H674" s="51"/>
    </row>
    <row r="675">
      <c r="A675" s="50"/>
      <c r="H675" s="51"/>
    </row>
    <row r="676">
      <c r="A676" s="50"/>
      <c r="H676" s="51"/>
    </row>
    <row r="677">
      <c r="A677" s="50"/>
      <c r="H677" s="51"/>
    </row>
    <row r="678">
      <c r="A678" s="50"/>
      <c r="H678" s="51"/>
    </row>
    <row r="679">
      <c r="A679" s="50"/>
      <c r="H679" s="51"/>
    </row>
    <row r="680">
      <c r="A680" s="50"/>
      <c r="H680" s="51"/>
    </row>
    <row r="681">
      <c r="A681" s="50"/>
      <c r="H681" s="51"/>
    </row>
    <row r="682">
      <c r="A682" s="50"/>
      <c r="H682" s="51"/>
    </row>
    <row r="683">
      <c r="A683" s="50"/>
      <c r="H683" s="51"/>
    </row>
    <row r="684">
      <c r="A684" s="50"/>
      <c r="H684" s="51"/>
    </row>
    <row r="685">
      <c r="A685" s="50"/>
      <c r="H685" s="51"/>
    </row>
    <row r="686">
      <c r="A686" s="50"/>
      <c r="H686" s="51"/>
    </row>
    <row r="687">
      <c r="A687" s="50"/>
      <c r="H687" s="51"/>
    </row>
    <row r="688">
      <c r="A688" s="50"/>
      <c r="H688" s="51"/>
    </row>
    <row r="689">
      <c r="A689" s="50"/>
      <c r="H689" s="51"/>
    </row>
    <row r="690">
      <c r="A690" s="50"/>
      <c r="H690" s="51"/>
    </row>
    <row r="691">
      <c r="A691" s="50"/>
      <c r="H691" s="51"/>
    </row>
    <row r="692">
      <c r="A692" s="50"/>
      <c r="H692" s="51"/>
    </row>
    <row r="693">
      <c r="A693" s="50"/>
      <c r="H693" s="51"/>
    </row>
    <row r="694">
      <c r="A694" s="50"/>
      <c r="H694" s="51"/>
    </row>
    <row r="695">
      <c r="A695" s="50"/>
      <c r="H695" s="51"/>
    </row>
    <row r="696">
      <c r="A696" s="50"/>
      <c r="H696" s="51"/>
    </row>
    <row r="697">
      <c r="A697" s="50"/>
      <c r="H697" s="51"/>
    </row>
    <row r="698">
      <c r="A698" s="50"/>
      <c r="H698" s="51"/>
    </row>
    <row r="699">
      <c r="A699" s="50"/>
      <c r="H699" s="51"/>
    </row>
    <row r="700">
      <c r="A700" s="50"/>
      <c r="H700" s="51"/>
    </row>
    <row r="701">
      <c r="A701" s="50"/>
      <c r="H701" s="51"/>
    </row>
    <row r="702">
      <c r="A702" s="50"/>
      <c r="H702" s="51"/>
    </row>
    <row r="703">
      <c r="A703" s="50"/>
      <c r="H703" s="51"/>
    </row>
    <row r="704">
      <c r="A704" s="50"/>
      <c r="H704" s="51"/>
    </row>
    <row r="705">
      <c r="A705" s="50"/>
      <c r="H705" s="51"/>
    </row>
    <row r="706">
      <c r="A706" s="50"/>
      <c r="H706" s="51"/>
    </row>
    <row r="707">
      <c r="A707" s="50"/>
      <c r="H707" s="51"/>
    </row>
    <row r="708">
      <c r="A708" s="50"/>
      <c r="H708" s="51"/>
    </row>
    <row r="709">
      <c r="A709" s="50"/>
      <c r="H709" s="51"/>
    </row>
    <row r="710">
      <c r="A710" s="50"/>
      <c r="H710" s="51"/>
    </row>
    <row r="711">
      <c r="A711" s="50"/>
      <c r="H711" s="51"/>
    </row>
    <row r="712">
      <c r="A712" s="50"/>
      <c r="H712" s="51"/>
    </row>
    <row r="713">
      <c r="A713" s="50"/>
      <c r="H713" s="51"/>
    </row>
    <row r="714">
      <c r="A714" s="50"/>
      <c r="H714" s="51"/>
    </row>
    <row r="715">
      <c r="A715" s="50"/>
      <c r="H715" s="51"/>
    </row>
    <row r="716">
      <c r="A716" s="50"/>
      <c r="H716" s="51"/>
    </row>
    <row r="717">
      <c r="A717" s="50"/>
      <c r="H717" s="51"/>
    </row>
    <row r="718">
      <c r="A718" s="50"/>
      <c r="H718" s="51"/>
    </row>
    <row r="719">
      <c r="A719" s="50"/>
      <c r="H719" s="51"/>
    </row>
    <row r="720">
      <c r="A720" s="50"/>
      <c r="H720" s="51"/>
    </row>
    <row r="721">
      <c r="A721" s="50"/>
      <c r="H721" s="51"/>
    </row>
    <row r="722">
      <c r="A722" s="50"/>
      <c r="H722" s="51"/>
    </row>
    <row r="723">
      <c r="A723" s="50"/>
      <c r="H723" s="51"/>
    </row>
    <row r="724">
      <c r="A724" s="50"/>
      <c r="H724" s="51"/>
    </row>
    <row r="725">
      <c r="A725" s="50"/>
      <c r="H725" s="51"/>
    </row>
    <row r="726">
      <c r="A726" s="50"/>
      <c r="H726" s="51"/>
    </row>
    <row r="727">
      <c r="A727" s="50"/>
      <c r="H727" s="51"/>
    </row>
    <row r="728">
      <c r="A728" s="50"/>
      <c r="H728" s="51"/>
    </row>
    <row r="729">
      <c r="A729" s="50"/>
      <c r="H729" s="51"/>
    </row>
    <row r="730">
      <c r="A730" s="50"/>
      <c r="H730" s="51"/>
    </row>
    <row r="731">
      <c r="A731" s="50"/>
      <c r="H731" s="51"/>
    </row>
    <row r="732">
      <c r="A732" s="50"/>
      <c r="H732" s="51"/>
    </row>
    <row r="733">
      <c r="A733" s="50"/>
      <c r="H733" s="51"/>
    </row>
    <row r="734">
      <c r="A734" s="50"/>
      <c r="H734" s="51"/>
    </row>
    <row r="735">
      <c r="A735" s="50"/>
      <c r="H735" s="51"/>
    </row>
    <row r="736">
      <c r="A736" s="50"/>
      <c r="H736" s="51"/>
    </row>
    <row r="737">
      <c r="A737" s="50"/>
      <c r="H737" s="51"/>
    </row>
    <row r="738">
      <c r="A738" s="50"/>
      <c r="H738" s="51"/>
    </row>
    <row r="739">
      <c r="A739" s="50"/>
      <c r="H739" s="51"/>
    </row>
    <row r="740">
      <c r="A740" s="50"/>
      <c r="H740" s="51"/>
    </row>
    <row r="741">
      <c r="A741" s="50"/>
      <c r="H741" s="51"/>
    </row>
    <row r="742">
      <c r="A742" s="50"/>
      <c r="H742" s="51"/>
    </row>
    <row r="743">
      <c r="A743" s="50"/>
      <c r="H743" s="51"/>
    </row>
    <row r="744">
      <c r="A744" s="50"/>
      <c r="H744" s="51"/>
    </row>
    <row r="745">
      <c r="A745" s="50"/>
      <c r="H745" s="51"/>
    </row>
    <row r="746">
      <c r="A746" s="50"/>
      <c r="H746" s="51"/>
    </row>
    <row r="747">
      <c r="A747" s="50"/>
      <c r="H747" s="51"/>
    </row>
    <row r="748">
      <c r="A748" s="50"/>
      <c r="H748" s="51"/>
    </row>
    <row r="749">
      <c r="A749" s="50"/>
      <c r="H749" s="51"/>
    </row>
    <row r="750">
      <c r="A750" s="50"/>
      <c r="H750" s="51"/>
    </row>
    <row r="751">
      <c r="A751" s="50"/>
      <c r="H751" s="51"/>
    </row>
    <row r="752">
      <c r="A752" s="50"/>
      <c r="H752" s="51"/>
    </row>
    <row r="753">
      <c r="A753" s="50"/>
      <c r="H753" s="51"/>
    </row>
    <row r="754">
      <c r="A754" s="50"/>
      <c r="H754" s="51"/>
    </row>
    <row r="755">
      <c r="A755" s="50"/>
      <c r="H755" s="51"/>
    </row>
    <row r="756">
      <c r="A756" s="50"/>
      <c r="H756" s="51"/>
    </row>
    <row r="757">
      <c r="A757" s="50"/>
      <c r="H757" s="51"/>
    </row>
    <row r="758">
      <c r="A758" s="50"/>
      <c r="H758" s="51"/>
    </row>
    <row r="759">
      <c r="A759" s="50"/>
      <c r="H759" s="51"/>
    </row>
    <row r="760">
      <c r="A760" s="50"/>
      <c r="H760" s="51"/>
    </row>
    <row r="761">
      <c r="A761" s="50"/>
      <c r="H761" s="51"/>
    </row>
    <row r="762">
      <c r="A762" s="50"/>
      <c r="H762" s="51"/>
    </row>
    <row r="763">
      <c r="A763" s="50"/>
      <c r="H763" s="51"/>
    </row>
    <row r="764">
      <c r="A764" s="50"/>
      <c r="H764" s="51"/>
    </row>
    <row r="765">
      <c r="A765" s="50"/>
      <c r="H765" s="51"/>
    </row>
    <row r="766">
      <c r="A766" s="50"/>
      <c r="H766" s="51"/>
    </row>
    <row r="767">
      <c r="A767" s="50"/>
      <c r="H767" s="51"/>
    </row>
    <row r="768">
      <c r="A768" s="50"/>
      <c r="H768" s="51"/>
    </row>
    <row r="769">
      <c r="A769" s="50"/>
      <c r="H769" s="51"/>
    </row>
    <row r="770">
      <c r="A770" s="50"/>
      <c r="H770" s="51"/>
    </row>
    <row r="771">
      <c r="A771" s="50"/>
      <c r="H771" s="51"/>
    </row>
    <row r="772">
      <c r="A772" s="50"/>
      <c r="H772" s="51"/>
    </row>
    <row r="773">
      <c r="A773" s="50"/>
      <c r="H773" s="51"/>
    </row>
    <row r="774">
      <c r="A774" s="50"/>
      <c r="H774" s="51"/>
    </row>
    <row r="775">
      <c r="A775" s="50"/>
      <c r="H775" s="51"/>
    </row>
    <row r="776">
      <c r="A776" s="50"/>
      <c r="H776" s="51"/>
    </row>
    <row r="777">
      <c r="A777" s="50"/>
      <c r="H777" s="51"/>
    </row>
    <row r="778">
      <c r="A778" s="50"/>
      <c r="H778" s="51"/>
    </row>
    <row r="779">
      <c r="A779" s="50"/>
      <c r="H779" s="51"/>
    </row>
    <row r="780">
      <c r="A780" s="50"/>
      <c r="H780" s="51"/>
    </row>
    <row r="781">
      <c r="A781" s="50"/>
      <c r="H781" s="51"/>
    </row>
    <row r="782">
      <c r="A782" s="50"/>
      <c r="H782" s="51"/>
    </row>
    <row r="783">
      <c r="A783" s="50"/>
      <c r="H783" s="51"/>
    </row>
    <row r="784">
      <c r="A784" s="50"/>
      <c r="H784" s="51"/>
    </row>
    <row r="785">
      <c r="A785" s="50"/>
      <c r="H785" s="51"/>
    </row>
    <row r="786">
      <c r="A786" s="50"/>
      <c r="H786" s="51"/>
    </row>
    <row r="787">
      <c r="A787" s="50"/>
      <c r="H787" s="51"/>
    </row>
    <row r="788">
      <c r="A788" s="50"/>
      <c r="H788" s="51"/>
    </row>
    <row r="789">
      <c r="A789" s="50"/>
      <c r="H789" s="51"/>
    </row>
    <row r="790">
      <c r="A790" s="50"/>
      <c r="H790" s="51"/>
    </row>
    <row r="791">
      <c r="A791" s="50"/>
      <c r="H791" s="51"/>
    </row>
    <row r="792">
      <c r="A792" s="50"/>
      <c r="H792" s="51"/>
    </row>
    <row r="793">
      <c r="A793" s="50"/>
      <c r="H793" s="51"/>
    </row>
    <row r="794">
      <c r="A794" s="50"/>
      <c r="H794" s="51"/>
    </row>
    <row r="795">
      <c r="A795" s="50"/>
      <c r="H795" s="51"/>
    </row>
    <row r="796">
      <c r="A796" s="50"/>
      <c r="H796" s="51"/>
    </row>
    <row r="797">
      <c r="A797" s="50"/>
      <c r="H797" s="51"/>
    </row>
    <row r="798">
      <c r="A798" s="50"/>
      <c r="H798" s="51"/>
    </row>
    <row r="799">
      <c r="A799" s="50"/>
      <c r="H799" s="51"/>
    </row>
    <row r="800">
      <c r="A800" s="50"/>
      <c r="H800" s="51"/>
    </row>
    <row r="801">
      <c r="A801" s="50"/>
      <c r="H801" s="51"/>
    </row>
    <row r="802">
      <c r="A802" s="50"/>
      <c r="H802" s="51"/>
    </row>
    <row r="803">
      <c r="A803" s="50"/>
      <c r="H803" s="51"/>
    </row>
    <row r="804">
      <c r="A804" s="50"/>
      <c r="H804" s="51"/>
    </row>
    <row r="805">
      <c r="A805" s="50"/>
      <c r="H805" s="51"/>
    </row>
    <row r="806">
      <c r="A806" s="50"/>
      <c r="H806" s="51"/>
    </row>
    <row r="807">
      <c r="A807" s="50"/>
      <c r="H807" s="51"/>
    </row>
    <row r="808">
      <c r="A808" s="50"/>
      <c r="H808" s="51"/>
    </row>
    <row r="809">
      <c r="A809" s="50"/>
      <c r="H809" s="51"/>
    </row>
    <row r="810">
      <c r="A810" s="50"/>
      <c r="H810" s="51"/>
    </row>
    <row r="811">
      <c r="A811" s="50"/>
      <c r="H811" s="51"/>
    </row>
    <row r="812">
      <c r="A812" s="50"/>
      <c r="H812" s="51"/>
    </row>
    <row r="813">
      <c r="A813" s="50"/>
      <c r="H813" s="51"/>
    </row>
    <row r="814">
      <c r="A814" s="50"/>
      <c r="H814" s="51"/>
    </row>
    <row r="815">
      <c r="A815" s="50"/>
      <c r="H815" s="51"/>
    </row>
    <row r="816">
      <c r="A816" s="50"/>
      <c r="H816" s="51"/>
    </row>
    <row r="817">
      <c r="A817" s="50"/>
      <c r="H817" s="51"/>
    </row>
    <row r="818">
      <c r="A818" s="50"/>
      <c r="H818" s="51"/>
    </row>
    <row r="819">
      <c r="A819" s="50"/>
      <c r="H819" s="51"/>
    </row>
    <row r="820">
      <c r="A820" s="50"/>
      <c r="H820" s="51"/>
    </row>
    <row r="821">
      <c r="A821" s="50"/>
      <c r="H821" s="51"/>
    </row>
    <row r="822">
      <c r="A822" s="50"/>
      <c r="H822" s="51"/>
    </row>
    <row r="823">
      <c r="A823" s="50"/>
      <c r="H823" s="51"/>
    </row>
    <row r="824">
      <c r="A824" s="50"/>
      <c r="H824" s="51"/>
    </row>
    <row r="825">
      <c r="A825" s="50"/>
      <c r="H825" s="51"/>
    </row>
    <row r="826">
      <c r="A826" s="50"/>
      <c r="H826" s="51"/>
    </row>
    <row r="827">
      <c r="A827" s="50"/>
      <c r="H827" s="51"/>
    </row>
    <row r="828">
      <c r="A828" s="50"/>
      <c r="H828" s="51"/>
    </row>
    <row r="829">
      <c r="A829" s="50"/>
      <c r="H829" s="51"/>
    </row>
    <row r="830">
      <c r="A830" s="50"/>
      <c r="H830" s="51"/>
    </row>
    <row r="831">
      <c r="A831" s="50"/>
      <c r="H831" s="51"/>
    </row>
    <row r="832">
      <c r="A832" s="50"/>
      <c r="H832" s="51"/>
    </row>
    <row r="833">
      <c r="A833" s="50"/>
      <c r="H833" s="51"/>
    </row>
    <row r="834">
      <c r="A834" s="50"/>
      <c r="H834" s="51"/>
    </row>
    <row r="835">
      <c r="A835" s="50"/>
      <c r="H835" s="51"/>
    </row>
    <row r="836">
      <c r="A836" s="50"/>
      <c r="H836" s="51"/>
    </row>
    <row r="837">
      <c r="A837" s="50"/>
      <c r="H837" s="51"/>
    </row>
    <row r="838">
      <c r="A838" s="50"/>
      <c r="H838" s="51"/>
    </row>
    <row r="839">
      <c r="A839" s="50"/>
      <c r="H839" s="51"/>
    </row>
    <row r="840">
      <c r="A840" s="50"/>
      <c r="H840" s="51"/>
    </row>
    <row r="841">
      <c r="A841" s="50"/>
      <c r="H841" s="51"/>
    </row>
    <row r="842">
      <c r="A842" s="50"/>
      <c r="H842" s="51"/>
    </row>
    <row r="843">
      <c r="A843" s="50"/>
      <c r="H843" s="51"/>
    </row>
    <row r="844">
      <c r="A844" s="50"/>
      <c r="H844" s="51"/>
    </row>
    <row r="845">
      <c r="A845" s="50"/>
      <c r="H845" s="51"/>
    </row>
    <row r="846">
      <c r="A846" s="50"/>
      <c r="H846" s="51"/>
    </row>
    <row r="847">
      <c r="A847" s="50"/>
      <c r="H847" s="51"/>
    </row>
    <row r="848">
      <c r="A848" s="50"/>
      <c r="H848" s="51"/>
    </row>
    <row r="849">
      <c r="A849" s="50"/>
      <c r="H849" s="51"/>
    </row>
    <row r="850">
      <c r="A850" s="50"/>
      <c r="H850" s="51"/>
    </row>
    <row r="851">
      <c r="A851" s="50"/>
      <c r="H851" s="51"/>
    </row>
    <row r="852">
      <c r="A852" s="50"/>
      <c r="H852" s="51"/>
    </row>
    <row r="853">
      <c r="A853" s="50"/>
      <c r="H853" s="51"/>
    </row>
    <row r="854">
      <c r="A854" s="50"/>
      <c r="H854" s="51"/>
    </row>
    <row r="855">
      <c r="A855" s="50"/>
      <c r="H855" s="51"/>
    </row>
    <row r="856">
      <c r="A856" s="50"/>
      <c r="H856" s="51"/>
    </row>
    <row r="857">
      <c r="A857" s="50"/>
      <c r="H857" s="51"/>
    </row>
    <row r="858">
      <c r="A858" s="50"/>
      <c r="H858" s="51"/>
    </row>
    <row r="859">
      <c r="A859" s="50"/>
      <c r="H859" s="51"/>
    </row>
    <row r="860">
      <c r="A860" s="50"/>
      <c r="H860" s="51"/>
    </row>
    <row r="861">
      <c r="A861" s="50"/>
      <c r="H861" s="51"/>
    </row>
    <row r="862">
      <c r="A862" s="50"/>
      <c r="H862" s="51"/>
    </row>
    <row r="863">
      <c r="A863" s="50"/>
      <c r="H863" s="51"/>
    </row>
    <row r="864">
      <c r="A864" s="50"/>
      <c r="H864" s="51"/>
    </row>
    <row r="865">
      <c r="A865" s="50"/>
      <c r="H865" s="51"/>
    </row>
    <row r="866">
      <c r="A866" s="50"/>
      <c r="H866" s="51"/>
    </row>
    <row r="867">
      <c r="A867" s="50"/>
      <c r="H867" s="51"/>
    </row>
    <row r="868">
      <c r="A868" s="50"/>
      <c r="H868" s="51"/>
    </row>
    <row r="869">
      <c r="A869" s="50"/>
      <c r="H869" s="51"/>
    </row>
    <row r="870">
      <c r="A870" s="50"/>
      <c r="H870" s="51"/>
    </row>
    <row r="871">
      <c r="A871" s="50"/>
      <c r="H871" s="51"/>
    </row>
    <row r="872">
      <c r="A872" s="50"/>
      <c r="H872" s="51"/>
    </row>
    <row r="873">
      <c r="A873" s="50"/>
      <c r="H873" s="51"/>
    </row>
    <row r="874">
      <c r="A874" s="50"/>
      <c r="H874" s="51"/>
    </row>
    <row r="875">
      <c r="A875" s="50"/>
      <c r="H875" s="51"/>
    </row>
    <row r="876">
      <c r="A876" s="50"/>
      <c r="H876" s="51"/>
    </row>
    <row r="877">
      <c r="A877" s="50"/>
      <c r="H877" s="51"/>
    </row>
    <row r="878">
      <c r="A878" s="50"/>
      <c r="H878" s="51"/>
    </row>
    <row r="879">
      <c r="A879" s="50"/>
      <c r="H879" s="51"/>
    </row>
    <row r="880">
      <c r="A880" s="50"/>
      <c r="H880" s="51"/>
    </row>
    <row r="881">
      <c r="A881" s="50"/>
      <c r="H881" s="51"/>
    </row>
    <row r="882">
      <c r="A882" s="50"/>
      <c r="H882" s="51"/>
    </row>
    <row r="883">
      <c r="A883" s="50"/>
      <c r="H883" s="51"/>
    </row>
    <row r="884">
      <c r="A884" s="50"/>
      <c r="H884" s="51"/>
    </row>
    <row r="885">
      <c r="A885" s="50"/>
      <c r="H885" s="51"/>
    </row>
    <row r="886">
      <c r="A886" s="50"/>
      <c r="H886" s="51"/>
    </row>
    <row r="887">
      <c r="A887" s="50"/>
      <c r="H887" s="51"/>
    </row>
    <row r="888">
      <c r="A888" s="50"/>
      <c r="H888" s="51"/>
    </row>
    <row r="889">
      <c r="A889" s="50"/>
      <c r="H889" s="51"/>
    </row>
    <row r="890">
      <c r="A890" s="50"/>
      <c r="H890" s="51"/>
    </row>
    <row r="891">
      <c r="A891" s="50"/>
      <c r="H891" s="51"/>
    </row>
    <row r="892">
      <c r="A892" s="50"/>
      <c r="H892" s="51"/>
    </row>
    <row r="893">
      <c r="A893" s="50"/>
      <c r="H893" s="51"/>
    </row>
    <row r="894">
      <c r="A894" s="50"/>
      <c r="H894" s="51"/>
    </row>
    <row r="895">
      <c r="A895" s="50"/>
      <c r="H895" s="51"/>
    </row>
    <row r="896">
      <c r="A896" s="50"/>
      <c r="H896" s="51"/>
    </row>
    <row r="897">
      <c r="A897" s="50"/>
      <c r="H897" s="51"/>
    </row>
    <row r="898">
      <c r="A898" s="50"/>
      <c r="H898" s="51"/>
    </row>
    <row r="899">
      <c r="A899" s="50"/>
      <c r="H899" s="51"/>
    </row>
    <row r="900">
      <c r="A900" s="50"/>
      <c r="H900" s="51"/>
    </row>
    <row r="901">
      <c r="A901" s="50"/>
      <c r="H901" s="51"/>
    </row>
    <row r="902">
      <c r="A902" s="50"/>
      <c r="H902" s="51"/>
    </row>
    <row r="903">
      <c r="A903" s="50"/>
      <c r="H903" s="51"/>
    </row>
    <row r="904">
      <c r="A904" s="50"/>
      <c r="H904" s="51"/>
    </row>
    <row r="905">
      <c r="A905" s="50"/>
      <c r="H905" s="51"/>
    </row>
    <row r="906">
      <c r="A906" s="50"/>
      <c r="H906" s="51"/>
    </row>
    <row r="907">
      <c r="A907" s="50"/>
      <c r="H907" s="51"/>
    </row>
    <row r="908">
      <c r="A908" s="50"/>
      <c r="H908" s="51"/>
    </row>
    <row r="909">
      <c r="A909" s="50"/>
      <c r="H909" s="51"/>
    </row>
    <row r="910">
      <c r="A910" s="50"/>
      <c r="H910" s="51"/>
    </row>
    <row r="911">
      <c r="A911" s="50"/>
      <c r="H911" s="51"/>
    </row>
    <row r="912">
      <c r="A912" s="50"/>
      <c r="H912" s="51"/>
    </row>
    <row r="913">
      <c r="A913" s="50"/>
      <c r="H913" s="51"/>
    </row>
    <row r="914">
      <c r="A914" s="50"/>
      <c r="H914" s="51"/>
    </row>
    <row r="915">
      <c r="A915" s="50"/>
      <c r="H915" s="51"/>
    </row>
    <row r="916">
      <c r="A916" s="50"/>
      <c r="H916" s="51"/>
    </row>
    <row r="917">
      <c r="A917" s="50"/>
      <c r="H917" s="51"/>
    </row>
    <row r="918">
      <c r="A918" s="50"/>
      <c r="H918" s="51"/>
    </row>
    <row r="919">
      <c r="A919" s="50"/>
      <c r="H919" s="51"/>
    </row>
    <row r="920">
      <c r="A920" s="50"/>
      <c r="H920" s="51"/>
    </row>
    <row r="921">
      <c r="A921" s="50"/>
      <c r="H921" s="51"/>
    </row>
    <row r="922">
      <c r="A922" s="50"/>
      <c r="H922" s="51"/>
    </row>
    <row r="923">
      <c r="A923" s="50"/>
      <c r="H923" s="51"/>
    </row>
    <row r="924">
      <c r="A924" s="50"/>
      <c r="H924" s="51"/>
    </row>
    <row r="925">
      <c r="A925" s="50"/>
      <c r="H925" s="51"/>
    </row>
    <row r="926">
      <c r="A926" s="50"/>
      <c r="H926" s="51"/>
    </row>
    <row r="927">
      <c r="A927" s="50"/>
      <c r="H927" s="51"/>
    </row>
    <row r="928">
      <c r="A928" s="50"/>
      <c r="H928" s="51"/>
    </row>
    <row r="929">
      <c r="A929" s="50"/>
      <c r="H929" s="51"/>
    </row>
    <row r="930">
      <c r="A930" s="50"/>
      <c r="H930" s="51"/>
    </row>
    <row r="931">
      <c r="A931" s="50"/>
      <c r="H931" s="51"/>
    </row>
    <row r="932">
      <c r="A932" s="50"/>
      <c r="H932" s="51"/>
    </row>
    <row r="933">
      <c r="A933" s="50"/>
      <c r="H933" s="51"/>
    </row>
    <row r="934">
      <c r="A934" s="50"/>
      <c r="H934" s="51"/>
    </row>
    <row r="935">
      <c r="A935" s="50"/>
      <c r="H935" s="51"/>
    </row>
    <row r="936">
      <c r="A936" s="50"/>
      <c r="H936" s="51"/>
    </row>
    <row r="937">
      <c r="A937" s="50"/>
      <c r="H937" s="51"/>
    </row>
    <row r="938">
      <c r="A938" s="50"/>
      <c r="H938" s="51"/>
    </row>
    <row r="939">
      <c r="A939" s="50"/>
      <c r="H939" s="51"/>
    </row>
    <row r="940">
      <c r="A940" s="50"/>
      <c r="H940" s="51"/>
    </row>
    <row r="941">
      <c r="A941" s="50"/>
      <c r="H941" s="51"/>
    </row>
    <row r="942">
      <c r="A942" s="50"/>
      <c r="H942" s="51"/>
    </row>
    <row r="943">
      <c r="A943" s="50"/>
      <c r="H943" s="51"/>
    </row>
    <row r="944">
      <c r="A944" s="50"/>
      <c r="H944" s="51"/>
    </row>
    <row r="945">
      <c r="A945" s="50"/>
      <c r="H945" s="51"/>
    </row>
    <row r="946">
      <c r="A946" s="50"/>
      <c r="H946" s="51"/>
    </row>
    <row r="947">
      <c r="A947" s="50"/>
      <c r="H947" s="51"/>
    </row>
    <row r="948">
      <c r="A948" s="50"/>
      <c r="H948" s="51"/>
    </row>
    <row r="949">
      <c r="A949" s="50"/>
      <c r="H949" s="51"/>
    </row>
    <row r="950">
      <c r="A950" s="50"/>
      <c r="H950" s="51"/>
    </row>
    <row r="951">
      <c r="A951" s="50"/>
      <c r="H951" s="51"/>
    </row>
    <row r="952">
      <c r="A952" s="50"/>
      <c r="H952" s="51"/>
    </row>
    <row r="953">
      <c r="A953" s="50"/>
      <c r="H953" s="51"/>
    </row>
    <row r="954">
      <c r="A954" s="50"/>
      <c r="H954" s="51"/>
    </row>
    <row r="955">
      <c r="A955" s="50"/>
      <c r="H955" s="51"/>
    </row>
    <row r="956">
      <c r="A956" s="50"/>
      <c r="H956" s="51"/>
    </row>
    <row r="957">
      <c r="A957" s="50"/>
      <c r="H957" s="51"/>
    </row>
    <row r="958">
      <c r="A958" s="50"/>
      <c r="H958" s="51"/>
    </row>
    <row r="959">
      <c r="A959" s="50"/>
      <c r="H959" s="51"/>
    </row>
    <row r="960">
      <c r="A960" s="50"/>
      <c r="H960" s="51"/>
    </row>
    <row r="961">
      <c r="A961" s="50"/>
      <c r="H961" s="51"/>
    </row>
    <row r="962">
      <c r="A962" s="50"/>
      <c r="H962" s="51"/>
    </row>
    <row r="963">
      <c r="A963" s="50"/>
      <c r="H963" s="51"/>
    </row>
    <row r="964">
      <c r="A964" s="50"/>
      <c r="H964" s="51"/>
    </row>
    <row r="965">
      <c r="A965" s="50"/>
      <c r="H965" s="51"/>
    </row>
    <row r="966">
      <c r="A966" s="50"/>
      <c r="H966" s="51"/>
    </row>
    <row r="967">
      <c r="A967" s="50"/>
      <c r="H967" s="51"/>
    </row>
    <row r="968">
      <c r="A968" s="50"/>
      <c r="H968" s="51"/>
    </row>
    <row r="969">
      <c r="A969" s="50"/>
      <c r="H969" s="51"/>
    </row>
    <row r="970">
      <c r="A970" s="50"/>
      <c r="H970" s="51"/>
    </row>
    <row r="971">
      <c r="A971" s="50"/>
      <c r="H971" s="51"/>
    </row>
    <row r="972">
      <c r="A972" s="50"/>
      <c r="H972" s="51"/>
    </row>
    <row r="973">
      <c r="A973" s="50"/>
      <c r="H973" s="51"/>
    </row>
    <row r="974">
      <c r="A974" s="50"/>
      <c r="H974" s="51"/>
    </row>
    <row r="975">
      <c r="A975" s="50"/>
      <c r="H975" s="51"/>
    </row>
    <row r="976">
      <c r="A976" s="50"/>
      <c r="H976" s="51"/>
    </row>
    <row r="977">
      <c r="A977" s="50"/>
      <c r="H977" s="51"/>
    </row>
    <row r="978">
      <c r="A978" s="50"/>
      <c r="H978" s="51"/>
    </row>
    <row r="979">
      <c r="A979" s="50"/>
      <c r="H979" s="51"/>
    </row>
    <row r="980">
      <c r="A980" s="50"/>
      <c r="H980" s="51"/>
    </row>
    <row r="981">
      <c r="A981" s="50"/>
      <c r="H981" s="51"/>
    </row>
    <row r="982">
      <c r="A982" s="50"/>
      <c r="H982" s="51"/>
    </row>
    <row r="983">
      <c r="A983" s="50"/>
      <c r="H983" s="51"/>
    </row>
    <row r="984">
      <c r="A984" s="50"/>
      <c r="H984" s="51"/>
    </row>
    <row r="985">
      <c r="A985" s="50"/>
      <c r="H985" s="51"/>
    </row>
    <row r="986">
      <c r="A986" s="50"/>
      <c r="H986" s="51"/>
    </row>
    <row r="987">
      <c r="A987" s="50"/>
      <c r="H987" s="51"/>
    </row>
    <row r="988">
      <c r="A988" s="50"/>
      <c r="H988" s="51"/>
    </row>
    <row r="989">
      <c r="A989" s="50"/>
      <c r="H989" s="51"/>
    </row>
    <row r="990">
      <c r="A990" s="50"/>
      <c r="H990" s="51"/>
    </row>
    <row r="991">
      <c r="A991" s="50"/>
      <c r="H991" s="51"/>
    </row>
    <row r="992">
      <c r="A992" s="50"/>
      <c r="H992" s="51"/>
    </row>
    <row r="993">
      <c r="A993" s="50"/>
      <c r="H993" s="51"/>
    </row>
    <row r="994">
      <c r="A994" s="50"/>
      <c r="H994" s="51"/>
    </row>
    <row r="995">
      <c r="A995" s="50"/>
      <c r="H995" s="51"/>
    </row>
    <row r="996">
      <c r="A996" s="50"/>
      <c r="H996" s="51"/>
    </row>
    <row r="997">
      <c r="A997" s="50"/>
      <c r="H997" s="51"/>
    </row>
    <row r="998">
      <c r="A998" s="50"/>
      <c r="H998" s="51"/>
    </row>
  </sheetData>
  <conditionalFormatting sqref="G1:H998 M2:N31">
    <cfRule type="cellIs" dxfId="0" priority="1" operator="greaterThan">
      <formula>0</formula>
    </cfRule>
  </conditionalFormatting>
  <conditionalFormatting sqref="G1:H998 M2:N31">
    <cfRule type="cellIs" dxfId="1" priority="2" operator="lessThan">
      <formula>0</formula>
    </cfRule>
  </conditionalFormatting>
  <dataValidations>
    <dataValidation type="list" allowBlank="1" showErrorMessage="1" sqref="A2:A31">
      <formula1>Analysis!$T$2:$T$2037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6.57"/>
    <col customWidth="1" min="4" max="4" width="11.86"/>
    <col customWidth="1" min="5" max="5" width="15.57"/>
    <col customWidth="1" min="6" max="6" width="17.57"/>
    <col customWidth="1" min="7" max="7" width="15.0"/>
    <col customWidth="1" min="8" max="8" width="20.29"/>
    <col customWidth="1" min="9" max="9" width="13.86"/>
    <col customWidth="1" min="10" max="10" width="16.71"/>
    <col customWidth="1" min="11" max="11" width="12.57"/>
    <col customWidth="1" min="12" max="25" width="8.71"/>
  </cols>
  <sheetData>
    <row r="1">
      <c r="A1" s="52" t="s">
        <v>2066</v>
      </c>
      <c r="B1" s="53"/>
      <c r="C1" s="53"/>
      <c r="D1" s="53"/>
      <c r="E1" s="53"/>
      <c r="F1" s="53"/>
      <c r="G1" s="53"/>
      <c r="H1" s="53"/>
      <c r="I1" s="53"/>
      <c r="J1" s="53"/>
      <c r="K1" s="54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ht="28.5" customHeight="1">
      <c r="A2" s="56" t="s">
        <v>2067</v>
      </c>
      <c r="B2" s="53"/>
      <c r="C2" s="53"/>
      <c r="D2" s="53"/>
      <c r="E2" s="53"/>
      <c r="F2" s="54"/>
      <c r="G2" s="57"/>
      <c r="H2" s="53"/>
      <c r="I2" s="53"/>
      <c r="J2" s="53"/>
      <c r="K2" s="54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</row>
    <row r="3">
      <c r="A3" s="58" t="s">
        <v>2068</v>
      </c>
      <c r="B3" s="58" t="s">
        <v>2069</v>
      </c>
      <c r="C3" s="59" t="s">
        <v>2070</v>
      </c>
      <c r="D3" s="60" t="s">
        <v>2071</v>
      </c>
      <c r="E3" s="61" t="s">
        <v>2072</v>
      </c>
      <c r="F3" s="59" t="s">
        <v>2073</v>
      </c>
      <c r="G3" s="62" t="s">
        <v>2074</v>
      </c>
      <c r="H3" s="63" t="s">
        <v>2075</v>
      </c>
      <c r="I3" s="64" t="s">
        <v>2076</v>
      </c>
      <c r="J3" s="65" t="s">
        <v>2077</v>
      </c>
      <c r="K3" s="66" t="s">
        <v>2078</v>
      </c>
      <c r="L3" s="67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>
      <c r="A4" s="68" t="s">
        <v>2079</v>
      </c>
      <c r="B4" s="69"/>
      <c r="C4" s="70">
        <v>10000.0</v>
      </c>
      <c r="D4" s="71">
        <v>0.01</v>
      </c>
      <c r="E4" s="72">
        <f t="shared" ref="E4:E1003" si="1">C4*D4</f>
        <v>100</v>
      </c>
      <c r="F4" s="72">
        <f t="shared" ref="F4:F1003" si="2">C4+E4</f>
        <v>10100</v>
      </c>
      <c r="G4" s="73">
        <v>100.0</v>
      </c>
      <c r="H4" s="74"/>
      <c r="I4" s="75" t="str">
        <f>H4</f>
        <v/>
      </c>
      <c r="J4" s="76">
        <v>100.0</v>
      </c>
      <c r="K4" s="77" t="str">
        <f t="shared" ref="K4:K1003" si="3">IF(H4="",,I4-J4)</f>
        <v/>
      </c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</row>
    <row r="5">
      <c r="A5" s="68" t="s">
        <v>2080</v>
      </c>
      <c r="B5" s="69"/>
      <c r="C5" s="72">
        <f t="shared" ref="C5:C1003" si="4">F4</f>
        <v>10100</v>
      </c>
      <c r="D5" s="71">
        <v>0.01</v>
      </c>
      <c r="E5" s="72">
        <f t="shared" si="1"/>
        <v>101</v>
      </c>
      <c r="F5" s="72">
        <f t="shared" si="2"/>
        <v>10201</v>
      </c>
      <c r="G5" s="79" t="str">
        <f t="shared" ref="G5:G1003" si="5">IF(K4="",,E5-K4)</f>
        <v/>
      </c>
      <c r="H5" s="74"/>
      <c r="I5" s="75" t="str">
        <f t="shared" ref="I5:I1003" si="6">IF(H5="",,H5+I4)</f>
        <v/>
      </c>
      <c r="J5" s="80">
        <f t="shared" ref="J5:J1003" si="7">E5+J4</f>
        <v>201</v>
      </c>
      <c r="K5" s="77" t="str">
        <f t="shared" si="3"/>
        <v/>
      </c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</row>
    <row r="6">
      <c r="A6" s="68" t="s">
        <v>2081</v>
      </c>
      <c r="B6" s="69"/>
      <c r="C6" s="72">
        <f t="shared" si="4"/>
        <v>10201</v>
      </c>
      <c r="D6" s="71">
        <v>0.01</v>
      </c>
      <c r="E6" s="72">
        <f t="shared" si="1"/>
        <v>102.01</v>
      </c>
      <c r="F6" s="72">
        <f t="shared" si="2"/>
        <v>10303.01</v>
      </c>
      <c r="G6" s="79" t="str">
        <f t="shared" si="5"/>
        <v/>
      </c>
      <c r="H6" s="74"/>
      <c r="I6" s="75" t="str">
        <f t="shared" si="6"/>
        <v/>
      </c>
      <c r="J6" s="80">
        <f t="shared" si="7"/>
        <v>303.01</v>
      </c>
      <c r="K6" s="77" t="str">
        <f t="shared" si="3"/>
        <v/>
      </c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</row>
    <row r="7">
      <c r="A7" s="68" t="s">
        <v>2082</v>
      </c>
      <c r="B7" s="69"/>
      <c r="C7" s="72">
        <f t="shared" si="4"/>
        <v>10303.01</v>
      </c>
      <c r="D7" s="71">
        <v>0.01</v>
      </c>
      <c r="E7" s="72">
        <f t="shared" si="1"/>
        <v>103.0301</v>
      </c>
      <c r="F7" s="72">
        <f t="shared" si="2"/>
        <v>10406.0401</v>
      </c>
      <c r="G7" s="79" t="str">
        <f t="shared" si="5"/>
        <v/>
      </c>
      <c r="H7" s="74"/>
      <c r="I7" s="75" t="str">
        <f t="shared" si="6"/>
        <v/>
      </c>
      <c r="J7" s="80">
        <f t="shared" si="7"/>
        <v>406.0401</v>
      </c>
      <c r="K7" s="77" t="str">
        <f t="shared" si="3"/>
        <v/>
      </c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</row>
    <row r="8">
      <c r="A8" s="68" t="s">
        <v>2083</v>
      </c>
      <c r="B8" s="69"/>
      <c r="C8" s="72">
        <f t="shared" si="4"/>
        <v>10406.0401</v>
      </c>
      <c r="D8" s="71">
        <v>0.01</v>
      </c>
      <c r="E8" s="72">
        <f t="shared" si="1"/>
        <v>104.060401</v>
      </c>
      <c r="F8" s="72">
        <f t="shared" si="2"/>
        <v>10510.1005</v>
      </c>
      <c r="G8" s="79" t="str">
        <f t="shared" si="5"/>
        <v/>
      </c>
      <c r="H8" s="74"/>
      <c r="I8" s="75" t="str">
        <f t="shared" si="6"/>
        <v/>
      </c>
      <c r="J8" s="80">
        <f t="shared" si="7"/>
        <v>510.100501</v>
      </c>
      <c r="K8" s="77" t="str">
        <f t="shared" si="3"/>
        <v/>
      </c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</row>
    <row r="9">
      <c r="A9" s="68" t="s">
        <v>2084</v>
      </c>
      <c r="B9" s="69"/>
      <c r="C9" s="72">
        <f t="shared" si="4"/>
        <v>10510.1005</v>
      </c>
      <c r="D9" s="71">
        <v>0.01</v>
      </c>
      <c r="E9" s="72">
        <f t="shared" si="1"/>
        <v>105.101005</v>
      </c>
      <c r="F9" s="72">
        <f t="shared" si="2"/>
        <v>10615.20151</v>
      </c>
      <c r="G9" s="79" t="str">
        <f t="shared" si="5"/>
        <v/>
      </c>
      <c r="H9" s="81"/>
      <c r="I9" s="75" t="str">
        <f t="shared" si="6"/>
        <v/>
      </c>
      <c r="J9" s="80">
        <f t="shared" si="7"/>
        <v>615.201506</v>
      </c>
      <c r="K9" s="77" t="str">
        <f t="shared" si="3"/>
        <v/>
      </c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</row>
    <row r="10">
      <c r="A10" s="68" t="s">
        <v>2085</v>
      </c>
      <c r="B10" s="69"/>
      <c r="C10" s="72">
        <f t="shared" si="4"/>
        <v>10615.20151</v>
      </c>
      <c r="D10" s="71">
        <v>0.01</v>
      </c>
      <c r="E10" s="72">
        <f t="shared" si="1"/>
        <v>106.1520151</v>
      </c>
      <c r="F10" s="72">
        <f t="shared" si="2"/>
        <v>10721.35352</v>
      </c>
      <c r="G10" s="79" t="str">
        <f t="shared" si="5"/>
        <v/>
      </c>
      <c r="H10" s="81"/>
      <c r="I10" s="75" t="str">
        <f t="shared" si="6"/>
        <v/>
      </c>
      <c r="J10" s="80">
        <f t="shared" si="7"/>
        <v>721.3535211</v>
      </c>
      <c r="K10" s="77" t="str">
        <f t="shared" si="3"/>
        <v/>
      </c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</row>
    <row r="11">
      <c r="A11" s="68" t="s">
        <v>2086</v>
      </c>
      <c r="B11" s="69"/>
      <c r="C11" s="72">
        <f t="shared" si="4"/>
        <v>10721.35352</v>
      </c>
      <c r="D11" s="71">
        <v>0.01</v>
      </c>
      <c r="E11" s="72">
        <f t="shared" si="1"/>
        <v>107.2135352</v>
      </c>
      <c r="F11" s="72">
        <f t="shared" si="2"/>
        <v>10828.56706</v>
      </c>
      <c r="G11" s="79" t="str">
        <f t="shared" si="5"/>
        <v/>
      </c>
      <c r="H11" s="81"/>
      <c r="I11" s="75" t="str">
        <f t="shared" si="6"/>
        <v/>
      </c>
      <c r="J11" s="80">
        <f t="shared" si="7"/>
        <v>828.5670563</v>
      </c>
      <c r="K11" s="77" t="str">
        <f t="shared" si="3"/>
        <v/>
      </c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</row>
    <row r="12">
      <c r="A12" s="68" t="s">
        <v>2087</v>
      </c>
      <c r="B12" s="69"/>
      <c r="C12" s="72">
        <f t="shared" si="4"/>
        <v>10828.56706</v>
      </c>
      <c r="D12" s="71">
        <v>0.01</v>
      </c>
      <c r="E12" s="72">
        <f t="shared" si="1"/>
        <v>108.2856706</v>
      </c>
      <c r="F12" s="72">
        <f t="shared" si="2"/>
        <v>10936.85273</v>
      </c>
      <c r="G12" s="79" t="str">
        <f t="shared" si="5"/>
        <v/>
      </c>
      <c r="H12" s="81"/>
      <c r="I12" s="75" t="str">
        <f t="shared" si="6"/>
        <v/>
      </c>
      <c r="J12" s="80">
        <f t="shared" si="7"/>
        <v>936.8527268</v>
      </c>
      <c r="K12" s="77" t="str">
        <f t="shared" si="3"/>
        <v/>
      </c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</row>
    <row r="13">
      <c r="A13" s="68" t="s">
        <v>2088</v>
      </c>
      <c r="B13" s="69"/>
      <c r="C13" s="72">
        <f t="shared" si="4"/>
        <v>10936.85273</v>
      </c>
      <c r="D13" s="71">
        <v>0.01</v>
      </c>
      <c r="E13" s="72">
        <f t="shared" si="1"/>
        <v>109.3685273</v>
      </c>
      <c r="F13" s="72">
        <f t="shared" si="2"/>
        <v>11046.22125</v>
      </c>
      <c r="G13" s="79" t="str">
        <f t="shared" si="5"/>
        <v/>
      </c>
      <c r="H13" s="81"/>
      <c r="I13" s="75" t="str">
        <f t="shared" si="6"/>
        <v/>
      </c>
      <c r="J13" s="80">
        <f t="shared" si="7"/>
        <v>1046.221254</v>
      </c>
      <c r="K13" s="77" t="str">
        <f t="shared" si="3"/>
        <v/>
      </c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</row>
    <row r="14">
      <c r="A14" s="68" t="s">
        <v>2089</v>
      </c>
      <c r="B14" s="69"/>
      <c r="C14" s="72">
        <f t="shared" si="4"/>
        <v>11046.22125</v>
      </c>
      <c r="D14" s="71">
        <v>0.01</v>
      </c>
      <c r="E14" s="72">
        <f t="shared" si="1"/>
        <v>110.4622125</v>
      </c>
      <c r="F14" s="72">
        <f t="shared" si="2"/>
        <v>11156.68347</v>
      </c>
      <c r="G14" s="79" t="str">
        <f t="shared" si="5"/>
        <v/>
      </c>
      <c r="H14" s="81"/>
      <c r="I14" s="75" t="str">
        <f t="shared" si="6"/>
        <v/>
      </c>
      <c r="J14" s="80">
        <f t="shared" si="7"/>
        <v>1156.683467</v>
      </c>
      <c r="K14" s="77" t="str">
        <f t="shared" si="3"/>
        <v/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</row>
    <row r="15">
      <c r="A15" s="68" t="s">
        <v>2090</v>
      </c>
      <c r="B15" s="69"/>
      <c r="C15" s="72">
        <f t="shared" si="4"/>
        <v>11156.68347</v>
      </c>
      <c r="D15" s="71">
        <v>0.01</v>
      </c>
      <c r="E15" s="72">
        <f t="shared" si="1"/>
        <v>111.5668347</v>
      </c>
      <c r="F15" s="72">
        <f t="shared" si="2"/>
        <v>11268.2503</v>
      </c>
      <c r="G15" s="79" t="str">
        <f t="shared" si="5"/>
        <v/>
      </c>
      <c r="H15" s="81"/>
      <c r="I15" s="75" t="str">
        <f t="shared" si="6"/>
        <v/>
      </c>
      <c r="J15" s="80">
        <f t="shared" si="7"/>
        <v>1268.250301</v>
      </c>
      <c r="K15" s="77" t="str">
        <f t="shared" si="3"/>
        <v/>
      </c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</row>
    <row r="16">
      <c r="A16" s="68" t="s">
        <v>2091</v>
      </c>
      <c r="B16" s="69"/>
      <c r="C16" s="72">
        <f t="shared" si="4"/>
        <v>11268.2503</v>
      </c>
      <c r="D16" s="71">
        <v>0.01</v>
      </c>
      <c r="E16" s="72">
        <f t="shared" si="1"/>
        <v>112.682503</v>
      </c>
      <c r="F16" s="72">
        <f t="shared" si="2"/>
        <v>11380.9328</v>
      </c>
      <c r="G16" s="79" t="str">
        <f t="shared" si="5"/>
        <v/>
      </c>
      <c r="H16" s="81"/>
      <c r="I16" s="75" t="str">
        <f t="shared" si="6"/>
        <v/>
      </c>
      <c r="J16" s="80">
        <f t="shared" si="7"/>
        <v>1380.932804</v>
      </c>
      <c r="K16" s="77" t="str">
        <f t="shared" si="3"/>
        <v/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</row>
    <row r="17">
      <c r="A17" s="68" t="s">
        <v>2092</v>
      </c>
      <c r="B17" s="69"/>
      <c r="C17" s="72">
        <f t="shared" si="4"/>
        <v>11380.9328</v>
      </c>
      <c r="D17" s="71">
        <v>0.01</v>
      </c>
      <c r="E17" s="72">
        <f t="shared" si="1"/>
        <v>113.809328</v>
      </c>
      <c r="F17" s="72">
        <f t="shared" si="2"/>
        <v>11494.74213</v>
      </c>
      <c r="G17" s="79" t="str">
        <f t="shared" si="5"/>
        <v/>
      </c>
      <c r="H17" s="81"/>
      <c r="I17" s="75" t="str">
        <f t="shared" si="6"/>
        <v/>
      </c>
      <c r="J17" s="80">
        <f t="shared" si="7"/>
        <v>1494.742132</v>
      </c>
      <c r="K17" s="77" t="str">
        <f t="shared" si="3"/>
        <v/>
      </c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</row>
    <row r="18">
      <c r="A18" s="68" t="s">
        <v>2093</v>
      </c>
      <c r="B18" s="69"/>
      <c r="C18" s="72">
        <f t="shared" si="4"/>
        <v>11494.74213</v>
      </c>
      <c r="D18" s="71">
        <v>0.01</v>
      </c>
      <c r="E18" s="72">
        <f t="shared" si="1"/>
        <v>114.9474213</v>
      </c>
      <c r="F18" s="72">
        <f t="shared" si="2"/>
        <v>11609.68955</v>
      </c>
      <c r="G18" s="79" t="str">
        <f t="shared" si="5"/>
        <v/>
      </c>
      <c r="H18" s="81"/>
      <c r="I18" s="75" t="str">
        <f t="shared" si="6"/>
        <v/>
      </c>
      <c r="J18" s="80">
        <f t="shared" si="7"/>
        <v>1609.689554</v>
      </c>
      <c r="K18" s="77" t="str">
        <f t="shared" si="3"/>
        <v/>
      </c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</row>
    <row r="19">
      <c r="A19" s="68" t="s">
        <v>2094</v>
      </c>
      <c r="B19" s="69"/>
      <c r="C19" s="72">
        <f t="shared" si="4"/>
        <v>11609.68955</v>
      </c>
      <c r="D19" s="71">
        <v>0.01</v>
      </c>
      <c r="E19" s="72">
        <f t="shared" si="1"/>
        <v>116.0968955</v>
      </c>
      <c r="F19" s="72">
        <f t="shared" si="2"/>
        <v>11725.78645</v>
      </c>
      <c r="G19" s="79" t="str">
        <f t="shared" si="5"/>
        <v/>
      </c>
      <c r="H19" s="81"/>
      <c r="I19" s="75" t="str">
        <f t="shared" si="6"/>
        <v/>
      </c>
      <c r="J19" s="80">
        <f t="shared" si="7"/>
        <v>1725.786449</v>
      </c>
      <c r="K19" s="77" t="str">
        <f t="shared" si="3"/>
        <v/>
      </c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>
      <c r="A20" s="68" t="s">
        <v>2095</v>
      </c>
      <c r="B20" s="69"/>
      <c r="C20" s="72">
        <f t="shared" si="4"/>
        <v>11725.78645</v>
      </c>
      <c r="D20" s="71">
        <v>0.01</v>
      </c>
      <c r="E20" s="72">
        <f t="shared" si="1"/>
        <v>117.2578645</v>
      </c>
      <c r="F20" s="72">
        <f t="shared" si="2"/>
        <v>11843.04431</v>
      </c>
      <c r="G20" s="79" t="str">
        <f t="shared" si="5"/>
        <v/>
      </c>
      <c r="H20" s="81"/>
      <c r="I20" s="75" t="str">
        <f t="shared" si="6"/>
        <v/>
      </c>
      <c r="J20" s="80">
        <f t="shared" si="7"/>
        <v>1843.044314</v>
      </c>
      <c r="K20" s="77" t="str">
        <f t="shared" si="3"/>
        <v/>
      </c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ht="15.75" customHeight="1">
      <c r="A21" s="68" t="s">
        <v>2096</v>
      </c>
      <c r="B21" s="69"/>
      <c r="C21" s="72">
        <f t="shared" si="4"/>
        <v>11843.04431</v>
      </c>
      <c r="D21" s="71">
        <v>0.01</v>
      </c>
      <c r="E21" s="72">
        <f t="shared" si="1"/>
        <v>118.4304431</v>
      </c>
      <c r="F21" s="72">
        <f t="shared" si="2"/>
        <v>11961.47476</v>
      </c>
      <c r="G21" s="79" t="str">
        <f t="shared" si="5"/>
        <v/>
      </c>
      <c r="H21" s="81"/>
      <c r="I21" s="75" t="str">
        <f t="shared" si="6"/>
        <v/>
      </c>
      <c r="J21" s="80">
        <f t="shared" si="7"/>
        <v>1961.474757</v>
      </c>
      <c r="K21" s="77" t="str">
        <f t="shared" si="3"/>
        <v/>
      </c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ht="15.75" customHeight="1">
      <c r="A22" s="68" t="s">
        <v>2097</v>
      </c>
      <c r="B22" s="69"/>
      <c r="C22" s="72">
        <f t="shared" si="4"/>
        <v>11961.47476</v>
      </c>
      <c r="D22" s="71">
        <v>0.01</v>
      </c>
      <c r="E22" s="72">
        <f t="shared" si="1"/>
        <v>119.6147476</v>
      </c>
      <c r="F22" s="72">
        <f t="shared" si="2"/>
        <v>12081.0895</v>
      </c>
      <c r="G22" s="79" t="str">
        <f t="shared" si="5"/>
        <v/>
      </c>
      <c r="H22" s="81"/>
      <c r="I22" s="75" t="str">
        <f t="shared" si="6"/>
        <v/>
      </c>
      <c r="J22" s="80">
        <f t="shared" si="7"/>
        <v>2081.089504</v>
      </c>
      <c r="K22" s="77" t="str">
        <f t="shared" si="3"/>
        <v/>
      </c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ht="15.75" customHeight="1">
      <c r="A23" s="68" t="s">
        <v>2098</v>
      </c>
      <c r="B23" s="69"/>
      <c r="C23" s="72">
        <f t="shared" si="4"/>
        <v>12081.0895</v>
      </c>
      <c r="D23" s="71">
        <v>0.01</v>
      </c>
      <c r="E23" s="72">
        <f t="shared" si="1"/>
        <v>120.810895</v>
      </c>
      <c r="F23" s="72">
        <f t="shared" si="2"/>
        <v>12201.9004</v>
      </c>
      <c r="G23" s="79" t="str">
        <f t="shared" si="5"/>
        <v/>
      </c>
      <c r="H23" s="81"/>
      <c r="I23" s="75" t="str">
        <f t="shared" si="6"/>
        <v/>
      </c>
      <c r="J23" s="80">
        <f t="shared" si="7"/>
        <v>2201.900399</v>
      </c>
      <c r="K23" s="77" t="str">
        <f t="shared" si="3"/>
        <v/>
      </c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ht="15.75" customHeight="1">
      <c r="A24" s="68" t="s">
        <v>2099</v>
      </c>
      <c r="B24" s="69"/>
      <c r="C24" s="72">
        <f t="shared" si="4"/>
        <v>12201.9004</v>
      </c>
      <c r="D24" s="71">
        <v>0.01</v>
      </c>
      <c r="E24" s="72">
        <f t="shared" si="1"/>
        <v>122.019004</v>
      </c>
      <c r="F24" s="72">
        <f t="shared" si="2"/>
        <v>12323.9194</v>
      </c>
      <c r="G24" s="79" t="str">
        <f t="shared" si="5"/>
        <v/>
      </c>
      <c r="H24" s="81"/>
      <c r="I24" s="75" t="str">
        <f t="shared" si="6"/>
        <v/>
      </c>
      <c r="J24" s="80">
        <f t="shared" si="7"/>
        <v>2323.919403</v>
      </c>
      <c r="K24" s="77" t="str">
        <f t="shared" si="3"/>
        <v/>
      </c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ht="15.75" customHeight="1">
      <c r="A25" s="68" t="s">
        <v>2100</v>
      </c>
      <c r="B25" s="69"/>
      <c r="C25" s="72">
        <f t="shared" si="4"/>
        <v>12323.9194</v>
      </c>
      <c r="D25" s="71">
        <v>0.01</v>
      </c>
      <c r="E25" s="72">
        <f t="shared" si="1"/>
        <v>123.239194</v>
      </c>
      <c r="F25" s="72">
        <f t="shared" si="2"/>
        <v>12447.1586</v>
      </c>
      <c r="G25" s="79" t="str">
        <f t="shared" si="5"/>
        <v/>
      </c>
      <c r="H25" s="81"/>
      <c r="I25" s="75" t="str">
        <f t="shared" si="6"/>
        <v/>
      </c>
      <c r="J25" s="80">
        <f t="shared" si="7"/>
        <v>2447.158598</v>
      </c>
      <c r="K25" s="77" t="str">
        <f t="shared" si="3"/>
        <v/>
      </c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ht="15.75" customHeight="1">
      <c r="A26" s="68" t="s">
        <v>2101</v>
      </c>
      <c r="B26" s="69"/>
      <c r="C26" s="72">
        <f t="shared" si="4"/>
        <v>12447.1586</v>
      </c>
      <c r="D26" s="71">
        <v>0.01</v>
      </c>
      <c r="E26" s="72">
        <f t="shared" si="1"/>
        <v>124.471586</v>
      </c>
      <c r="F26" s="72">
        <f t="shared" si="2"/>
        <v>12571.63018</v>
      </c>
      <c r="G26" s="79" t="str">
        <f t="shared" si="5"/>
        <v/>
      </c>
      <c r="H26" s="81"/>
      <c r="I26" s="75" t="str">
        <f t="shared" si="6"/>
        <v/>
      </c>
      <c r="J26" s="80">
        <f t="shared" si="7"/>
        <v>2571.630183</v>
      </c>
      <c r="K26" s="77" t="str">
        <f t="shared" si="3"/>
        <v/>
      </c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ht="15.75" customHeight="1">
      <c r="A27" s="68" t="s">
        <v>2102</v>
      </c>
      <c r="B27" s="69"/>
      <c r="C27" s="72">
        <f t="shared" si="4"/>
        <v>12571.63018</v>
      </c>
      <c r="D27" s="71">
        <v>0.01</v>
      </c>
      <c r="E27" s="72">
        <f t="shared" si="1"/>
        <v>125.7163018</v>
      </c>
      <c r="F27" s="72">
        <f t="shared" si="2"/>
        <v>12697.34649</v>
      </c>
      <c r="G27" s="79" t="str">
        <f t="shared" si="5"/>
        <v/>
      </c>
      <c r="H27" s="81"/>
      <c r="I27" s="75" t="str">
        <f t="shared" si="6"/>
        <v/>
      </c>
      <c r="J27" s="80">
        <f t="shared" si="7"/>
        <v>2697.346485</v>
      </c>
      <c r="K27" s="77" t="str">
        <f t="shared" si="3"/>
        <v/>
      </c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ht="15.75" customHeight="1">
      <c r="A28" s="68" t="s">
        <v>2103</v>
      </c>
      <c r="B28" s="69"/>
      <c r="C28" s="72">
        <f t="shared" si="4"/>
        <v>12697.34649</v>
      </c>
      <c r="D28" s="71">
        <v>0.01</v>
      </c>
      <c r="E28" s="72">
        <f t="shared" si="1"/>
        <v>126.9734649</v>
      </c>
      <c r="F28" s="72">
        <f t="shared" si="2"/>
        <v>12824.31995</v>
      </c>
      <c r="G28" s="79" t="str">
        <f t="shared" si="5"/>
        <v/>
      </c>
      <c r="H28" s="81"/>
      <c r="I28" s="75" t="str">
        <f t="shared" si="6"/>
        <v/>
      </c>
      <c r="J28" s="80">
        <f t="shared" si="7"/>
        <v>2824.31995</v>
      </c>
      <c r="K28" s="77" t="str">
        <f t="shared" si="3"/>
        <v/>
      </c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ht="15.75" customHeight="1">
      <c r="A29" s="68" t="s">
        <v>2104</v>
      </c>
      <c r="B29" s="69"/>
      <c r="C29" s="72">
        <f t="shared" si="4"/>
        <v>12824.31995</v>
      </c>
      <c r="D29" s="71">
        <v>0.01</v>
      </c>
      <c r="E29" s="72">
        <f t="shared" si="1"/>
        <v>128.2431995</v>
      </c>
      <c r="F29" s="72">
        <f t="shared" si="2"/>
        <v>12952.56315</v>
      </c>
      <c r="G29" s="79" t="str">
        <f t="shared" si="5"/>
        <v/>
      </c>
      <c r="H29" s="81"/>
      <c r="I29" s="75" t="str">
        <f t="shared" si="6"/>
        <v/>
      </c>
      <c r="J29" s="80">
        <f t="shared" si="7"/>
        <v>2952.56315</v>
      </c>
      <c r="K29" s="77" t="str">
        <f t="shared" si="3"/>
        <v/>
      </c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ht="15.75" customHeight="1">
      <c r="A30" s="68" t="s">
        <v>2105</v>
      </c>
      <c r="B30" s="69"/>
      <c r="C30" s="72">
        <f t="shared" si="4"/>
        <v>12952.56315</v>
      </c>
      <c r="D30" s="71">
        <v>0.01</v>
      </c>
      <c r="E30" s="72">
        <f t="shared" si="1"/>
        <v>129.5256315</v>
      </c>
      <c r="F30" s="72">
        <f t="shared" si="2"/>
        <v>13082.08878</v>
      </c>
      <c r="G30" s="79" t="str">
        <f t="shared" si="5"/>
        <v/>
      </c>
      <c r="H30" s="81"/>
      <c r="I30" s="75" t="str">
        <f t="shared" si="6"/>
        <v/>
      </c>
      <c r="J30" s="80">
        <f t="shared" si="7"/>
        <v>3082.088781</v>
      </c>
      <c r="K30" s="77" t="str">
        <f t="shared" si="3"/>
        <v/>
      </c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ht="15.75" customHeight="1">
      <c r="A31" s="68" t="s">
        <v>2106</v>
      </c>
      <c r="B31" s="69"/>
      <c r="C31" s="72">
        <f t="shared" si="4"/>
        <v>13082.08878</v>
      </c>
      <c r="D31" s="71">
        <v>0.01</v>
      </c>
      <c r="E31" s="72">
        <f t="shared" si="1"/>
        <v>130.8208878</v>
      </c>
      <c r="F31" s="72">
        <f t="shared" si="2"/>
        <v>13212.90967</v>
      </c>
      <c r="G31" s="79" t="str">
        <f t="shared" si="5"/>
        <v/>
      </c>
      <c r="H31" s="81"/>
      <c r="I31" s="75" t="str">
        <f t="shared" si="6"/>
        <v/>
      </c>
      <c r="J31" s="80">
        <f t="shared" si="7"/>
        <v>3212.909669</v>
      </c>
      <c r="K31" s="77" t="str">
        <f t="shared" si="3"/>
        <v/>
      </c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ht="15.75" customHeight="1">
      <c r="A32" s="68" t="s">
        <v>2107</v>
      </c>
      <c r="B32" s="69"/>
      <c r="C32" s="72">
        <f t="shared" si="4"/>
        <v>13212.90967</v>
      </c>
      <c r="D32" s="71">
        <v>0.01</v>
      </c>
      <c r="E32" s="72">
        <f t="shared" si="1"/>
        <v>132.1290967</v>
      </c>
      <c r="F32" s="72">
        <f t="shared" si="2"/>
        <v>13345.03877</v>
      </c>
      <c r="G32" s="79" t="str">
        <f t="shared" si="5"/>
        <v/>
      </c>
      <c r="H32" s="81"/>
      <c r="I32" s="75" t="str">
        <f t="shared" si="6"/>
        <v/>
      </c>
      <c r="J32" s="80">
        <f t="shared" si="7"/>
        <v>3345.038766</v>
      </c>
      <c r="K32" s="77" t="str">
        <f t="shared" si="3"/>
        <v/>
      </c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ht="15.75" customHeight="1">
      <c r="A33" s="68" t="s">
        <v>2108</v>
      </c>
      <c r="B33" s="69"/>
      <c r="C33" s="72">
        <f t="shared" si="4"/>
        <v>13345.03877</v>
      </c>
      <c r="D33" s="71">
        <v>0.01</v>
      </c>
      <c r="E33" s="72">
        <f t="shared" si="1"/>
        <v>133.4503877</v>
      </c>
      <c r="F33" s="72">
        <f t="shared" si="2"/>
        <v>13478.48915</v>
      </c>
      <c r="G33" s="79" t="str">
        <f t="shared" si="5"/>
        <v/>
      </c>
      <c r="H33" s="81"/>
      <c r="I33" s="75" t="str">
        <f t="shared" si="6"/>
        <v/>
      </c>
      <c r="J33" s="80">
        <f t="shared" si="7"/>
        <v>3478.489153</v>
      </c>
      <c r="K33" s="77" t="str">
        <f t="shared" si="3"/>
        <v/>
      </c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ht="15.75" customHeight="1">
      <c r="A34" s="68" t="s">
        <v>2109</v>
      </c>
      <c r="B34" s="69"/>
      <c r="C34" s="72">
        <f t="shared" si="4"/>
        <v>13478.48915</v>
      </c>
      <c r="D34" s="71">
        <v>0.01</v>
      </c>
      <c r="E34" s="72">
        <f t="shared" si="1"/>
        <v>134.7848915</v>
      </c>
      <c r="F34" s="72">
        <f t="shared" si="2"/>
        <v>13613.27404</v>
      </c>
      <c r="G34" s="79" t="str">
        <f t="shared" si="5"/>
        <v/>
      </c>
      <c r="H34" s="81"/>
      <c r="I34" s="75" t="str">
        <f t="shared" si="6"/>
        <v/>
      </c>
      <c r="J34" s="80">
        <f t="shared" si="7"/>
        <v>3613.274045</v>
      </c>
      <c r="K34" s="77" t="str">
        <f t="shared" si="3"/>
        <v/>
      </c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</row>
    <row r="35" ht="15.75" customHeight="1">
      <c r="A35" s="68" t="s">
        <v>2110</v>
      </c>
      <c r="B35" s="69"/>
      <c r="C35" s="72">
        <f t="shared" si="4"/>
        <v>13613.27404</v>
      </c>
      <c r="D35" s="71">
        <v>0.01</v>
      </c>
      <c r="E35" s="72">
        <f t="shared" si="1"/>
        <v>136.1327404</v>
      </c>
      <c r="F35" s="72">
        <f t="shared" si="2"/>
        <v>13749.40679</v>
      </c>
      <c r="G35" s="79" t="str">
        <f t="shared" si="5"/>
        <v/>
      </c>
      <c r="H35" s="81"/>
      <c r="I35" s="75" t="str">
        <f t="shared" si="6"/>
        <v/>
      </c>
      <c r="J35" s="80">
        <f t="shared" si="7"/>
        <v>3749.406785</v>
      </c>
      <c r="K35" s="77" t="str">
        <f t="shared" si="3"/>
        <v/>
      </c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</row>
    <row r="36" ht="15.75" customHeight="1">
      <c r="A36" s="68" t="s">
        <v>2111</v>
      </c>
      <c r="B36" s="69"/>
      <c r="C36" s="72">
        <f t="shared" si="4"/>
        <v>13749.40679</v>
      </c>
      <c r="D36" s="71">
        <v>0.01</v>
      </c>
      <c r="E36" s="72">
        <f t="shared" si="1"/>
        <v>137.4940679</v>
      </c>
      <c r="F36" s="72">
        <f t="shared" si="2"/>
        <v>13886.90085</v>
      </c>
      <c r="G36" s="79" t="str">
        <f t="shared" si="5"/>
        <v/>
      </c>
      <c r="H36" s="81"/>
      <c r="I36" s="75" t="str">
        <f t="shared" si="6"/>
        <v/>
      </c>
      <c r="J36" s="80">
        <f t="shared" si="7"/>
        <v>3886.900853</v>
      </c>
      <c r="K36" s="77" t="str">
        <f t="shared" si="3"/>
        <v/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</row>
    <row r="37" ht="15.75" customHeight="1">
      <c r="A37" s="68" t="s">
        <v>2112</v>
      </c>
      <c r="B37" s="69"/>
      <c r="C37" s="72">
        <f t="shared" si="4"/>
        <v>13886.90085</v>
      </c>
      <c r="D37" s="71">
        <v>0.01</v>
      </c>
      <c r="E37" s="72">
        <f t="shared" si="1"/>
        <v>138.8690085</v>
      </c>
      <c r="F37" s="72">
        <f t="shared" si="2"/>
        <v>14025.76986</v>
      </c>
      <c r="G37" s="79" t="str">
        <f t="shared" si="5"/>
        <v/>
      </c>
      <c r="H37" s="81"/>
      <c r="I37" s="75" t="str">
        <f t="shared" si="6"/>
        <v/>
      </c>
      <c r="J37" s="80">
        <f t="shared" si="7"/>
        <v>4025.769862</v>
      </c>
      <c r="K37" s="77" t="str">
        <f t="shared" si="3"/>
        <v/>
      </c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</row>
    <row r="38" ht="15.75" customHeight="1">
      <c r="A38" s="68" t="s">
        <v>2113</v>
      </c>
      <c r="B38" s="69"/>
      <c r="C38" s="72">
        <f t="shared" si="4"/>
        <v>14025.76986</v>
      </c>
      <c r="D38" s="71">
        <v>0.01</v>
      </c>
      <c r="E38" s="72">
        <f t="shared" si="1"/>
        <v>140.2576986</v>
      </c>
      <c r="F38" s="72">
        <f t="shared" si="2"/>
        <v>14166.02756</v>
      </c>
      <c r="G38" s="79" t="str">
        <f t="shared" si="5"/>
        <v/>
      </c>
      <c r="H38" s="81"/>
      <c r="I38" s="75" t="str">
        <f t="shared" si="6"/>
        <v/>
      </c>
      <c r="J38" s="80">
        <f t="shared" si="7"/>
        <v>4166.02756</v>
      </c>
      <c r="K38" s="77" t="str">
        <f t="shared" si="3"/>
        <v/>
      </c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</row>
    <row r="39" ht="15.75" customHeight="1">
      <c r="A39" s="68" t="s">
        <v>2114</v>
      </c>
      <c r="B39" s="69"/>
      <c r="C39" s="72">
        <f t="shared" si="4"/>
        <v>14166.02756</v>
      </c>
      <c r="D39" s="71">
        <v>0.01</v>
      </c>
      <c r="E39" s="72">
        <f t="shared" si="1"/>
        <v>141.6602756</v>
      </c>
      <c r="F39" s="72">
        <f t="shared" si="2"/>
        <v>14307.68784</v>
      </c>
      <c r="G39" s="79" t="str">
        <f t="shared" si="5"/>
        <v/>
      </c>
      <c r="H39" s="81"/>
      <c r="I39" s="75" t="str">
        <f t="shared" si="6"/>
        <v/>
      </c>
      <c r="J39" s="80">
        <f t="shared" si="7"/>
        <v>4307.687836</v>
      </c>
      <c r="K39" s="77" t="str">
        <f t="shared" si="3"/>
        <v/>
      </c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</row>
    <row r="40" ht="15.75" customHeight="1">
      <c r="A40" s="68" t="s">
        <v>2115</v>
      </c>
      <c r="B40" s="69"/>
      <c r="C40" s="72">
        <f t="shared" si="4"/>
        <v>14307.68784</v>
      </c>
      <c r="D40" s="71">
        <v>0.01</v>
      </c>
      <c r="E40" s="72">
        <f t="shared" si="1"/>
        <v>143.0768784</v>
      </c>
      <c r="F40" s="72">
        <f t="shared" si="2"/>
        <v>14450.76471</v>
      </c>
      <c r="G40" s="79" t="str">
        <f t="shared" si="5"/>
        <v/>
      </c>
      <c r="H40" s="81"/>
      <c r="I40" s="75" t="str">
        <f t="shared" si="6"/>
        <v/>
      </c>
      <c r="J40" s="80">
        <f t="shared" si="7"/>
        <v>4450.764714</v>
      </c>
      <c r="K40" s="77" t="str">
        <f t="shared" si="3"/>
        <v/>
      </c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</row>
    <row r="41" ht="15.75" customHeight="1">
      <c r="A41" s="68" t="s">
        <v>2116</v>
      </c>
      <c r="B41" s="69"/>
      <c r="C41" s="72">
        <f t="shared" si="4"/>
        <v>14450.76471</v>
      </c>
      <c r="D41" s="71">
        <v>0.01</v>
      </c>
      <c r="E41" s="72">
        <f t="shared" si="1"/>
        <v>144.5076471</v>
      </c>
      <c r="F41" s="72">
        <f t="shared" si="2"/>
        <v>14595.27236</v>
      </c>
      <c r="G41" s="79" t="str">
        <f t="shared" si="5"/>
        <v/>
      </c>
      <c r="H41" s="81"/>
      <c r="I41" s="75" t="str">
        <f t="shared" si="6"/>
        <v/>
      </c>
      <c r="J41" s="80">
        <f t="shared" si="7"/>
        <v>4595.272361</v>
      </c>
      <c r="K41" s="77" t="str">
        <f t="shared" si="3"/>
        <v/>
      </c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</row>
    <row r="42" ht="15.75" customHeight="1">
      <c r="A42" s="68" t="s">
        <v>2117</v>
      </c>
      <c r="B42" s="69"/>
      <c r="C42" s="72">
        <f t="shared" si="4"/>
        <v>14595.27236</v>
      </c>
      <c r="D42" s="71">
        <v>0.01</v>
      </c>
      <c r="E42" s="72">
        <f t="shared" si="1"/>
        <v>145.9527236</v>
      </c>
      <c r="F42" s="72">
        <f t="shared" si="2"/>
        <v>14741.22509</v>
      </c>
      <c r="G42" s="79" t="str">
        <f t="shared" si="5"/>
        <v/>
      </c>
      <c r="H42" s="81"/>
      <c r="I42" s="75" t="str">
        <f t="shared" si="6"/>
        <v/>
      </c>
      <c r="J42" s="80">
        <f t="shared" si="7"/>
        <v>4741.225085</v>
      </c>
      <c r="K42" s="77" t="str">
        <f t="shared" si="3"/>
        <v/>
      </c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</row>
    <row r="43" ht="15.75" customHeight="1">
      <c r="A43" s="68" t="s">
        <v>2118</v>
      </c>
      <c r="B43" s="69"/>
      <c r="C43" s="72">
        <f t="shared" si="4"/>
        <v>14741.22509</v>
      </c>
      <c r="D43" s="71">
        <v>0.01</v>
      </c>
      <c r="E43" s="72">
        <f t="shared" si="1"/>
        <v>147.4122509</v>
      </c>
      <c r="F43" s="72">
        <f t="shared" si="2"/>
        <v>14888.63734</v>
      </c>
      <c r="G43" s="79" t="str">
        <f t="shared" si="5"/>
        <v/>
      </c>
      <c r="H43" s="81"/>
      <c r="I43" s="75" t="str">
        <f t="shared" si="6"/>
        <v/>
      </c>
      <c r="J43" s="80">
        <f t="shared" si="7"/>
        <v>4888.637336</v>
      </c>
      <c r="K43" s="77" t="str">
        <f t="shared" si="3"/>
        <v/>
      </c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</row>
    <row r="44" ht="15.75" customHeight="1">
      <c r="A44" s="68" t="s">
        <v>2119</v>
      </c>
      <c r="B44" s="69"/>
      <c r="C44" s="72">
        <f t="shared" si="4"/>
        <v>14888.63734</v>
      </c>
      <c r="D44" s="71">
        <v>0.01</v>
      </c>
      <c r="E44" s="72">
        <f t="shared" si="1"/>
        <v>148.8863734</v>
      </c>
      <c r="F44" s="72">
        <f t="shared" si="2"/>
        <v>15037.52371</v>
      </c>
      <c r="G44" s="79" t="str">
        <f t="shared" si="5"/>
        <v/>
      </c>
      <c r="H44" s="81"/>
      <c r="I44" s="75" t="str">
        <f t="shared" si="6"/>
        <v/>
      </c>
      <c r="J44" s="80">
        <f t="shared" si="7"/>
        <v>5037.523709</v>
      </c>
      <c r="K44" s="77" t="str">
        <f t="shared" si="3"/>
        <v/>
      </c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</row>
    <row r="45" ht="15.75" customHeight="1">
      <c r="A45" s="68" t="s">
        <v>2120</v>
      </c>
      <c r="B45" s="69"/>
      <c r="C45" s="72">
        <f t="shared" si="4"/>
        <v>15037.52371</v>
      </c>
      <c r="D45" s="71">
        <v>0.01</v>
      </c>
      <c r="E45" s="72">
        <f t="shared" si="1"/>
        <v>150.3752371</v>
      </c>
      <c r="F45" s="72">
        <f t="shared" si="2"/>
        <v>15187.89895</v>
      </c>
      <c r="G45" s="79" t="str">
        <f t="shared" si="5"/>
        <v/>
      </c>
      <c r="H45" s="81"/>
      <c r="I45" s="75" t="str">
        <f t="shared" si="6"/>
        <v/>
      </c>
      <c r="J45" s="80">
        <f t="shared" si="7"/>
        <v>5187.898946</v>
      </c>
      <c r="K45" s="77" t="str">
        <f t="shared" si="3"/>
        <v/>
      </c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</row>
    <row r="46" ht="15.75" customHeight="1">
      <c r="A46" s="68" t="s">
        <v>2121</v>
      </c>
      <c r="B46" s="69"/>
      <c r="C46" s="72">
        <f t="shared" si="4"/>
        <v>15187.89895</v>
      </c>
      <c r="D46" s="71">
        <v>0.01</v>
      </c>
      <c r="E46" s="72">
        <f t="shared" si="1"/>
        <v>151.8789895</v>
      </c>
      <c r="F46" s="72">
        <f t="shared" si="2"/>
        <v>15339.77794</v>
      </c>
      <c r="G46" s="79" t="str">
        <f t="shared" si="5"/>
        <v/>
      </c>
      <c r="H46" s="81"/>
      <c r="I46" s="75" t="str">
        <f t="shared" si="6"/>
        <v/>
      </c>
      <c r="J46" s="80">
        <f t="shared" si="7"/>
        <v>5339.777936</v>
      </c>
      <c r="K46" s="77" t="str">
        <f t="shared" si="3"/>
        <v/>
      </c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</row>
    <row r="47" ht="15.75" customHeight="1">
      <c r="A47" s="68" t="s">
        <v>2122</v>
      </c>
      <c r="B47" s="69"/>
      <c r="C47" s="72">
        <f t="shared" si="4"/>
        <v>15339.77794</v>
      </c>
      <c r="D47" s="71">
        <v>0.01</v>
      </c>
      <c r="E47" s="72">
        <f t="shared" si="1"/>
        <v>153.3977794</v>
      </c>
      <c r="F47" s="72">
        <f t="shared" si="2"/>
        <v>15493.17572</v>
      </c>
      <c r="G47" s="79" t="str">
        <f t="shared" si="5"/>
        <v/>
      </c>
      <c r="H47" s="81"/>
      <c r="I47" s="75" t="str">
        <f t="shared" si="6"/>
        <v/>
      </c>
      <c r="J47" s="80">
        <f t="shared" si="7"/>
        <v>5493.175715</v>
      </c>
      <c r="K47" s="77" t="str">
        <f t="shared" si="3"/>
        <v/>
      </c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</row>
    <row r="48" ht="15.75" customHeight="1">
      <c r="A48" s="68" t="s">
        <v>2123</v>
      </c>
      <c r="B48" s="69"/>
      <c r="C48" s="72">
        <f t="shared" si="4"/>
        <v>15493.17572</v>
      </c>
      <c r="D48" s="71">
        <v>0.01</v>
      </c>
      <c r="E48" s="72">
        <f t="shared" si="1"/>
        <v>154.9317572</v>
      </c>
      <c r="F48" s="72">
        <f t="shared" si="2"/>
        <v>15648.10747</v>
      </c>
      <c r="G48" s="79" t="str">
        <f t="shared" si="5"/>
        <v/>
      </c>
      <c r="H48" s="81"/>
      <c r="I48" s="75" t="str">
        <f t="shared" si="6"/>
        <v/>
      </c>
      <c r="J48" s="80">
        <f t="shared" si="7"/>
        <v>5648.107472</v>
      </c>
      <c r="K48" s="77" t="str">
        <f t="shared" si="3"/>
        <v/>
      </c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</row>
    <row r="49" ht="15.75" customHeight="1">
      <c r="A49" s="68" t="s">
        <v>2124</v>
      </c>
      <c r="B49" s="69"/>
      <c r="C49" s="72">
        <f t="shared" si="4"/>
        <v>15648.10747</v>
      </c>
      <c r="D49" s="71">
        <v>0.01</v>
      </c>
      <c r="E49" s="72">
        <f t="shared" si="1"/>
        <v>156.4810747</v>
      </c>
      <c r="F49" s="72">
        <f t="shared" si="2"/>
        <v>15804.58855</v>
      </c>
      <c r="G49" s="79" t="str">
        <f t="shared" si="5"/>
        <v/>
      </c>
      <c r="H49" s="81"/>
      <c r="I49" s="75" t="str">
        <f t="shared" si="6"/>
        <v/>
      </c>
      <c r="J49" s="80">
        <f t="shared" si="7"/>
        <v>5804.588547</v>
      </c>
      <c r="K49" s="77" t="str">
        <f t="shared" si="3"/>
        <v/>
      </c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</row>
    <row r="50" ht="15.75" customHeight="1">
      <c r="A50" s="68" t="s">
        <v>2125</v>
      </c>
      <c r="B50" s="69"/>
      <c r="C50" s="72">
        <f t="shared" si="4"/>
        <v>15804.58855</v>
      </c>
      <c r="D50" s="71">
        <v>0.01</v>
      </c>
      <c r="E50" s="72">
        <f t="shared" si="1"/>
        <v>158.0458855</v>
      </c>
      <c r="F50" s="72">
        <f t="shared" si="2"/>
        <v>15962.63443</v>
      </c>
      <c r="G50" s="79" t="str">
        <f t="shared" si="5"/>
        <v/>
      </c>
      <c r="H50" s="81"/>
      <c r="I50" s="75" t="str">
        <f t="shared" si="6"/>
        <v/>
      </c>
      <c r="J50" s="80">
        <f t="shared" si="7"/>
        <v>5962.634432</v>
      </c>
      <c r="K50" s="77" t="str">
        <f t="shared" si="3"/>
        <v/>
      </c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</row>
    <row r="51" ht="15.75" customHeight="1">
      <c r="A51" s="68" t="s">
        <v>2126</v>
      </c>
      <c r="B51" s="69"/>
      <c r="C51" s="72">
        <f t="shared" si="4"/>
        <v>15962.63443</v>
      </c>
      <c r="D51" s="71">
        <v>0.01</v>
      </c>
      <c r="E51" s="72">
        <f t="shared" si="1"/>
        <v>159.6263443</v>
      </c>
      <c r="F51" s="72">
        <f t="shared" si="2"/>
        <v>16122.26078</v>
      </c>
      <c r="G51" s="79" t="str">
        <f t="shared" si="5"/>
        <v/>
      </c>
      <c r="H51" s="81"/>
      <c r="I51" s="75" t="str">
        <f t="shared" si="6"/>
        <v/>
      </c>
      <c r="J51" s="80">
        <f t="shared" si="7"/>
        <v>6122.260777</v>
      </c>
      <c r="K51" s="77" t="str">
        <f t="shared" si="3"/>
        <v/>
      </c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</row>
    <row r="52" ht="15.75" customHeight="1">
      <c r="A52" s="68" t="s">
        <v>2127</v>
      </c>
      <c r="B52" s="69"/>
      <c r="C52" s="72">
        <f t="shared" si="4"/>
        <v>16122.26078</v>
      </c>
      <c r="D52" s="71">
        <v>0.01</v>
      </c>
      <c r="E52" s="72">
        <f t="shared" si="1"/>
        <v>161.2226078</v>
      </c>
      <c r="F52" s="72">
        <f t="shared" si="2"/>
        <v>16283.48338</v>
      </c>
      <c r="G52" s="79" t="str">
        <f t="shared" si="5"/>
        <v/>
      </c>
      <c r="H52" s="81"/>
      <c r="I52" s="75" t="str">
        <f t="shared" si="6"/>
        <v/>
      </c>
      <c r="J52" s="80">
        <f t="shared" si="7"/>
        <v>6283.483385</v>
      </c>
      <c r="K52" s="77" t="str">
        <f t="shared" si="3"/>
        <v/>
      </c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</row>
    <row r="53" ht="15.75" customHeight="1">
      <c r="A53" s="68" t="s">
        <v>2128</v>
      </c>
      <c r="B53" s="69"/>
      <c r="C53" s="72">
        <f t="shared" si="4"/>
        <v>16283.48338</v>
      </c>
      <c r="D53" s="71">
        <v>0.01</v>
      </c>
      <c r="E53" s="72">
        <f t="shared" si="1"/>
        <v>162.8348338</v>
      </c>
      <c r="F53" s="72">
        <f t="shared" si="2"/>
        <v>16446.31822</v>
      </c>
      <c r="G53" s="79" t="str">
        <f t="shared" si="5"/>
        <v/>
      </c>
      <c r="H53" s="81"/>
      <c r="I53" s="75" t="str">
        <f t="shared" si="6"/>
        <v/>
      </c>
      <c r="J53" s="80">
        <f t="shared" si="7"/>
        <v>6446.318218</v>
      </c>
      <c r="K53" s="77" t="str">
        <f t="shared" si="3"/>
        <v/>
      </c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</row>
    <row r="54" ht="15.75" customHeight="1">
      <c r="A54" s="68" t="s">
        <v>2129</v>
      </c>
      <c r="B54" s="69"/>
      <c r="C54" s="72">
        <f t="shared" si="4"/>
        <v>16446.31822</v>
      </c>
      <c r="D54" s="71">
        <v>0.01</v>
      </c>
      <c r="E54" s="72">
        <f t="shared" si="1"/>
        <v>164.4631822</v>
      </c>
      <c r="F54" s="72">
        <f t="shared" si="2"/>
        <v>16610.7814</v>
      </c>
      <c r="G54" s="79" t="str">
        <f t="shared" si="5"/>
        <v/>
      </c>
      <c r="H54" s="81"/>
      <c r="I54" s="75" t="str">
        <f t="shared" si="6"/>
        <v/>
      </c>
      <c r="J54" s="80">
        <f t="shared" si="7"/>
        <v>6610.781401</v>
      </c>
      <c r="K54" s="77" t="str">
        <f t="shared" si="3"/>
        <v/>
      </c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</row>
    <row r="55" ht="15.75" customHeight="1">
      <c r="A55" s="68" t="s">
        <v>2130</v>
      </c>
      <c r="B55" s="69"/>
      <c r="C55" s="72">
        <f t="shared" si="4"/>
        <v>16610.7814</v>
      </c>
      <c r="D55" s="71">
        <v>0.01</v>
      </c>
      <c r="E55" s="72">
        <f t="shared" si="1"/>
        <v>166.107814</v>
      </c>
      <c r="F55" s="72">
        <f t="shared" si="2"/>
        <v>16776.88921</v>
      </c>
      <c r="G55" s="79" t="str">
        <f t="shared" si="5"/>
        <v/>
      </c>
      <c r="H55" s="81"/>
      <c r="I55" s="75" t="str">
        <f t="shared" si="6"/>
        <v/>
      </c>
      <c r="J55" s="80">
        <f t="shared" si="7"/>
        <v>6776.889215</v>
      </c>
      <c r="K55" s="77" t="str">
        <f t="shared" si="3"/>
        <v/>
      </c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</row>
    <row r="56" ht="15.75" customHeight="1">
      <c r="A56" s="68" t="s">
        <v>2131</v>
      </c>
      <c r="B56" s="69"/>
      <c r="C56" s="72">
        <f t="shared" si="4"/>
        <v>16776.88921</v>
      </c>
      <c r="D56" s="71">
        <v>0.01</v>
      </c>
      <c r="E56" s="72">
        <f t="shared" si="1"/>
        <v>167.7688921</v>
      </c>
      <c r="F56" s="72">
        <f t="shared" si="2"/>
        <v>16944.65811</v>
      </c>
      <c r="G56" s="79" t="str">
        <f t="shared" si="5"/>
        <v/>
      </c>
      <c r="H56" s="81"/>
      <c r="I56" s="75" t="str">
        <f t="shared" si="6"/>
        <v/>
      </c>
      <c r="J56" s="80">
        <f t="shared" si="7"/>
        <v>6944.658107</v>
      </c>
      <c r="K56" s="77" t="str">
        <f t="shared" si="3"/>
        <v/>
      </c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ht="15.75" customHeight="1">
      <c r="A57" s="68" t="s">
        <v>2132</v>
      </c>
      <c r="B57" s="69"/>
      <c r="C57" s="72">
        <f t="shared" si="4"/>
        <v>16944.65811</v>
      </c>
      <c r="D57" s="71">
        <v>0.01</v>
      </c>
      <c r="E57" s="72">
        <f t="shared" si="1"/>
        <v>169.4465811</v>
      </c>
      <c r="F57" s="72">
        <f t="shared" si="2"/>
        <v>17114.10469</v>
      </c>
      <c r="G57" s="79" t="str">
        <f t="shared" si="5"/>
        <v/>
      </c>
      <c r="H57" s="81"/>
      <c r="I57" s="75" t="str">
        <f t="shared" si="6"/>
        <v/>
      </c>
      <c r="J57" s="80">
        <f t="shared" si="7"/>
        <v>7114.104688</v>
      </c>
      <c r="K57" s="77" t="str">
        <f t="shared" si="3"/>
        <v/>
      </c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</row>
    <row r="58" ht="15.75" customHeight="1">
      <c r="A58" s="68" t="s">
        <v>2133</v>
      </c>
      <c r="B58" s="69"/>
      <c r="C58" s="72">
        <f t="shared" si="4"/>
        <v>17114.10469</v>
      </c>
      <c r="D58" s="71">
        <v>0.01</v>
      </c>
      <c r="E58" s="72">
        <f t="shared" si="1"/>
        <v>171.1410469</v>
      </c>
      <c r="F58" s="72">
        <f t="shared" si="2"/>
        <v>17285.24573</v>
      </c>
      <c r="G58" s="79" t="str">
        <f t="shared" si="5"/>
        <v/>
      </c>
      <c r="H58" s="81"/>
      <c r="I58" s="75" t="str">
        <f t="shared" si="6"/>
        <v/>
      </c>
      <c r="J58" s="80">
        <f t="shared" si="7"/>
        <v>7285.245735</v>
      </c>
      <c r="K58" s="77" t="str">
        <f t="shared" si="3"/>
        <v/>
      </c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</row>
    <row r="59" ht="15.75" customHeight="1">
      <c r="A59" s="68" t="s">
        <v>2134</v>
      </c>
      <c r="B59" s="69"/>
      <c r="C59" s="72">
        <f t="shared" si="4"/>
        <v>17285.24573</v>
      </c>
      <c r="D59" s="71">
        <v>0.01</v>
      </c>
      <c r="E59" s="72">
        <f t="shared" si="1"/>
        <v>172.8524573</v>
      </c>
      <c r="F59" s="72">
        <f t="shared" si="2"/>
        <v>17458.09819</v>
      </c>
      <c r="G59" s="79" t="str">
        <f t="shared" si="5"/>
        <v/>
      </c>
      <c r="H59" s="81"/>
      <c r="I59" s="75" t="str">
        <f t="shared" si="6"/>
        <v/>
      </c>
      <c r="J59" s="80">
        <f t="shared" si="7"/>
        <v>7458.098192</v>
      </c>
      <c r="K59" s="77" t="str">
        <f t="shared" si="3"/>
        <v/>
      </c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</row>
    <row r="60" ht="15.75" customHeight="1">
      <c r="A60" s="68" t="s">
        <v>2135</v>
      </c>
      <c r="B60" s="69"/>
      <c r="C60" s="72">
        <f t="shared" si="4"/>
        <v>17458.09819</v>
      </c>
      <c r="D60" s="71">
        <v>0.01</v>
      </c>
      <c r="E60" s="72">
        <f t="shared" si="1"/>
        <v>174.5809819</v>
      </c>
      <c r="F60" s="72">
        <f t="shared" si="2"/>
        <v>17632.67917</v>
      </c>
      <c r="G60" s="79" t="str">
        <f t="shared" si="5"/>
        <v/>
      </c>
      <c r="H60" s="81"/>
      <c r="I60" s="75" t="str">
        <f t="shared" si="6"/>
        <v/>
      </c>
      <c r="J60" s="80">
        <f t="shared" si="7"/>
        <v>7632.679174</v>
      </c>
      <c r="K60" s="77" t="str">
        <f t="shared" si="3"/>
        <v/>
      </c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</row>
    <row r="61" ht="15.75" customHeight="1">
      <c r="A61" s="68" t="s">
        <v>2136</v>
      </c>
      <c r="B61" s="69"/>
      <c r="C61" s="72">
        <f t="shared" si="4"/>
        <v>17632.67917</v>
      </c>
      <c r="D61" s="71">
        <v>0.01</v>
      </c>
      <c r="E61" s="72">
        <f t="shared" si="1"/>
        <v>176.3267917</v>
      </c>
      <c r="F61" s="72">
        <f t="shared" si="2"/>
        <v>17809.00597</v>
      </c>
      <c r="G61" s="79" t="str">
        <f t="shared" si="5"/>
        <v/>
      </c>
      <c r="H61" s="81"/>
      <c r="I61" s="75" t="str">
        <f t="shared" si="6"/>
        <v/>
      </c>
      <c r="J61" s="80">
        <f t="shared" si="7"/>
        <v>7809.005966</v>
      </c>
      <c r="K61" s="77" t="str">
        <f t="shared" si="3"/>
        <v/>
      </c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</row>
    <row r="62" ht="15.75" customHeight="1">
      <c r="A62" s="68" t="s">
        <v>2137</v>
      </c>
      <c r="B62" s="69"/>
      <c r="C62" s="72">
        <f t="shared" si="4"/>
        <v>17809.00597</v>
      </c>
      <c r="D62" s="71">
        <v>0.01</v>
      </c>
      <c r="E62" s="72">
        <f t="shared" si="1"/>
        <v>178.0900597</v>
      </c>
      <c r="F62" s="72">
        <f t="shared" si="2"/>
        <v>17987.09603</v>
      </c>
      <c r="G62" s="79" t="str">
        <f t="shared" si="5"/>
        <v/>
      </c>
      <c r="H62" s="81"/>
      <c r="I62" s="75" t="str">
        <f t="shared" si="6"/>
        <v/>
      </c>
      <c r="J62" s="80">
        <f t="shared" si="7"/>
        <v>7987.096025</v>
      </c>
      <c r="K62" s="77" t="str">
        <f t="shared" si="3"/>
        <v/>
      </c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</row>
    <row r="63" ht="15.75" customHeight="1">
      <c r="A63" s="68" t="s">
        <v>2138</v>
      </c>
      <c r="B63" s="69"/>
      <c r="C63" s="72">
        <f t="shared" si="4"/>
        <v>17987.09603</v>
      </c>
      <c r="D63" s="71">
        <v>0.01</v>
      </c>
      <c r="E63" s="72">
        <f t="shared" si="1"/>
        <v>179.8709603</v>
      </c>
      <c r="F63" s="72">
        <f t="shared" si="2"/>
        <v>18166.96699</v>
      </c>
      <c r="G63" s="79" t="str">
        <f t="shared" si="5"/>
        <v/>
      </c>
      <c r="H63" s="81"/>
      <c r="I63" s="75" t="str">
        <f t="shared" si="6"/>
        <v/>
      </c>
      <c r="J63" s="80">
        <f t="shared" si="7"/>
        <v>8166.966986</v>
      </c>
      <c r="K63" s="77" t="str">
        <f t="shared" si="3"/>
        <v/>
      </c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</row>
    <row r="64" ht="15.75" customHeight="1">
      <c r="A64" s="68" t="s">
        <v>2139</v>
      </c>
      <c r="B64" s="69"/>
      <c r="C64" s="72">
        <f t="shared" si="4"/>
        <v>18166.96699</v>
      </c>
      <c r="D64" s="71">
        <v>0.01</v>
      </c>
      <c r="E64" s="72">
        <f t="shared" si="1"/>
        <v>181.6696699</v>
      </c>
      <c r="F64" s="72">
        <f t="shared" si="2"/>
        <v>18348.63666</v>
      </c>
      <c r="G64" s="79" t="str">
        <f t="shared" si="5"/>
        <v/>
      </c>
      <c r="H64" s="81"/>
      <c r="I64" s="75" t="str">
        <f t="shared" si="6"/>
        <v/>
      </c>
      <c r="J64" s="80">
        <f t="shared" si="7"/>
        <v>8348.636655</v>
      </c>
      <c r="K64" s="77" t="str">
        <f t="shared" si="3"/>
        <v/>
      </c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</row>
    <row r="65" ht="15.75" customHeight="1">
      <c r="A65" s="68" t="s">
        <v>2140</v>
      </c>
      <c r="B65" s="69"/>
      <c r="C65" s="72">
        <f t="shared" si="4"/>
        <v>18348.63666</v>
      </c>
      <c r="D65" s="71">
        <v>0.01</v>
      </c>
      <c r="E65" s="72">
        <f t="shared" si="1"/>
        <v>183.4863666</v>
      </c>
      <c r="F65" s="72">
        <f t="shared" si="2"/>
        <v>18532.12302</v>
      </c>
      <c r="G65" s="79" t="str">
        <f t="shared" si="5"/>
        <v/>
      </c>
      <c r="H65" s="81"/>
      <c r="I65" s="75" t="str">
        <f t="shared" si="6"/>
        <v/>
      </c>
      <c r="J65" s="80">
        <f t="shared" si="7"/>
        <v>8532.123022</v>
      </c>
      <c r="K65" s="77" t="str">
        <f t="shared" si="3"/>
        <v/>
      </c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</row>
    <row r="66" ht="15.75" customHeight="1">
      <c r="A66" s="68" t="s">
        <v>2141</v>
      </c>
      <c r="B66" s="69"/>
      <c r="C66" s="72">
        <f t="shared" si="4"/>
        <v>18532.12302</v>
      </c>
      <c r="D66" s="71">
        <v>0.01</v>
      </c>
      <c r="E66" s="72">
        <f t="shared" si="1"/>
        <v>185.3212302</v>
      </c>
      <c r="F66" s="72">
        <f t="shared" si="2"/>
        <v>18717.44425</v>
      </c>
      <c r="G66" s="79" t="str">
        <f t="shared" si="5"/>
        <v/>
      </c>
      <c r="H66" s="81"/>
      <c r="I66" s="75" t="str">
        <f t="shared" si="6"/>
        <v/>
      </c>
      <c r="J66" s="80">
        <f t="shared" si="7"/>
        <v>8717.444252</v>
      </c>
      <c r="K66" s="77" t="str">
        <f t="shared" si="3"/>
        <v/>
      </c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</row>
    <row r="67" ht="15.75" customHeight="1">
      <c r="A67" s="68" t="s">
        <v>2142</v>
      </c>
      <c r="B67" s="69"/>
      <c r="C67" s="72">
        <f t="shared" si="4"/>
        <v>18717.44425</v>
      </c>
      <c r="D67" s="71">
        <v>0.01</v>
      </c>
      <c r="E67" s="72">
        <f t="shared" si="1"/>
        <v>187.1744425</v>
      </c>
      <c r="F67" s="72">
        <f t="shared" si="2"/>
        <v>18904.61869</v>
      </c>
      <c r="G67" s="79" t="str">
        <f t="shared" si="5"/>
        <v/>
      </c>
      <c r="H67" s="81"/>
      <c r="I67" s="75" t="str">
        <f t="shared" si="6"/>
        <v/>
      </c>
      <c r="J67" s="80">
        <f t="shared" si="7"/>
        <v>8904.618695</v>
      </c>
      <c r="K67" s="77" t="str">
        <f t="shared" si="3"/>
        <v/>
      </c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</row>
    <row r="68" ht="15.75" customHeight="1">
      <c r="A68" s="68" t="s">
        <v>2143</v>
      </c>
      <c r="B68" s="69"/>
      <c r="C68" s="72">
        <f t="shared" si="4"/>
        <v>18904.61869</v>
      </c>
      <c r="D68" s="71">
        <v>0.01</v>
      </c>
      <c r="E68" s="72">
        <f t="shared" si="1"/>
        <v>189.0461869</v>
      </c>
      <c r="F68" s="72">
        <f t="shared" si="2"/>
        <v>19093.66488</v>
      </c>
      <c r="G68" s="79" t="str">
        <f t="shared" si="5"/>
        <v/>
      </c>
      <c r="H68" s="81"/>
      <c r="I68" s="75" t="str">
        <f t="shared" si="6"/>
        <v/>
      </c>
      <c r="J68" s="80">
        <f t="shared" si="7"/>
        <v>9093.664882</v>
      </c>
      <c r="K68" s="77" t="str">
        <f t="shared" si="3"/>
        <v/>
      </c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</row>
    <row r="69" ht="15.75" customHeight="1">
      <c r="A69" s="68" t="s">
        <v>2144</v>
      </c>
      <c r="B69" s="69"/>
      <c r="C69" s="72">
        <f t="shared" si="4"/>
        <v>19093.66488</v>
      </c>
      <c r="D69" s="71">
        <v>0.01</v>
      </c>
      <c r="E69" s="72">
        <f t="shared" si="1"/>
        <v>190.9366488</v>
      </c>
      <c r="F69" s="72">
        <f t="shared" si="2"/>
        <v>19284.60153</v>
      </c>
      <c r="G69" s="79" t="str">
        <f t="shared" si="5"/>
        <v/>
      </c>
      <c r="H69" s="81"/>
      <c r="I69" s="75" t="str">
        <f t="shared" si="6"/>
        <v/>
      </c>
      <c r="J69" s="80">
        <f t="shared" si="7"/>
        <v>9284.601531</v>
      </c>
      <c r="K69" s="77" t="str">
        <f t="shared" si="3"/>
        <v/>
      </c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</row>
    <row r="70" ht="15.75" customHeight="1">
      <c r="A70" s="68" t="s">
        <v>2145</v>
      </c>
      <c r="B70" s="69"/>
      <c r="C70" s="72">
        <f t="shared" si="4"/>
        <v>19284.60153</v>
      </c>
      <c r="D70" s="71">
        <v>0.01</v>
      </c>
      <c r="E70" s="72">
        <f t="shared" si="1"/>
        <v>192.8460153</v>
      </c>
      <c r="F70" s="72">
        <f t="shared" si="2"/>
        <v>19477.44755</v>
      </c>
      <c r="G70" s="79" t="str">
        <f t="shared" si="5"/>
        <v/>
      </c>
      <c r="H70" s="81"/>
      <c r="I70" s="75" t="str">
        <f t="shared" si="6"/>
        <v/>
      </c>
      <c r="J70" s="80">
        <f t="shared" si="7"/>
        <v>9477.447546</v>
      </c>
      <c r="K70" s="77" t="str">
        <f t="shared" si="3"/>
        <v/>
      </c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</row>
    <row r="71" ht="15.75" customHeight="1">
      <c r="A71" s="68" t="s">
        <v>2146</v>
      </c>
      <c r="B71" s="69"/>
      <c r="C71" s="72">
        <f t="shared" si="4"/>
        <v>19477.44755</v>
      </c>
      <c r="D71" s="71">
        <v>0.01</v>
      </c>
      <c r="E71" s="72">
        <f t="shared" si="1"/>
        <v>194.7744755</v>
      </c>
      <c r="F71" s="72">
        <f t="shared" si="2"/>
        <v>19672.22202</v>
      </c>
      <c r="G71" s="79" t="str">
        <f t="shared" si="5"/>
        <v/>
      </c>
      <c r="H71" s="81"/>
      <c r="I71" s="75" t="str">
        <f t="shared" si="6"/>
        <v/>
      </c>
      <c r="J71" s="80">
        <f t="shared" si="7"/>
        <v>9672.222021</v>
      </c>
      <c r="K71" s="77" t="str">
        <f t="shared" si="3"/>
        <v/>
      </c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</row>
    <row r="72" ht="15.75" customHeight="1">
      <c r="A72" s="68" t="s">
        <v>2147</v>
      </c>
      <c r="B72" s="69"/>
      <c r="C72" s="72">
        <f t="shared" si="4"/>
        <v>19672.22202</v>
      </c>
      <c r="D72" s="71">
        <v>0.01</v>
      </c>
      <c r="E72" s="72">
        <f t="shared" si="1"/>
        <v>196.7222202</v>
      </c>
      <c r="F72" s="72">
        <f t="shared" si="2"/>
        <v>19868.94424</v>
      </c>
      <c r="G72" s="79" t="str">
        <f t="shared" si="5"/>
        <v/>
      </c>
      <c r="H72" s="81"/>
      <c r="I72" s="75" t="str">
        <f t="shared" si="6"/>
        <v/>
      </c>
      <c r="J72" s="80">
        <f t="shared" si="7"/>
        <v>9868.944242</v>
      </c>
      <c r="K72" s="77" t="str">
        <f t="shared" si="3"/>
        <v/>
      </c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</row>
    <row r="73" ht="15.75" customHeight="1">
      <c r="A73" s="68" t="s">
        <v>2148</v>
      </c>
      <c r="B73" s="69"/>
      <c r="C73" s="72">
        <f t="shared" si="4"/>
        <v>19868.94424</v>
      </c>
      <c r="D73" s="71">
        <v>0.01</v>
      </c>
      <c r="E73" s="72">
        <f t="shared" si="1"/>
        <v>198.6894424</v>
      </c>
      <c r="F73" s="72">
        <f t="shared" si="2"/>
        <v>20067.63368</v>
      </c>
      <c r="G73" s="79" t="str">
        <f t="shared" si="5"/>
        <v/>
      </c>
      <c r="H73" s="81"/>
      <c r="I73" s="75" t="str">
        <f t="shared" si="6"/>
        <v/>
      </c>
      <c r="J73" s="80">
        <f t="shared" si="7"/>
        <v>10067.63368</v>
      </c>
      <c r="K73" s="77" t="str">
        <f t="shared" si="3"/>
        <v/>
      </c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</row>
    <row r="74" ht="15.75" customHeight="1">
      <c r="A74" s="68" t="s">
        <v>2149</v>
      </c>
      <c r="B74" s="69"/>
      <c r="C74" s="72">
        <f t="shared" si="4"/>
        <v>20067.63368</v>
      </c>
      <c r="D74" s="71">
        <v>0.01</v>
      </c>
      <c r="E74" s="72">
        <f t="shared" si="1"/>
        <v>200.6763368</v>
      </c>
      <c r="F74" s="72">
        <f t="shared" si="2"/>
        <v>20268.31002</v>
      </c>
      <c r="G74" s="79" t="str">
        <f t="shared" si="5"/>
        <v/>
      </c>
      <c r="H74" s="81"/>
      <c r="I74" s="75" t="str">
        <f t="shared" si="6"/>
        <v/>
      </c>
      <c r="J74" s="80">
        <f t="shared" si="7"/>
        <v>10268.31002</v>
      </c>
      <c r="K74" s="77" t="str">
        <f t="shared" si="3"/>
        <v/>
      </c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</row>
    <row r="75" ht="15.75" customHeight="1">
      <c r="A75" s="68" t="s">
        <v>2150</v>
      </c>
      <c r="B75" s="69"/>
      <c r="C75" s="72">
        <f t="shared" si="4"/>
        <v>20268.31002</v>
      </c>
      <c r="D75" s="71">
        <v>0.01</v>
      </c>
      <c r="E75" s="72">
        <f t="shared" si="1"/>
        <v>202.6831002</v>
      </c>
      <c r="F75" s="72">
        <f t="shared" si="2"/>
        <v>20470.99312</v>
      </c>
      <c r="G75" s="79" t="str">
        <f t="shared" si="5"/>
        <v/>
      </c>
      <c r="H75" s="81"/>
      <c r="I75" s="75" t="str">
        <f t="shared" si="6"/>
        <v/>
      </c>
      <c r="J75" s="80">
        <f t="shared" si="7"/>
        <v>10470.99312</v>
      </c>
      <c r="K75" s="77" t="str">
        <f t="shared" si="3"/>
        <v/>
      </c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</row>
    <row r="76" ht="15.75" customHeight="1">
      <c r="A76" s="68" t="s">
        <v>2151</v>
      </c>
      <c r="B76" s="69"/>
      <c r="C76" s="72">
        <f t="shared" si="4"/>
        <v>20470.99312</v>
      </c>
      <c r="D76" s="71">
        <v>0.01</v>
      </c>
      <c r="E76" s="72">
        <f t="shared" si="1"/>
        <v>204.7099312</v>
      </c>
      <c r="F76" s="72">
        <f t="shared" si="2"/>
        <v>20675.70305</v>
      </c>
      <c r="G76" s="79" t="str">
        <f t="shared" si="5"/>
        <v/>
      </c>
      <c r="H76" s="81"/>
      <c r="I76" s="75" t="str">
        <f t="shared" si="6"/>
        <v/>
      </c>
      <c r="J76" s="80">
        <f t="shared" si="7"/>
        <v>10675.70305</v>
      </c>
      <c r="K76" s="77" t="str">
        <f t="shared" si="3"/>
        <v/>
      </c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</row>
    <row r="77" ht="15.75" customHeight="1">
      <c r="A77" s="68" t="s">
        <v>2152</v>
      </c>
      <c r="B77" s="69"/>
      <c r="C77" s="72">
        <f t="shared" si="4"/>
        <v>20675.70305</v>
      </c>
      <c r="D77" s="71">
        <v>0.01</v>
      </c>
      <c r="E77" s="72">
        <f t="shared" si="1"/>
        <v>206.7570305</v>
      </c>
      <c r="F77" s="72">
        <f t="shared" si="2"/>
        <v>20882.46008</v>
      </c>
      <c r="G77" s="79" t="str">
        <f t="shared" si="5"/>
        <v/>
      </c>
      <c r="H77" s="81"/>
      <c r="I77" s="75" t="str">
        <f t="shared" si="6"/>
        <v/>
      </c>
      <c r="J77" s="80">
        <f t="shared" si="7"/>
        <v>10882.46008</v>
      </c>
      <c r="K77" s="77" t="str">
        <f t="shared" si="3"/>
        <v/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</row>
    <row r="78" ht="15.75" customHeight="1">
      <c r="A78" s="68" t="s">
        <v>2153</v>
      </c>
      <c r="B78" s="69"/>
      <c r="C78" s="72">
        <f t="shared" si="4"/>
        <v>20882.46008</v>
      </c>
      <c r="D78" s="71">
        <v>0.01</v>
      </c>
      <c r="E78" s="72">
        <f t="shared" si="1"/>
        <v>208.8246008</v>
      </c>
      <c r="F78" s="72">
        <f t="shared" si="2"/>
        <v>21091.28468</v>
      </c>
      <c r="G78" s="79" t="str">
        <f t="shared" si="5"/>
        <v/>
      </c>
      <c r="H78" s="81"/>
      <c r="I78" s="75" t="str">
        <f t="shared" si="6"/>
        <v/>
      </c>
      <c r="J78" s="80">
        <f t="shared" si="7"/>
        <v>11091.28468</v>
      </c>
      <c r="K78" s="77" t="str">
        <f t="shared" si="3"/>
        <v/>
      </c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</row>
    <row r="79" ht="15.75" customHeight="1">
      <c r="A79" s="68" t="s">
        <v>2154</v>
      </c>
      <c r="B79" s="69"/>
      <c r="C79" s="72">
        <f t="shared" si="4"/>
        <v>21091.28468</v>
      </c>
      <c r="D79" s="71">
        <v>0.01</v>
      </c>
      <c r="E79" s="72">
        <f t="shared" si="1"/>
        <v>210.9128468</v>
      </c>
      <c r="F79" s="72">
        <f t="shared" si="2"/>
        <v>21302.19753</v>
      </c>
      <c r="G79" s="79" t="str">
        <f t="shared" si="5"/>
        <v/>
      </c>
      <c r="H79" s="81"/>
      <c r="I79" s="75" t="str">
        <f t="shared" si="6"/>
        <v/>
      </c>
      <c r="J79" s="80">
        <f t="shared" si="7"/>
        <v>11302.19753</v>
      </c>
      <c r="K79" s="77" t="str">
        <f t="shared" si="3"/>
        <v/>
      </c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</row>
    <row r="80" ht="15.75" customHeight="1">
      <c r="A80" s="68" t="s">
        <v>2155</v>
      </c>
      <c r="B80" s="69"/>
      <c r="C80" s="72">
        <f t="shared" si="4"/>
        <v>21302.19753</v>
      </c>
      <c r="D80" s="71">
        <v>0.01</v>
      </c>
      <c r="E80" s="72">
        <f t="shared" si="1"/>
        <v>213.0219753</v>
      </c>
      <c r="F80" s="72">
        <f t="shared" si="2"/>
        <v>21515.21951</v>
      </c>
      <c r="G80" s="79" t="str">
        <f t="shared" si="5"/>
        <v/>
      </c>
      <c r="H80" s="81"/>
      <c r="I80" s="75" t="str">
        <f t="shared" si="6"/>
        <v/>
      </c>
      <c r="J80" s="80">
        <f t="shared" si="7"/>
        <v>11515.21951</v>
      </c>
      <c r="K80" s="77" t="str">
        <f t="shared" si="3"/>
        <v/>
      </c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</row>
    <row r="81" ht="15.75" customHeight="1">
      <c r="A81" s="68" t="s">
        <v>2156</v>
      </c>
      <c r="B81" s="69"/>
      <c r="C81" s="72">
        <f t="shared" si="4"/>
        <v>21515.21951</v>
      </c>
      <c r="D81" s="71">
        <v>0.01</v>
      </c>
      <c r="E81" s="72">
        <f t="shared" si="1"/>
        <v>215.1521951</v>
      </c>
      <c r="F81" s="72">
        <f t="shared" si="2"/>
        <v>21730.3717</v>
      </c>
      <c r="G81" s="79" t="str">
        <f t="shared" si="5"/>
        <v/>
      </c>
      <c r="H81" s="81"/>
      <c r="I81" s="75" t="str">
        <f t="shared" si="6"/>
        <v/>
      </c>
      <c r="J81" s="80">
        <f t="shared" si="7"/>
        <v>11730.3717</v>
      </c>
      <c r="K81" s="77" t="str">
        <f t="shared" si="3"/>
        <v/>
      </c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</row>
    <row r="82" ht="15.75" customHeight="1">
      <c r="A82" s="68" t="s">
        <v>2157</v>
      </c>
      <c r="B82" s="69"/>
      <c r="C82" s="72">
        <f t="shared" si="4"/>
        <v>21730.3717</v>
      </c>
      <c r="D82" s="71">
        <v>0.01</v>
      </c>
      <c r="E82" s="72">
        <f t="shared" si="1"/>
        <v>217.303717</v>
      </c>
      <c r="F82" s="72">
        <f t="shared" si="2"/>
        <v>21947.67542</v>
      </c>
      <c r="G82" s="79" t="str">
        <f t="shared" si="5"/>
        <v/>
      </c>
      <c r="H82" s="81"/>
      <c r="I82" s="75" t="str">
        <f t="shared" si="6"/>
        <v/>
      </c>
      <c r="J82" s="80">
        <f t="shared" si="7"/>
        <v>11947.67542</v>
      </c>
      <c r="K82" s="77" t="str">
        <f t="shared" si="3"/>
        <v/>
      </c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</row>
    <row r="83" ht="15.75" customHeight="1">
      <c r="A83" s="68" t="s">
        <v>2158</v>
      </c>
      <c r="B83" s="69"/>
      <c r="C83" s="72">
        <f t="shared" si="4"/>
        <v>21947.67542</v>
      </c>
      <c r="D83" s="71">
        <v>0.01</v>
      </c>
      <c r="E83" s="72">
        <f t="shared" si="1"/>
        <v>219.4767542</v>
      </c>
      <c r="F83" s="72">
        <f t="shared" si="2"/>
        <v>22167.15217</v>
      </c>
      <c r="G83" s="79" t="str">
        <f t="shared" si="5"/>
        <v/>
      </c>
      <c r="H83" s="81"/>
      <c r="I83" s="75" t="str">
        <f t="shared" si="6"/>
        <v/>
      </c>
      <c r="J83" s="80">
        <f t="shared" si="7"/>
        <v>12167.15217</v>
      </c>
      <c r="K83" s="77" t="str">
        <f t="shared" si="3"/>
        <v/>
      </c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</row>
    <row r="84" ht="15.75" customHeight="1">
      <c r="A84" s="68" t="s">
        <v>2159</v>
      </c>
      <c r="B84" s="69"/>
      <c r="C84" s="72">
        <f t="shared" si="4"/>
        <v>22167.15217</v>
      </c>
      <c r="D84" s="71">
        <v>0.01</v>
      </c>
      <c r="E84" s="72">
        <f t="shared" si="1"/>
        <v>221.6715217</v>
      </c>
      <c r="F84" s="72">
        <f t="shared" si="2"/>
        <v>22388.82369</v>
      </c>
      <c r="G84" s="79" t="str">
        <f t="shared" si="5"/>
        <v/>
      </c>
      <c r="H84" s="81"/>
      <c r="I84" s="75" t="str">
        <f t="shared" si="6"/>
        <v/>
      </c>
      <c r="J84" s="80">
        <f t="shared" si="7"/>
        <v>12388.82369</v>
      </c>
      <c r="K84" s="77" t="str">
        <f t="shared" si="3"/>
        <v/>
      </c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</row>
    <row r="85" ht="15.75" customHeight="1">
      <c r="A85" s="68" t="s">
        <v>2160</v>
      </c>
      <c r="B85" s="69"/>
      <c r="C85" s="72">
        <f t="shared" si="4"/>
        <v>22388.82369</v>
      </c>
      <c r="D85" s="71">
        <v>0.01</v>
      </c>
      <c r="E85" s="72">
        <f t="shared" si="1"/>
        <v>223.8882369</v>
      </c>
      <c r="F85" s="72">
        <f t="shared" si="2"/>
        <v>22612.71193</v>
      </c>
      <c r="G85" s="79" t="str">
        <f t="shared" si="5"/>
        <v/>
      </c>
      <c r="H85" s="81"/>
      <c r="I85" s="75" t="str">
        <f t="shared" si="6"/>
        <v/>
      </c>
      <c r="J85" s="80">
        <f t="shared" si="7"/>
        <v>12612.71193</v>
      </c>
      <c r="K85" s="77" t="str">
        <f t="shared" si="3"/>
        <v/>
      </c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</row>
    <row r="86" ht="15.75" customHeight="1">
      <c r="A86" s="68" t="s">
        <v>2161</v>
      </c>
      <c r="B86" s="69"/>
      <c r="C86" s="72">
        <f t="shared" si="4"/>
        <v>22612.71193</v>
      </c>
      <c r="D86" s="71">
        <v>0.01</v>
      </c>
      <c r="E86" s="72">
        <f t="shared" si="1"/>
        <v>226.1271193</v>
      </c>
      <c r="F86" s="72">
        <f t="shared" si="2"/>
        <v>22838.83905</v>
      </c>
      <c r="G86" s="79" t="str">
        <f t="shared" si="5"/>
        <v/>
      </c>
      <c r="H86" s="81"/>
      <c r="I86" s="75" t="str">
        <f t="shared" si="6"/>
        <v/>
      </c>
      <c r="J86" s="80">
        <f t="shared" si="7"/>
        <v>12838.83905</v>
      </c>
      <c r="K86" s="77" t="str">
        <f t="shared" si="3"/>
        <v/>
      </c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</row>
    <row r="87" ht="15.75" customHeight="1">
      <c r="A87" s="68" t="s">
        <v>2162</v>
      </c>
      <c r="B87" s="69"/>
      <c r="C87" s="72">
        <f t="shared" si="4"/>
        <v>22838.83905</v>
      </c>
      <c r="D87" s="71">
        <v>0.01</v>
      </c>
      <c r="E87" s="72">
        <f t="shared" si="1"/>
        <v>228.3883905</v>
      </c>
      <c r="F87" s="72">
        <f t="shared" si="2"/>
        <v>23067.22744</v>
      </c>
      <c r="G87" s="79" t="str">
        <f t="shared" si="5"/>
        <v/>
      </c>
      <c r="H87" s="81"/>
      <c r="I87" s="75" t="str">
        <f t="shared" si="6"/>
        <v/>
      </c>
      <c r="J87" s="80">
        <f t="shared" si="7"/>
        <v>13067.22744</v>
      </c>
      <c r="K87" s="77" t="str">
        <f t="shared" si="3"/>
        <v/>
      </c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</row>
    <row r="88" ht="15.75" customHeight="1">
      <c r="A88" s="68" t="s">
        <v>2163</v>
      </c>
      <c r="B88" s="69"/>
      <c r="C88" s="72">
        <f t="shared" si="4"/>
        <v>23067.22744</v>
      </c>
      <c r="D88" s="71">
        <v>0.01</v>
      </c>
      <c r="E88" s="72">
        <f t="shared" si="1"/>
        <v>230.6722744</v>
      </c>
      <c r="F88" s="72">
        <f t="shared" si="2"/>
        <v>23297.89971</v>
      </c>
      <c r="G88" s="79" t="str">
        <f t="shared" si="5"/>
        <v/>
      </c>
      <c r="H88" s="81"/>
      <c r="I88" s="75" t="str">
        <f t="shared" si="6"/>
        <v/>
      </c>
      <c r="J88" s="80">
        <f t="shared" si="7"/>
        <v>13297.89971</v>
      </c>
      <c r="K88" s="77" t="str">
        <f t="shared" si="3"/>
        <v/>
      </c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</row>
    <row r="89" ht="15.75" customHeight="1">
      <c r="A89" s="68" t="s">
        <v>2164</v>
      </c>
      <c r="B89" s="69"/>
      <c r="C89" s="72">
        <f t="shared" si="4"/>
        <v>23297.89971</v>
      </c>
      <c r="D89" s="71">
        <v>0.01</v>
      </c>
      <c r="E89" s="72">
        <f t="shared" si="1"/>
        <v>232.9789971</v>
      </c>
      <c r="F89" s="72">
        <f t="shared" si="2"/>
        <v>23530.87871</v>
      </c>
      <c r="G89" s="79" t="str">
        <f t="shared" si="5"/>
        <v/>
      </c>
      <c r="H89" s="81"/>
      <c r="I89" s="75" t="str">
        <f t="shared" si="6"/>
        <v/>
      </c>
      <c r="J89" s="80">
        <f t="shared" si="7"/>
        <v>13530.87871</v>
      </c>
      <c r="K89" s="77" t="str">
        <f t="shared" si="3"/>
        <v/>
      </c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</row>
    <row r="90" ht="15.75" customHeight="1">
      <c r="A90" s="68" t="s">
        <v>2165</v>
      </c>
      <c r="B90" s="69"/>
      <c r="C90" s="72">
        <f t="shared" si="4"/>
        <v>23530.87871</v>
      </c>
      <c r="D90" s="71">
        <v>0.01</v>
      </c>
      <c r="E90" s="72">
        <f t="shared" si="1"/>
        <v>235.3087871</v>
      </c>
      <c r="F90" s="72">
        <f t="shared" si="2"/>
        <v>23766.1875</v>
      </c>
      <c r="G90" s="79" t="str">
        <f t="shared" si="5"/>
        <v/>
      </c>
      <c r="H90" s="81"/>
      <c r="I90" s="75" t="str">
        <f t="shared" si="6"/>
        <v/>
      </c>
      <c r="J90" s="80">
        <f t="shared" si="7"/>
        <v>13766.1875</v>
      </c>
      <c r="K90" s="77" t="str">
        <f t="shared" si="3"/>
        <v/>
      </c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</row>
    <row r="91" ht="15.75" customHeight="1">
      <c r="A91" s="68" t="s">
        <v>2166</v>
      </c>
      <c r="B91" s="69"/>
      <c r="C91" s="72">
        <f t="shared" si="4"/>
        <v>23766.1875</v>
      </c>
      <c r="D91" s="71">
        <v>0.01</v>
      </c>
      <c r="E91" s="72">
        <f t="shared" si="1"/>
        <v>237.661875</v>
      </c>
      <c r="F91" s="72">
        <f t="shared" si="2"/>
        <v>24003.84937</v>
      </c>
      <c r="G91" s="79" t="str">
        <f t="shared" si="5"/>
        <v/>
      </c>
      <c r="H91" s="81"/>
      <c r="I91" s="75" t="str">
        <f t="shared" si="6"/>
        <v/>
      </c>
      <c r="J91" s="80">
        <f t="shared" si="7"/>
        <v>14003.84937</v>
      </c>
      <c r="K91" s="77" t="str">
        <f t="shared" si="3"/>
        <v/>
      </c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</row>
    <row r="92" ht="15.75" customHeight="1">
      <c r="A92" s="68" t="s">
        <v>2167</v>
      </c>
      <c r="B92" s="69"/>
      <c r="C92" s="72">
        <f t="shared" si="4"/>
        <v>24003.84937</v>
      </c>
      <c r="D92" s="71">
        <v>0.01</v>
      </c>
      <c r="E92" s="72">
        <f t="shared" si="1"/>
        <v>240.0384937</v>
      </c>
      <c r="F92" s="72">
        <f t="shared" si="2"/>
        <v>24243.88787</v>
      </c>
      <c r="G92" s="79" t="str">
        <f t="shared" si="5"/>
        <v/>
      </c>
      <c r="H92" s="81"/>
      <c r="I92" s="75" t="str">
        <f t="shared" si="6"/>
        <v/>
      </c>
      <c r="J92" s="80">
        <f t="shared" si="7"/>
        <v>14243.88787</v>
      </c>
      <c r="K92" s="77" t="str">
        <f t="shared" si="3"/>
        <v/>
      </c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</row>
    <row r="93" ht="15.75" customHeight="1">
      <c r="A93" s="68" t="s">
        <v>2168</v>
      </c>
      <c r="B93" s="69"/>
      <c r="C93" s="72">
        <f t="shared" si="4"/>
        <v>24243.88787</v>
      </c>
      <c r="D93" s="71">
        <v>0.01</v>
      </c>
      <c r="E93" s="72">
        <f t="shared" si="1"/>
        <v>242.4388787</v>
      </c>
      <c r="F93" s="72">
        <f t="shared" si="2"/>
        <v>24486.32675</v>
      </c>
      <c r="G93" s="79" t="str">
        <f t="shared" si="5"/>
        <v/>
      </c>
      <c r="H93" s="81"/>
      <c r="I93" s="75" t="str">
        <f t="shared" si="6"/>
        <v/>
      </c>
      <c r="J93" s="80">
        <f t="shared" si="7"/>
        <v>14486.32675</v>
      </c>
      <c r="K93" s="77" t="str">
        <f t="shared" si="3"/>
        <v/>
      </c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</row>
    <row r="94" ht="15.75" customHeight="1">
      <c r="A94" s="68" t="s">
        <v>2169</v>
      </c>
      <c r="B94" s="69"/>
      <c r="C94" s="72">
        <f t="shared" si="4"/>
        <v>24486.32675</v>
      </c>
      <c r="D94" s="71">
        <v>0.01</v>
      </c>
      <c r="E94" s="72">
        <f t="shared" si="1"/>
        <v>244.8632675</v>
      </c>
      <c r="F94" s="72">
        <f t="shared" si="2"/>
        <v>24731.19001</v>
      </c>
      <c r="G94" s="79" t="str">
        <f t="shared" si="5"/>
        <v/>
      </c>
      <c r="H94" s="81"/>
      <c r="I94" s="75" t="str">
        <f t="shared" si="6"/>
        <v/>
      </c>
      <c r="J94" s="80">
        <f t="shared" si="7"/>
        <v>14731.19001</v>
      </c>
      <c r="K94" s="77" t="str">
        <f t="shared" si="3"/>
        <v/>
      </c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</row>
    <row r="95" ht="15.75" customHeight="1">
      <c r="A95" s="68" t="s">
        <v>2170</v>
      </c>
      <c r="B95" s="69"/>
      <c r="C95" s="72">
        <f t="shared" si="4"/>
        <v>24731.19001</v>
      </c>
      <c r="D95" s="71">
        <v>0.01</v>
      </c>
      <c r="E95" s="72">
        <f t="shared" si="1"/>
        <v>247.3119001</v>
      </c>
      <c r="F95" s="72">
        <f t="shared" si="2"/>
        <v>24978.50191</v>
      </c>
      <c r="G95" s="79" t="str">
        <f t="shared" si="5"/>
        <v/>
      </c>
      <c r="H95" s="81"/>
      <c r="I95" s="75" t="str">
        <f t="shared" si="6"/>
        <v/>
      </c>
      <c r="J95" s="80">
        <f t="shared" si="7"/>
        <v>14978.50191</v>
      </c>
      <c r="K95" s="77" t="str">
        <f t="shared" si="3"/>
        <v/>
      </c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</row>
    <row r="96" ht="15.75" customHeight="1">
      <c r="A96" s="68" t="s">
        <v>2171</v>
      </c>
      <c r="B96" s="69"/>
      <c r="C96" s="72">
        <f t="shared" si="4"/>
        <v>24978.50191</v>
      </c>
      <c r="D96" s="71">
        <v>0.01</v>
      </c>
      <c r="E96" s="72">
        <f t="shared" si="1"/>
        <v>249.7850191</v>
      </c>
      <c r="F96" s="72">
        <f t="shared" si="2"/>
        <v>25228.28693</v>
      </c>
      <c r="G96" s="79" t="str">
        <f t="shared" si="5"/>
        <v/>
      </c>
      <c r="H96" s="81"/>
      <c r="I96" s="75" t="str">
        <f t="shared" si="6"/>
        <v/>
      </c>
      <c r="J96" s="80">
        <f t="shared" si="7"/>
        <v>15228.28693</v>
      </c>
      <c r="K96" s="77" t="str">
        <f t="shared" si="3"/>
        <v/>
      </c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</row>
    <row r="97" ht="15.75" customHeight="1">
      <c r="A97" s="68" t="s">
        <v>2172</v>
      </c>
      <c r="B97" s="69"/>
      <c r="C97" s="72">
        <f t="shared" si="4"/>
        <v>25228.28693</v>
      </c>
      <c r="D97" s="71">
        <v>0.01</v>
      </c>
      <c r="E97" s="72">
        <f t="shared" si="1"/>
        <v>252.2828693</v>
      </c>
      <c r="F97" s="72">
        <f t="shared" si="2"/>
        <v>25480.5698</v>
      </c>
      <c r="G97" s="79" t="str">
        <f t="shared" si="5"/>
        <v/>
      </c>
      <c r="H97" s="81"/>
      <c r="I97" s="75" t="str">
        <f t="shared" si="6"/>
        <v/>
      </c>
      <c r="J97" s="80">
        <f t="shared" si="7"/>
        <v>15480.5698</v>
      </c>
      <c r="K97" s="77" t="str">
        <f t="shared" si="3"/>
        <v/>
      </c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</row>
    <row r="98" ht="15.75" customHeight="1">
      <c r="A98" s="68" t="s">
        <v>2173</v>
      </c>
      <c r="B98" s="69"/>
      <c r="C98" s="72">
        <f t="shared" si="4"/>
        <v>25480.5698</v>
      </c>
      <c r="D98" s="71">
        <v>0.01</v>
      </c>
      <c r="E98" s="72">
        <f t="shared" si="1"/>
        <v>254.805698</v>
      </c>
      <c r="F98" s="72">
        <f t="shared" si="2"/>
        <v>25735.3755</v>
      </c>
      <c r="G98" s="79" t="str">
        <f t="shared" si="5"/>
        <v/>
      </c>
      <c r="H98" s="81"/>
      <c r="I98" s="75" t="str">
        <f t="shared" si="6"/>
        <v/>
      </c>
      <c r="J98" s="80">
        <f t="shared" si="7"/>
        <v>15735.3755</v>
      </c>
      <c r="K98" s="77" t="str">
        <f t="shared" si="3"/>
        <v/>
      </c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</row>
    <row r="99" ht="15.75" customHeight="1">
      <c r="A99" s="68" t="s">
        <v>2174</v>
      </c>
      <c r="B99" s="69"/>
      <c r="C99" s="72">
        <f t="shared" si="4"/>
        <v>25735.3755</v>
      </c>
      <c r="D99" s="71">
        <v>0.01</v>
      </c>
      <c r="E99" s="72">
        <f t="shared" si="1"/>
        <v>257.353755</v>
      </c>
      <c r="F99" s="72">
        <f t="shared" si="2"/>
        <v>25992.72926</v>
      </c>
      <c r="G99" s="79" t="str">
        <f t="shared" si="5"/>
        <v/>
      </c>
      <c r="H99" s="81"/>
      <c r="I99" s="75" t="str">
        <f t="shared" si="6"/>
        <v/>
      </c>
      <c r="J99" s="80">
        <f t="shared" si="7"/>
        <v>15992.72926</v>
      </c>
      <c r="K99" s="77" t="str">
        <f t="shared" si="3"/>
        <v/>
      </c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</row>
    <row r="100" ht="15.75" customHeight="1">
      <c r="A100" s="68" t="s">
        <v>2175</v>
      </c>
      <c r="B100" s="69"/>
      <c r="C100" s="72">
        <f t="shared" si="4"/>
        <v>25992.72926</v>
      </c>
      <c r="D100" s="71">
        <v>0.01</v>
      </c>
      <c r="E100" s="72">
        <f t="shared" si="1"/>
        <v>259.9272926</v>
      </c>
      <c r="F100" s="72">
        <f t="shared" si="2"/>
        <v>26252.65655</v>
      </c>
      <c r="G100" s="79" t="str">
        <f t="shared" si="5"/>
        <v/>
      </c>
      <c r="H100" s="81"/>
      <c r="I100" s="75" t="str">
        <f t="shared" si="6"/>
        <v/>
      </c>
      <c r="J100" s="80">
        <f t="shared" si="7"/>
        <v>16252.65655</v>
      </c>
      <c r="K100" s="77" t="str">
        <f t="shared" si="3"/>
        <v/>
      </c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</row>
    <row r="101" ht="15.75" customHeight="1">
      <c r="A101" s="68" t="s">
        <v>2176</v>
      </c>
      <c r="B101" s="69"/>
      <c r="C101" s="72">
        <f t="shared" si="4"/>
        <v>26252.65655</v>
      </c>
      <c r="D101" s="71">
        <v>0.01</v>
      </c>
      <c r="E101" s="72">
        <f t="shared" si="1"/>
        <v>262.5265655</v>
      </c>
      <c r="F101" s="72">
        <f t="shared" si="2"/>
        <v>26515.18311</v>
      </c>
      <c r="G101" s="79" t="str">
        <f t="shared" si="5"/>
        <v/>
      </c>
      <c r="H101" s="81"/>
      <c r="I101" s="75" t="str">
        <f t="shared" si="6"/>
        <v/>
      </c>
      <c r="J101" s="80">
        <f t="shared" si="7"/>
        <v>16515.18311</v>
      </c>
      <c r="K101" s="77" t="str">
        <f t="shared" si="3"/>
        <v/>
      </c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</row>
    <row r="102" ht="15.75" customHeight="1">
      <c r="A102" s="68" t="s">
        <v>2177</v>
      </c>
      <c r="B102" s="69"/>
      <c r="C102" s="72">
        <f t="shared" si="4"/>
        <v>26515.18311</v>
      </c>
      <c r="D102" s="71">
        <v>0.01</v>
      </c>
      <c r="E102" s="72">
        <f t="shared" si="1"/>
        <v>265.1518311</v>
      </c>
      <c r="F102" s="72">
        <f t="shared" si="2"/>
        <v>26780.33494</v>
      </c>
      <c r="G102" s="79" t="str">
        <f t="shared" si="5"/>
        <v/>
      </c>
      <c r="H102" s="81"/>
      <c r="I102" s="75" t="str">
        <f t="shared" si="6"/>
        <v/>
      </c>
      <c r="J102" s="80">
        <f t="shared" si="7"/>
        <v>16780.33494</v>
      </c>
      <c r="K102" s="77" t="str">
        <f t="shared" si="3"/>
        <v/>
      </c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</row>
    <row r="103" ht="15.75" customHeight="1">
      <c r="A103" s="68" t="s">
        <v>2178</v>
      </c>
      <c r="B103" s="69"/>
      <c r="C103" s="72">
        <f t="shared" si="4"/>
        <v>26780.33494</v>
      </c>
      <c r="D103" s="71">
        <v>0.01</v>
      </c>
      <c r="E103" s="72">
        <f t="shared" si="1"/>
        <v>267.8033494</v>
      </c>
      <c r="F103" s="72">
        <f t="shared" si="2"/>
        <v>27048.13829</v>
      </c>
      <c r="G103" s="79" t="str">
        <f t="shared" si="5"/>
        <v/>
      </c>
      <c r="H103" s="81"/>
      <c r="I103" s="75" t="str">
        <f t="shared" si="6"/>
        <v/>
      </c>
      <c r="J103" s="80">
        <f t="shared" si="7"/>
        <v>17048.13829</v>
      </c>
      <c r="K103" s="77" t="str">
        <f t="shared" si="3"/>
        <v/>
      </c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</row>
    <row r="104" ht="15.75" customHeight="1">
      <c r="A104" s="68" t="s">
        <v>2179</v>
      </c>
      <c r="B104" s="69"/>
      <c r="C104" s="72">
        <f t="shared" si="4"/>
        <v>27048.13829</v>
      </c>
      <c r="D104" s="71">
        <v>0.01</v>
      </c>
      <c r="E104" s="72">
        <f t="shared" si="1"/>
        <v>270.4813829</v>
      </c>
      <c r="F104" s="72">
        <f t="shared" si="2"/>
        <v>27318.61968</v>
      </c>
      <c r="G104" s="79" t="str">
        <f t="shared" si="5"/>
        <v/>
      </c>
      <c r="H104" s="81"/>
      <c r="I104" s="75" t="str">
        <f t="shared" si="6"/>
        <v/>
      </c>
      <c r="J104" s="80">
        <f t="shared" si="7"/>
        <v>17318.61968</v>
      </c>
      <c r="K104" s="77" t="str">
        <f t="shared" si="3"/>
        <v/>
      </c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</row>
    <row r="105" ht="15.75" customHeight="1">
      <c r="A105" s="68" t="s">
        <v>2180</v>
      </c>
      <c r="B105" s="69"/>
      <c r="C105" s="72">
        <f t="shared" si="4"/>
        <v>27318.61968</v>
      </c>
      <c r="D105" s="71">
        <v>0.01</v>
      </c>
      <c r="E105" s="72">
        <f t="shared" si="1"/>
        <v>273.1861968</v>
      </c>
      <c r="F105" s="72">
        <f t="shared" si="2"/>
        <v>27591.80587</v>
      </c>
      <c r="G105" s="79" t="str">
        <f t="shared" si="5"/>
        <v/>
      </c>
      <c r="H105" s="81"/>
      <c r="I105" s="75" t="str">
        <f t="shared" si="6"/>
        <v/>
      </c>
      <c r="J105" s="80">
        <f t="shared" si="7"/>
        <v>17591.80587</v>
      </c>
      <c r="K105" s="77" t="str">
        <f t="shared" si="3"/>
        <v/>
      </c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</row>
    <row r="106" ht="15.75" customHeight="1">
      <c r="A106" s="68" t="s">
        <v>2181</v>
      </c>
      <c r="B106" s="69"/>
      <c r="C106" s="72">
        <f t="shared" si="4"/>
        <v>27591.80587</v>
      </c>
      <c r="D106" s="71">
        <v>0.01</v>
      </c>
      <c r="E106" s="72">
        <f t="shared" si="1"/>
        <v>275.9180587</v>
      </c>
      <c r="F106" s="72">
        <f t="shared" si="2"/>
        <v>27867.72393</v>
      </c>
      <c r="G106" s="79" t="str">
        <f t="shared" si="5"/>
        <v/>
      </c>
      <c r="H106" s="81"/>
      <c r="I106" s="75" t="str">
        <f t="shared" si="6"/>
        <v/>
      </c>
      <c r="J106" s="80">
        <f t="shared" si="7"/>
        <v>17867.72393</v>
      </c>
      <c r="K106" s="77" t="str">
        <f t="shared" si="3"/>
        <v/>
      </c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</row>
    <row r="107" ht="15.75" customHeight="1">
      <c r="A107" s="68" t="s">
        <v>2182</v>
      </c>
      <c r="B107" s="69"/>
      <c r="C107" s="72">
        <f t="shared" si="4"/>
        <v>27867.72393</v>
      </c>
      <c r="D107" s="71">
        <v>0.01</v>
      </c>
      <c r="E107" s="72">
        <f t="shared" si="1"/>
        <v>278.6772393</v>
      </c>
      <c r="F107" s="72">
        <f t="shared" si="2"/>
        <v>28146.40117</v>
      </c>
      <c r="G107" s="79" t="str">
        <f t="shared" si="5"/>
        <v/>
      </c>
      <c r="H107" s="81"/>
      <c r="I107" s="75" t="str">
        <f t="shared" si="6"/>
        <v/>
      </c>
      <c r="J107" s="80">
        <f t="shared" si="7"/>
        <v>18146.40117</v>
      </c>
      <c r="K107" s="77" t="str">
        <f t="shared" si="3"/>
        <v/>
      </c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</row>
    <row r="108" ht="15.75" customHeight="1">
      <c r="A108" s="68" t="s">
        <v>2183</v>
      </c>
      <c r="B108" s="69"/>
      <c r="C108" s="72">
        <f t="shared" si="4"/>
        <v>28146.40117</v>
      </c>
      <c r="D108" s="71">
        <v>0.01</v>
      </c>
      <c r="E108" s="72">
        <f t="shared" si="1"/>
        <v>281.4640117</v>
      </c>
      <c r="F108" s="72">
        <f t="shared" si="2"/>
        <v>28427.86518</v>
      </c>
      <c r="G108" s="79" t="str">
        <f t="shared" si="5"/>
        <v/>
      </c>
      <c r="H108" s="81"/>
      <c r="I108" s="75" t="str">
        <f t="shared" si="6"/>
        <v/>
      </c>
      <c r="J108" s="80">
        <f t="shared" si="7"/>
        <v>18427.86518</v>
      </c>
      <c r="K108" s="77" t="str">
        <f t="shared" si="3"/>
        <v/>
      </c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</row>
    <row r="109" ht="15.75" customHeight="1">
      <c r="A109" s="68" t="s">
        <v>2184</v>
      </c>
      <c r="B109" s="69"/>
      <c r="C109" s="72">
        <f t="shared" si="4"/>
        <v>28427.86518</v>
      </c>
      <c r="D109" s="71">
        <v>0.01</v>
      </c>
      <c r="E109" s="72">
        <f t="shared" si="1"/>
        <v>284.2786518</v>
      </c>
      <c r="F109" s="72">
        <f t="shared" si="2"/>
        <v>28712.14384</v>
      </c>
      <c r="G109" s="79" t="str">
        <f t="shared" si="5"/>
        <v/>
      </c>
      <c r="H109" s="81"/>
      <c r="I109" s="75" t="str">
        <f t="shared" si="6"/>
        <v/>
      </c>
      <c r="J109" s="80">
        <f t="shared" si="7"/>
        <v>18712.14384</v>
      </c>
      <c r="K109" s="77" t="str">
        <f t="shared" si="3"/>
        <v/>
      </c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</row>
    <row r="110" ht="15.75" customHeight="1">
      <c r="A110" s="68" t="s">
        <v>2185</v>
      </c>
      <c r="B110" s="69"/>
      <c r="C110" s="72">
        <f t="shared" si="4"/>
        <v>28712.14384</v>
      </c>
      <c r="D110" s="71">
        <v>0.01</v>
      </c>
      <c r="E110" s="72">
        <f t="shared" si="1"/>
        <v>287.1214384</v>
      </c>
      <c r="F110" s="72">
        <f t="shared" si="2"/>
        <v>28999.26527</v>
      </c>
      <c r="G110" s="79" t="str">
        <f t="shared" si="5"/>
        <v/>
      </c>
      <c r="H110" s="81"/>
      <c r="I110" s="75" t="str">
        <f t="shared" si="6"/>
        <v/>
      </c>
      <c r="J110" s="80">
        <f t="shared" si="7"/>
        <v>18999.26527</v>
      </c>
      <c r="K110" s="77" t="str">
        <f t="shared" si="3"/>
        <v/>
      </c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</row>
    <row r="111" ht="15.75" customHeight="1">
      <c r="A111" s="68" t="s">
        <v>2186</v>
      </c>
      <c r="B111" s="69"/>
      <c r="C111" s="72">
        <f t="shared" si="4"/>
        <v>28999.26527</v>
      </c>
      <c r="D111" s="71">
        <v>0.01</v>
      </c>
      <c r="E111" s="72">
        <f t="shared" si="1"/>
        <v>289.9926527</v>
      </c>
      <c r="F111" s="72">
        <f t="shared" si="2"/>
        <v>29289.25793</v>
      </c>
      <c r="G111" s="79" t="str">
        <f t="shared" si="5"/>
        <v/>
      </c>
      <c r="H111" s="81"/>
      <c r="I111" s="75" t="str">
        <f t="shared" si="6"/>
        <v/>
      </c>
      <c r="J111" s="80">
        <f t="shared" si="7"/>
        <v>19289.25793</v>
      </c>
      <c r="K111" s="77" t="str">
        <f t="shared" si="3"/>
        <v/>
      </c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</row>
    <row r="112" ht="15.75" customHeight="1">
      <c r="A112" s="68" t="s">
        <v>2187</v>
      </c>
      <c r="B112" s="69"/>
      <c r="C112" s="72">
        <f t="shared" si="4"/>
        <v>29289.25793</v>
      </c>
      <c r="D112" s="71">
        <v>0.01</v>
      </c>
      <c r="E112" s="72">
        <f t="shared" si="1"/>
        <v>292.8925793</v>
      </c>
      <c r="F112" s="72">
        <f t="shared" si="2"/>
        <v>29582.15051</v>
      </c>
      <c r="G112" s="79" t="str">
        <f t="shared" si="5"/>
        <v/>
      </c>
      <c r="H112" s="81"/>
      <c r="I112" s="75" t="str">
        <f t="shared" si="6"/>
        <v/>
      </c>
      <c r="J112" s="80">
        <f t="shared" si="7"/>
        <v>19582.15051</v>
      </c>
      <c r="K112" s="77" t="str">
        <f t="shared" si="3"/>
        <v/>
      </c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</row>
    <row r="113" ht="15.75" customHeight="1">
      <c r="A113" s="68" t="s">
        <v>2188</v>
      </c>
      <c r="B113" s="69"/>
      <c r="C113" s="72">
        <f t="shared" si="4"/>
        <v>29582.15051</v>
      </c>
      <c r="D113" s="71">
        <v>0.01</v>
      </c>
      <c r="E113" s="72">
        <f t="shared" si="1"/>
        <v>295.8215051</v>
      </c>
      <c r="F113" s="72">
        <f t="shared" si="2"/>
        <v>29877.97201</v>
      </c>
      <c r="G113" s="79" t="str">
        <f t="shared" si="5"/>
        <v/>
      </c>
      <c r="H113" s="81"/>
      <c r="I113" s="75" t="str">
        <f t="shared" si="6"/>
        <v/>
      </c>
      <c r="J113" s="80">
        <f t="shared" si="7"/>
        <v>19877.97201</v>
      </c>
      <c r="K113" s="77" t="str">
        <f t="shared" si="3"/>
        <v/>
      </c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</row>
    <row r="114" ht="15.75" customHeight="1">
      <c r="A114" s="68" t="s">
        <v>2189</v>
      </c>
      <c r="B114" s="69"/>
      <c r="C114" s="72">
        <f t="shared" si="4"/>
        <v>29877.97201</v>
      </c>
      <c r="D114" s="71">
        <v>0.01</v>
      </c>
      <c r="E114" s="72">
        <f t="shared" si="1"/>
        <v>298.7797201</v>
      </c>
      <c r="F114" s="72">
        <f t="shared" si="2"/>
        <v>30176.75173</v>
      </c>
      <c r="G114" s="79" t="str">
        <f t="shared" si="5"/>
        <v/>
      </c>
      <c r="H114" s="81"/>
      <c r="I114" s="75" t="str">
        <f t="shared" si="6"/>
        <v/>
      </c>
      <c r="J114" s="80">
        <f t="shared" si="7"/>
        <v>20176.75173</v>
      </c>
      <c r="K114" s="77" t="str">
        <f t="shared" si="3"/>
        <v/>
      </c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</row>
    <row r="115" ht="15.75" customHeight="1">
      <c r="A115" s="68" t="s">
        <v>2190</v>
      </c>
      <c r="B115" s="69"/>
      <c r="C115" s="72">
        <f t="shared" si="4"/>
        <v>30176.75173</v>
      </c>
      <c r="D115" s="71">
        <v>0.01</v>
      </c>
      <c r="E115" s="72">
        <f t="shared" si="1"/>
        <v>301.7675173</v>
      </c>
      <c r="F115" s="72">
        <f t="shared" si="2"/>
        <v>30478.51925</v>
      </c>
      <c r="G115" s="79" t="str">
        <f t="shared" si="5"/>
        <v/>
      </c>
      <c r="H115" s="81"/>
      <c r="I115" s="75" t="str">
        <f t="shared" si="6"/>
        <v/>
      </c>
      <c r="J115" s="80">
        <f t="shared" si="7"/>
        <v>20478.51925</v>
      </c>
      <c r="K115" s="77" t="str">
        <f t="shared" si="3"/>
        <v/>
      </c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</row>
    <row r="116" ht="15.75" customHeight="1">
      <c r="A116" s="68" t="s">
        <v>2191</v>
      </c>
      <c r="B116" s="69"/>
      <c r="C116" s="72">
        <f t="shared" si="4"/>
        <v>30478.51925</v>
      </c>
      <c r="D116" s="71">
        <v>0.01</v>
      </c>
      <c r="E116" s="72">
        <f t="shared" si="1"/>
        <v>304.7851925</v>
      </c>
      <c r="F116" s="72">
        <f t="shared" si="2"/>
        <v>30783.30444</v>
      </c>
      <c r="G116" s="79" t="str">
        <f t="shared" si="5"/>
        <v/>
      </c>
      <c r="H116" s="81"/>
      <c r="I116" s="75" t="str">
        <f t="shared" si="6"/>
        <v/>
      </c>
      <c r="J116" s="80">
        <f t="shared" si="7"/>
        <v>20783.30444</v>
      </c>
      <c r="K116" s="77" t="str">
        <f t="shared" si="3"/>
        <v/>
      </c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</row>
    <row r="117" ht="15.75" customHeight="1">
      <c r="A117" s="68" t="s">
        <v>2192</v>
      </c>
      <c r="B117" s="69"/>
      <c r="C117" s="72">
        <f t="shared" si="4"/>
        <v>30783.30444</v>
      </c>
      <c r="D117" s="71">
        <v>0.01</v>
      </c>
      <c r="E117" s="72">
        <f t="shared" si="1"/>
        <v>307.8330444</v>
      </c>
      <c r="F117" s="72">
        <f t="shared" si="2"/>
        <v>31091.13749</v>
      </c>
      <c r="G117" s="79" t="str">
        <f t="shared" si="5"/>
        <v/>
      </c>
      <c r="H117" s="81"/>
      <c r="I117" s="75" t="str">
        <f t="shared" si="6"/>
        <v/>
      </c>
      <c r="J117" s="80">
        <f t="shared" si="7"/>
        <v>21091.13749</v>
      </c>
      <c r="K117" s="77" t="str">
        <f t="shared" si="3"/>
        <v/>
      </c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</row>
    <row r="118" ht="15.75" customHeight="1">
      <c r="A118" s="68" t="s">
        <v>2193</v>
      </c>
      <c r="B118" s="69"/>
      <c r="C118" s="72">
        <f t="shared" si="4"/>
        <v>31091.13749</v>
      </c>
      <c r="D118" s="71">
        <v>0.01</v>
      </c>
      <c r="E118" s="72">
        <f t="shared" si="1"/>
        <v>310.9113749</v>
      </c>
      <c r="F118" s="72">
        <f t="shared" si="2"/>
        <v>31402.04886</v>
      </c>
      <c r="G118" s="79" t="str">
        <f t="shared" si="5"/>
        <v/>
      </c>
      <c r="H118" s="81"/>
      <c r="I118" s="75" t="str">
        <f t="shared" si="6"/>
        <v/>
      </c>
      <c r="J118" s="80">
        <f t="shared" si="7"/>
        <v>21402.04886</v>
      </c>
      <c r="K118" s="77" t="str">
        <f t="shared" si="3"/>
        <v/>
      </c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</row>
    <row r="119" ht="15.75" customHeight="1">
      <c r="A119" s="68" t="s">
        <v>2194</v>
      </c>
      <c r="B119" s="69"/>
      <c r="C119" s="72">
        <f t="shared" si="4"/>
        <v>31402.04886</v>
      </c>
      <c r="D119" s="71">
        <v>0.01</v>
      </c>
      <c r="E119" s="72">
        <f t="shared" si="1"/>
        <v>314.0204886</v>
      </c>
      <c r="F119" s="72">
        <f t="shared" si="2"/>
        <v>31716.06935</v>
      </c>
      <c r="G119" s="79" t="str">
        <f t="shared" si="5"/>
        <v/>
      </c>
      <c r="H119" s="81"/>
      <c r="I119" s="75" t="str">
        <f t="shared" si="6"/>
        <v/>
      </c>
      <c r="J119" s="80">
        <f t="shared" si="7"/>
        <v>21716.06935</v>
      </c>
      <c r="K119" s="77" t="str">
        <f t="shared" si="3"/>
        <v/>
      </c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</row>
    <row r="120" ht="15.75" customHeight="1">
      <c r="A120" s="68" t="s">
        <v>2195</v>
      </c>
      <c r="B120" s="69"/>
      <c r="C120" s="72">
        <f t="shared" si="4"/>
        <v>31716.06935</v>
      </c>
      <c r="D120" s="71">
        <v>0.01</v>
      </c>
      <c r="E120" s="72">
        <f t="shared" si="1"/>
        <v>317.1606935</v>
      </c>
      <c r="F120" s="72">
        <f t="shared" si="2"/>
        <v>32033.23004</v>
      </c>
      <c r="G120" s="79" t="str">
        <f t="shared" si="5"/>
        <v/>
      </c>
      <c r="H120" s="81"/>
      <c r="I120" s="75" t="str">
        <f t="shared" si="6"/>
        <v/>
      </c>
      <c r="J120" s="80">
        <f t="shared" si="7"/>
        <v>22033.23004</v>
      </c>
      <c r="K120" s="77" t="str">
        <f t="shared" si="3"/>
        <v/>
      </c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</row>
    <row r="121" ht="15.75" customHeight="1">
      <c r="A121" s="68" t="s">
        <v>2196</v>
      </c>
      <c r="B121" s="69"/>
      <c r="C121" s="72">
        <f t="shared" si="4"/>
        <v>32033.23004</v>
      </c>
      <c r="D121" s="71">
        <v>0.01</v>
      </c>
      <c r="E121" s="72">
        <f t="shared" si="1"/>
        <v>320.3323004</v>
      </c>
      <c r="F121" s="72">
        <f t="shared" si="2"/>
        <v>32353.56234</v>
      </c>
      <c r="G121" s="79" t="str">
        <f t="shared" si="5"/>
        <v/>
      </c>
      <c r="H121" s="81"/>
      <c r="I121" s="75" t="str">
        <f t="shared" si="6"/>
        <v/>
      </c>
      <c r="J121" s="80">
        <f t="shared" si="7"/>
        <v>22353.56234</v>
      </c>
      <c r="K121" s="77" t="str">
        <f t="shared" si="3"/>
        <v/>
      </c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</row>
    <row r="122" ht="15.75" customHeight="1">
      <c r="A122" s="68" t="s">
        <v>2197</v>
      </c>
      <c r="B122" s="69"/>
      <c r="C122" s="72">
        <f t="shared" si="4"/>
        <v>32353.56234</v>
      </c>
      <c r="D122" s="71">
        <v>0.01</v>
      </c>
      <c r="E122" s="72">
        <f t="shared" si="1"/>
        <v>323.5356234</v>
      </c>
      <c r="F122" s="72">
        <f t="shared" si="2"/>
        <v>32677.09797</v>
      </c>
      <c r="G122" s="79" t="str">
        <f t="shared" si="5"/>
        <v/>
      </c>
      <c r="H122" s="81"/>
      <c r="I122" s="75" t="str">
        <f t="shared" si="6"/>
        <v/>
      </c>
      <c r="J122" s="80">
        <f t="shared" si="7"/>
        <v>22677.09797</v>
      </c>
      <c r="K122" s="77" t="str">
        <f t="shared" si="3"/>
        <v/>
      </c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</row>
    <row r="123" ht="15.75" customHeight="1">
      <c r="A123" s="68" t="s">
        <v>2198</v>
      </c>
      <c r="B123" s="69"/>
      <c r="C123" s="72">
        <f t="shared" si="4"/>
        <v>32677.09797</v>
      </c>
      <c r="D123" s="71">
        <v>0.01</v>
      </c>
      <c r="E123" s="72">
        <f t="shared" si="1"/>
        <v>326.7709797</v>
      </c>
      <c r="F123" s="72">
        <f t="shared" si="2"/>
        <v>33003.86895</v>
      </c>
      <c r="G123" s="79" t="str">
        <f t="shared" si="5"/>
        <v/>
      </c>
      <c r="H123" s="81"/>
      <c r="I123" s="75" t="str">
        <f t="shared" si="6"/>
        <v/>
      </c>
      <c r="J123" s="80">
        <f t="shared" si="7"/>
        <v>23003.86895</v>
      </c>
      <c r="K123" s="77" t="str">
        <f t="shared" si="3"/>
        <v/>
      </c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</row>
    <row r="124" ht="15.75" customHeight="1">
      <c r="A124" s="68" t="s">
        <v>2199</v>
      </c>
      <c r="B124" s="69"/>
      <c r="C124" s="72">
        <f t="shared" si="4"/>
        <v>33003.86895</v>
      </c>
      <c r="D124" s="71">
        <v>0.01</v>
      </c>
      <c r="E124" s="72">
        <f t="shared" si="1"/>
        <v>330.0386895</v>
      </c>
      <c r="F124" s="72">
        <f t="shared" si="2"/>
        <v>33333.90764</v>
      </c>
      <c r="G124" s="79" t="str">
        <f t="shared" si="5"/>
        <v/>
      </c>
      <c r="H124" s="81"/>
      <c r="I124" s="75" t="str">
        <f t="shared" si="6"/>
        <v/>
      </c>
      <c r="J124" s="80">
        <f t="shared" si="7"/>
        <v>23333.90764</v>
      </c>
      <c r="K124" s="77" t="str">
        <f t="shared" si="3"/>
        <v/>
      </c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</row>
    <row r="125" ht="15.75" customHeight="1">
      <c r="A125" s="68" t="s">
        <v>2200</v>
      </c>
      <c r="B125" s="69"/>
      <c r="C125" s="72">
        <f t="shared" si="4"/>
        <v>33333.90764</v>
      </c>
      <c r="D125" s="71">
        <v>0.01</v>
      </c>
      <c r="E125" s="72">
        <f t="shared" si="1"/>
        <v>333.3390764</v>
      </c>
      <c r="F125" s="72">
        <f t="shared" si="2"/>
        <v>33667.24671</v>
      </c>
      <c r="G125" s="79" t="str">
        <f t="shared" si="5"/>
        <v/>
      </c>
      <c r="H125" s="81"/>
      <c r="I125" s="75" t="str">
        <f t="shared" si="6"/>
        <v/>
      </c>
      <c r="J125" s="80">
        <f t="shared" si="7"/>
        <v>23667.24671</v>
      </c>
      <c r="K125" s="77" t="str">
        <f t="shared" si="3"/>
        <v/>
      </c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</row>
    <row r="126" ht="15.75" customHeight="1">
      <c r="A126" s="68" t="s">
        <v>2201</v>
      </c>
      <c r="B126" s="69"/>
      <c r="C126" s="72">
        <f t="shared" si="4"/>
        <v>33667.24671</v>
      </c>
      <c r="D126" s="71">
        <v>0.01</v>
      </c>
      <c r="E126" s="72">
        <f t="shared" si="1"/>
        <v>336.6724671</v>
      </c>
      <c r="F126" s="72">
        <f t="shared" si="2"/>
        <v>34003.91918</v>
      </c>
      <c r="G126" s="79" t="str">
        <f t="shared" si="5"/>
        <v/>
      </c>
      <c r="H126" s="81"/>
      <c r="I126" s="75" t="str">
        <f t="shared" si="6"/>
        <v/>
      </c>
      <c r="J126" s="80">
        <f t="shared" si="7"/>
        <v>24003.91918</v>
      </c>
      <c r="K126" s="77" t="str">
        <f t="shared" si="3"/>
        <v/>
      </c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</row>
    <row r="127" ht="15.75" customHeight="1">
      <c r="A127" s="68" t="s">
        <v>2202</v>
      </c>
      <c r="B127" s="69"/>
      <c r="C127" s="72">
        <f t="shared" si="4"/>
        <v>34003.91918</v>
      </c>
      <c r="D127" s="71">
        <v>0.01</v>
      </c>
      <c r="E127" s="72">
        <f t="shared" si="1"/>
        <v>340.0391918</v>
      </c>
      <c r="F127" s="72">
        <f t="shared" si="2"/>
        <v>34343.95837</v>
      </c>
      <c r="G127" s="79" t="str">
        <f t="shared" si="5"/>
        <v/>
      </c>
      <c r="H127" s="81"/>
      <c r="I127" s="75" t="str">
        <f t="shared" si="6"/>
        <v/>
      </c>
      <c r="J127" s="80">
        <f t="shared" si="7"/>
        <v>24343.95837</v>
      </c>
      <c r="K127" s="77" t="str">
        <f t="shared" si="3"/>
        <v/>
      </c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</row>
    <row r="128" ht="15.75" customHeight="1">
      <c r="A128" s="68" t="s">
        <v>2203</v>
      </c>
      <c r="B128" s="69"/>
      <c r="C128" s="72">
        <f t="shared" si="4"/>
        <v>34343.95837</v>
      </c>
      <c r="D128" s="71">
        <v>0.01</v>
      </c>
      <c r="E128" s="72">
        <f t="shared" si="1"/>
        <v>343.4395837</v>
      </c>
      <c r="F128" s="72">
        <f t="shared" si="2"/>
        <v>34687.39795</v>
      </c>
      <c r="G128" s="79" t="str">
        <f t="shared" si="5"/>
        <v/>
      </c>
      <c r="H128" s="81"/>
      <c r="I128" s="75" t="str">
        <f t="shared" si="6"/>
        <v/>
      </c>
      <c r="J128" s="80">
        <f t="shared" si="7"/>
        <v>24687.39795</v>
      </c>
      <c r="K128" s="77" t="str">
        <f t="shared" si="3"/>
        <v/>
      </c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</row>
    <row r="129" ht="15.75" customHeight="1">
      <c r="A129" s="68" t="s">
        <v>2204</v>
      </c>
      <c r="B129" s="69"/>
      <c r="C129" s="72">
        <f t="shared" si="4"/>
        <v>34687.39795</v>
      </c>
      <c r="D129" s="71">
        <v>0.01</v>
      </c>
      <c r="E129" s="72">
        <f t="shared" si="1"/>
        <v>346.8739795</v>
      </c>
      <c r="F129" s="72">
        <f t="shared" si="2"/>
        <v>35034.27193</v>
      </c>
      <c r="G129" s="79" t="str">
        <f t="shared" si="5"/>
        <v/>
      </c>
      <c r="H129" s="81"/>
      <c r="I129" s="75" t="str">
        <f t="shared" si="6"/>
        <v/>
      </c>
      <c r="J129" s="80">
        <f t="shared" si="7"/>
        <v>25034.27193</v>
      </c>
      <c r="K129" s="77" t="str">
        <f t="shared" si="3"/>
        <v/>
      </c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</row>
    <row r="130" ht="15.75" customHeight="1">
      <c r="A130" s="68" t="s">
        <v>2205</v>
      </c>
      <c r="B130" s="69"/>
      <c r="C130" s="72">
        <f t="shared" si="4"/>
        <v>35034.27193</v>
      </c>
      <c r="D130" s="71">
        <v>0.01</v>
      </c>
      <c r="E130" s="72">
        <f t="shared" si="1"/>
        <v>350.3427193</v>
      </c>
      <c r="F130" s="72">
        <f t="shared" si="2"/>
        <v>35384.61465</v>
      </c>
      <c r="G130" s="79" t="str">
        <f t="shared" si="5"/>
        <v/>
      </c>
      <c r="H130" s="81"/>
      <c r="I130" s="75" t="str">
        <f t="shared" si="6"/>
        <v/>
      </c>
      <c r="J130" s="80">
        <f t="shared" si="7"/>
        <v>25384.61465</v>
      </c>
      <c r="K130" s="77" t="str">
        <f t="shared" si="3"/>
        <v/>
      </c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</row>
    <row r="131" ht="15.75" customHeight="1">
      <c r="A131" s="68" t="s">
        <v>2206</v>
      </c>
      <c r="B131" s="69"/>
      <c r="C131" s="72">
        <f t="shared" si="4"/>
        <v>35384.61465</v>
      </c>
      <c r="D131" s="71">
        <v>0.01</v>
      </c>
      <c r="E131" s="72">
        <f t="shared" si="1"/>
        <v>353.8461465</v>
      </c>
      <c r="F131" s="72">
        <f t="shared" si="2"/>
        <v>35738.4608</v>
      </c>
      <c r="G131" s="79" t="str">
        <f t="shared" si="5"/>
        <v/>
      </c>
      <c r="H131" s="81"/>
      <c r="I131" s="75" t="str">
        <f t="shared" si="6"/>
        <v/>
      </c>
      <c r="J131" s="80">
        <f t="shared" si="7"/>
        <v>25738.4608</v>
      </c>
      <c r="K131" s="77" t="str">
        <f t="shared" si="3"/>
        <v/>
      </c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</row>
    <row r="132" ht="15.75" customHeight="1">
      <c r="A132" s="68" t="s">
        <v>2207</v>
      </c>
      <c r="B132" s="69"/>
      <c r="C132" s="72">
        <f t="shared" si="4"/>
        <v>35738.4608</v>
      </c>
      <c r="D132" s="71">
        <v>0.01</v>
      </c>
      <c r="E132" s="72">
        <f t="shared" si="1"/>
        <v>357.384608</v>
      </c>
      <c r="F132" s="72">
        <f t="shared" si="2"/>
        <v>36095.84541</v>
      </c>
      <c r="G132" s="79" t="str">
        <f t="shared" si="5"/>
        <v/>
      </c>
      <c r="H132" s="81"/>
      <c r="I132" s="75" t="str">
        <f t="shared" si="6"/>
        <v/>
      </c>
      <c r="J132" s="80">
        <f t="shared" si="7"/>
        <v>26095.84541</v>
      </c>
      <c r="K132" s="77" t="str">
        <f t="shared" si="3"/>
        <v/>
      </c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</row>
    <row r="133" ht="15.75" customHeight="1">
      <c r="A133" s="68" t="s">
        <v>2208</v>
      </c>
      <c r="B133" s="69"/>
      <c r="C133" s="72">
        <f t="shared" si="4"/>
        <v>36095.84541</v>
      </c>
      <c r="D133" s="71">
        <v>0.01</v>
      </c>
      <c r="E133" s="72">
        <f t="shared" si="1"/>
        <v>360.9584541</v>
      </c>
      <c r="F133" s="72">
        <f t="shared" si="2"/>
        <v>36456.80386</v>
      </c>
      <c r="G133" s="79" t="str">
        <f t="shared" si="5"/>
        <v/>
      </c>
      <c r="H133" s="81"/>
      <c r="I133" s="75" t="str">
        <f t="shared" si="6"/>
        <v/>
      </c>
      <c r="J133" s="80">
        <f t="shared" si="7"/>
        <v>26456.80386</v>
      </c>
      <c r="K133" s="77" t="str">
        <f t="shared" si="3"/>
        <v/>
      </c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</row>
    <row r="134" ht="15.75" customHeight="1">
      <c r="A134" s="68" t="s">
        <v>2209</v>
      </c>
      <c r="B134" s="69"/>
      <c r="C134" s="72">
        <f t="shared" si="4"/>
        <v>36456.80386</v>
      </c>
      <c r="D134" s="71">
        <v>0.01</v>
      </c>
      <c r="E134" s="72">
        <f t="shared" si="1"/>
        <v>364.5680386</v>
      </c>
      <c r="F134" s="72">
        <f t="shared" si="2"/>
        <v>36821.3719</v>
      </c>
      <c r="G134" s="79" t="str">
        <f t="shared" si="5"/>
        <v/>
      </c>
      <c r="H134" s="81"/>
      <c r="I134" s="75" t="str">
        <f t="shared" si="6"/>
        <v/>
      </c>
      <c r="J134" s="80">
        <f t="shared" si="7"/>
        <v>26821.3719</v>
      </c>
      <c r="K134" s="77" t="str">
        <f t="shared" si="3"/>
        <v/>
      </c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</row>
    <row r="135" ht="15.75" customHeight="1">
      <c r="A135" s="68" t="s">
        <v>2210</v>
      </c>
      <c r="B135" s="69"/>
      <c r="C135" s="72">
        <f t="shared" si="4"/>
        <v>36821.3719</v>
      </c>
      <c r="D135" s="71">
        <v>0.01</v>
      </c>
      <c r="E135" s="72">
        <f t="shared" si="1"/>
        <v>368.213719</v>
      </c>
      <c r="F135" s="72">
        <f t="shared" si="2"/>
        <v>37189.58562</v>
      </c>
      <c r="G135" s="79" t="str">
        <f t="shared" si="5"/>
        <v/>
      </c>
      <c r="H135" s="81"/>
      <c r="I135" s="75" t="str">
        <f t="shared" si="6"/>
        <v/>
      </c>
      <c r="J135" s="80">
        <f t="shared" si="7"/>
        <v>27189.58562</v>
      </c>
      <c r="K135" s="77" t="str">
        <f t="shared" si="3"/>
        <v/>
      </c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</row>
    <row r="136" ht="15.75" customHeight="1">
      <c r="A136" s="68" t="s">
        <v>2211</v>
      </c>
      <c r="B136" s="69"/>
      <c r="C136" s="72">
        <f t="shared" si="4"/>
        <v>37189.58562</v>
      </c>
      <c r="D136" s="71">
        <v>0.01</v>
      </c>
      <c r="E136" s="72">
        <f t="shared" si="1"/>
        <v>371.8958562</v>
      </c>
      <c r="F136" s="72">
        <f t="shared" si="2"/>
        <v>37561.48148</v>
      </c>
      <c r="G136" s="79" t="str">
        <f t="shared" si="5"/>
        <v/>
      </c>
      <c r="H136" s="81"/>
      <c r="I136" s="75" t="str">
        <f t="shared" si="6"/>
        <v/>
      </c>
      <c r="J136" s="80">
        <f t="shared" si="7"/>
        <v>27561.48148</v>
      </c>
      <c r="K136" s="77" t="str">
        <f t="shared" si="3"/>
        <v/>
      </c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</row>
    <row r="137" ht="15.75" customHeight="1">
      <c r="A137" s="68" t="s">
        <v>2212</v>
      </c>
      <c r="B137" s="69"/>
      <c r="C137" s="72">
        <f t="shared" si="4"/>
        <v>37561.48148</v>
      </c>
      <c r="D137" s="71">
        <v>0.01</v>
      </c>
      <c r="E137" s="72">
        <f t="shared" si="1"/>
        <v>375.6148148</v>
      </c>
      <c r="F137" s="72">
        <f t="shared" si="2"/>
        <v>37937.09629</v>
      </c>
      <c r="G137" s="79" t="str">
        <f t="shared" si="5"/>
        <v/>
      </c>
      <c r="H137" s="81"/>
      <c r="I137" s="75" t="str">
        <f t="shared" si="6"/>
        <v/>
      </c>
      <c r="J137" s="80">
        <f t="shared" si="7"/>
        <v>27937.09629</v>
      </c>
      <c r="K137" s="77" t="str">
        <f t="shared" si="3"/>
        <v/>
      </c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</row>
    <row r="138" ht="15.75" customHeight="1">
      <c r="A138" s="68" t="s">
        <v>2213</v>
      </c>
      <c r="B138" s="69"/>
      <c r="C138" s="72">
        <f t="shared" si="4"/>
        <v>37937.09629</v>
      </c>
      <c r="D138" s="71">
        <v>0.01</v>
      </c>
      <c r="E138" s="72">
        <f t="shared" si="1"/>
        <v>379.3709629</v>
      </c>
      <c r="F138" s="72">
        <f t="shared" si="2"/>
        <v>38316.46725</v>
      </c>
      <c r="G138" s="79" t="str">
        <f t="shared" si="5"/>
        <v/>
      </c>
      <c r="H138" s="81"/>
      <c r="I138" s="75" t="str">
        <f t="shared" si="6"/>
        <v/>
      </c>
      <c r="J138" s="80">
        <f t="shared" si="7"/>
        <v>28316.46725</v>
      </c>
      <c r="K138" s="77" t="str">
        <f t="shared" si="3"/>
        <v/>
      </c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</row>
    <row r="139" ht="15.75" customHeight="1">
      <c r="A139" s="68" t="s">
        <v>2214</v>
      </c>
      <c r="B139" s="69"/>
      <c r="C139" s="72">
        <f t="shared" si="4"/>
        <v>38316.46725</v>
      </c>
      <c r="D139" s="71">
        <v>0.01</v>
      </c>
      <c r="E139" s="72">
        <f t="shared" si="1"/>
        <v>383.1646725</v>
      </c>
      <c r="F139" s="72">
        <f t="shared" si="2"/>
        <v>38699.63193</v>
      </c>
      <c r="G139" s="79" t="str">
        <f t="shared" si="5"/>
        <v/>
      </c>
      <c r="H139" s="81"/>
      <c r="I139" s="75" t="str">
        <f t="shared" si="6"/>
        <v/>
      </c>
      <c r="J139" s="80">
        <f t="shared" si="7"/>
        <v>28699.63193</v>
      </c>
      <c r="K139" s="77" t="str">
        <f t="shared" si="3"/>
        <v/>
      </c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</row>
    <row r="140" ht="15.75" customHeight="1">
      <c r="A140" s="68" t="s">
        <v>2215</v>
      </c>
      <c r="B140" s="69"/>
      <c r="C140" s="72">
        <f t="shared" si="4"/>
        <v>38699.63193</v>
      </c>
      <c r="D140" s="71">
        <v>0.01</v>
      </c>
      <c r="E140" s="72">
        <f t="shared" si="1"/>
        <v>386.9963193</v>
      </c>
      <c r="F140" s="72">
        <f t="shared" si="2"/>
        <v>39086.62824</v>
      </c>
      <c r="G140" s="79" t="str">
        <f t="shared" si="5"/>
        <v/>
      </c>
      <c r="H140" s="81"/>
      <c r="I140" s="75" t="str">
        <f t="shared" si="6"/>
        <v/>
      </c>
      <c r="J140" s="80">
        <f t="shared" si="7"/>
        <v>29086.62824</v>
      </c>
      <c r="K140" s="77" t="str">
        <f t="shared" si="3"/>
        <v/>
      </c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</row>
    <row r="141" ht="15.75" customHeight="1">
      <c r="A141" s="68" t="s">
        <v>2216</v>
      </c>
      <c r="B141" s="69"/>
      <c r="C141" s="72">
        <f t="shared" si="4"/>
        <v>39086.62824</v>
      </c>
      <c r="D141" s="71">
        <v>0.01</v>
      </c>
      <c r="E141" s="72">
        <f t="shared" si="1"/>
        <v>390.8662824</v>
      </c>
      <c r="F141" s="72">
        <f t="shared" si="2"/>
        <v>39477.49453</v>
      </c>
      <c r="G141" s="79" t="str">
        <f t="shared" si="5"/>
        <v/>
      </c>
      <c r="H141" s="81"/>
      <c r="I141" s="75" t="str">
        <f t="shared" si="6"/>
        <v/>
      </c>
      <c r="J141" s="80">
        <f t="shared" si="7"/>
        <v>29477.49453</v>
      </c>
      <c r="K141" s="77" t="str">
        <f t="shared" si="3"/>
        <v/>
      </c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</row>
    <row r="142" ht="15.75" customHeight="1">
      <c r="A142" s="68" t="s">
        <v>2217</v>
      </c>
      <c r="B142" s="69"/>
      <c r="C142" s="72">
        <f t="shared" si="4"/>
        <v>39477.49453</v>
      </c>
      <c r="D142" s="71">
        <v>0.01</v>
      </c>
      <c r="E142" s="72">
        <f t="shared" si="1"/>
        <v>394.7749453</v>
      </c>
      <c r="F142" s="72">
        <f t="shared" si="2"/>
        <v>39872.26947</v>
      </c>
      <c r="G142" s="79" t="str">
        <f t="shared" si="5"/>
        <v/>
      </c>
      <c r="H142" s="81"/>
      <c r="I142" s="75" t="str">
        <f t="shared" si="6"/>
        <v/>
      </c>
      <c r="J142" s="80">
        <f t="shared" si="7"/>
        <v>29872.26947</v>
      </c>
      <c r="K142" s="77" t="str">
        <f t="shared" si="3"/>
        <v/>
      </c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</row>
    <row r="143" ht="15.75" customHeight="1">
      <c r="A143" s="68" t="s">
        <v>2218</v>
      </c>
      <c r="B143" s="69"/>
      <c r="C143" s="72">
        <f t="shared" si="4"/>
        <v>39872.26947</v>
      </c>
      <c r="D143" s="71">
        <v>0.01</v>
      </c>
      <c r="E143" s="72">
        <f t="shared" si="1"/>
        <v>398.7226947</v>
      </c>
      <c r="F143" s="72">
        <f t="shared" si="2"/>
        <v>40270.99217</v>
      </c>
      <c r="G143" s="79" t="str">
        <f t="shared" si="5"/>
        <v/>
      </c>
      <c r="H143" s="81"/>
      <c r="I143" s="75" t="str">
        <f t="shared" si="6"/>
        <v/>
      </c>
      <c r="J143" s="80">
        <f t="shared" si="7"/>
        <v>30270.99217</v>
      </c>
      <c r="K143" s="77" t="str">
        <f t="shared" si="3"/>
        <v/>
      </c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</row>
    <row r="144" ht="15.75" customHeight="1">
      <c r="A144" s="68" t="s">
        <v>2219</v>
      </c>
      <c r="B144" s="69"/>
      <c r="C144" s="72">
        <f t="shared" si="4"/>
        <v>40270.99217</v>
      </c>
      <c r="D144" s="71">
        <v>0.01</v>
      </c>
      <c r="E144" s="72">
        <f t="shared" si="1"/>
        <v>402.7099217</v>
      </c>
      <c r="F144" s="72">
        <f t="shared" si="2"/>
        <v>40673.70209</v>
      </c>
      <c r="G144" s="79" t="str">
        <f t="shared" si="5"/>
        <v/>
      </c>
      <c r="H144" s="81"/>
      <c r="I144" s="75" t="str">
        <f t="shared" si="6"/>
        <v/>
      </c>
      <c r="J144" s="80">
        <f t="shared" si="7"/>
        <v>30673.70209</v>
      </c>
      <c r="K144" s="77" t="str">
        <f t="shared" si="3"/>
        <v/>
      </c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</row>
    <row r="145" ht="15.75" customHeight="1">
      <c r="A145" s="68" t="s">
        <v>2220</v>
      </c>
      <c r="B145" s="69"/>
      <c r="C145" s="72">
        <f t="shared" si="4"/>
        <v>40673.70209</v>
      </c>
      <c r="D145" s="71">
        <v>0.01</v>
      </c>
      <c r="E145" s="72">
        <f t="shared" si="1"/>
        <v>406.7370209</v>
      </c>
      <c r="F145" s="72">
        <f t="shared" si="2"/>
        <v>41080.43911</v>
      </c>
      <c r="G145" s="79" t="str">
        <f t="shared" si="5"/>
        <v/>
      </c>
      <c r="H145" s="81"/>
      <c r="I145" s="75" t="str">
        <f t="shared" si="6"/>
        <v/>
      </c>
      <c r="J145" s="80">
        <f t="shared" si="7"/>
        <v>31080.43911</v>
      </c>
      <c r="K145" s="77" t="str">
        <f t="shared" si="3"/>
        <v/>
      </c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</row>
    <row r="146" ht="15.75" customHeight="1">
      <c r="A146" s="68" t="s">
        <v>2221</v>
      </c>
      <c r="B146" s="69"/>
      <c r="C146" s="72">
        <f t="shared" si="4"/>
        <v>41080.43911</v>
      </c>
      <c r="D146" s="71">
        <v>0.01</v>
      </c>
      <c r="E146" s="72">
        <f t="shared" si="1"/>
        <v>410.8043911</v>
      </c>
      <c r="F146" s="72">
        <f t="shared" si="2"/>
        <v>41491.2435</v>
      </c>
      <c r="G146" s="79" t="str">
        <f t="shared" si="5"/>
        <v/>
      </c>
      <c r="H146" s="81"/>
      <c r="I146" s="75" t="str">
        <f t="shared" si="6"/>
        <v/>
      </c>
      <c r="J146" s="80">
        <f t="shared" si="7"/>
        <v>31491.2435</v>
      </c>
      <c r="K146" s="77" t="str">
        <f t="shared" si="3"/>
        <v/>
      </c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</row>
    <row r="147" ht="15.75" customHeight="1">
      <c r="A147" s="68" t="s">
        <v>2222</v>
      </c>
      <c r="B147" s="69"/>
      <c r="C147" s="72">
        <f t="shared" si="4"/>
        <v>41491.2435</v>
      </c>
      <c r="D147" s="71">
        <v>0.01</v>
      </c>
      <c r="E147" s="72">
        <f t="shared" si="1"/>
        <v>414.912435</v>
      </c>
      <c r="F147" s="72">
        <f t="shared" si="2"/>
        <v>41906.15594</v>
      </c>
      <c r="G147" s="79" t="str">
        <f t="shared" si="5"/>
        <v/>
      </c>
      <c r="H147" s="81"/>
      <c r="I147" s="75" t="str">
        <f t="shared" si="6"/>
        <v/>
      </c>
      <c r="J147" s="80">
        <f t="shared" si="7"/>
        <v>31906.15594</v>
      </c>
      <c r="K147" s="77" t="str">
        <f t="shared" si="3"/>
        <v/>
      </c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</row>
    <row r="148" ht="15.75" customHeight="1">
      <c r="A148" s="68" t="s">
        <v>2223</v>
      </c>
      <c r="B148" s="69"/>
      <c r="C148" s="72">
        <f t="shared" si="4"/>
        <v>41906.15594</v>
      </c>
      <c r="D148" s="71">
        <v>0.01</v>
      </c>
      <c r="E148" s="72">
        <f t="shared" si="1"/>
        <v>419.0615594</v>
      </c>
      <c r="F148" s="72">
        <f t="shared" si="2"/>
        <v>42325.2175</v>
      </c>
      <c r="G148" s="79" t="str">
        <f t="shared" si="5"/>
        <v/>
      </c>
      <c r="H148" s="81"/>
      <c r="I148" s="75" t="str">
        <f t="shared" si="6"/>
        <v/>
      </c>
      <c r="J148" s="80">
        <f t="shared" si="7"/>
        <v>32325.2175</v>
      </c>
      <c r="K148" s="77" t="str">
        <f t="shared" si="3"/>
        <v/>
      </c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</row>
    <row r="149" ht="15.75" customHeight="1">
      <c r="A149" s="68" t="s">
        <v>2224</v>
      </c>
      <c r="B149" s="69"/>
      <c r="C149" s="72">
        <f t="shared" si="4"/>
        <v>42325.2175</v>
      </c>
      <c r="D149" s="71">
        <v>0.01</v>
      </c>
      <c r="E149" s="72">
        <f t="shared" si="1"/>
        <v>423.252175</v>
      </c>
      <c r="F149" s="72">
        <f t="shared" si="2"/>
        <v>42748.46967</v>
      </c>
      <c r="G149" s="79" t="str">
        <f t="shared" si="5"/>
        <v/>
      </c>
      <c r="H149" s="81"/>
      <c r="I149" s="75" t="str">
        <f t="shared" si="6"/>
        <v/>
      </c>
      <c r="J149" s="80">
        <f t="shared" si="7"/>
        <v>32748.46967</v>
      </c>
      <c r="K149" s="77" t="str">
        <f t="shared" si="3"/>
        <v/>
      </c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</row>
    <row r="150" ht="15.75" customHeight="1">
      <c r="A150" s="68" t="s">
        <v>2225</v>
      </c>
      <c r="B150" s="69"/>
      <c r="C150" s="72">
        <f t="shared" si="4"/>
        <v>42748.46967</v>
      </c>
      <c r="D150" s="71">
        <v>0.01</v>
      </c>
      <c r="E150" s="72">
        <f t="shared" si="1"/>
        <v>427.4846967</v>
      </c>
      <c r="F150" s="72">
        <f t="shared" si="2"/>
        <v>43175.95437</v>
      </c>
      <c r="G150" s="79" t="str">
        <f t="shared" si="5"/>
        <v/>
      </c>
      <c r="H150" s="81"/>
      <c r="I150" s="75" t="str">
        <f t="shared" si="6"/>
        <v/>
      </c>
      <c r="J150" s="80">
        <f t="shared" si="7"/>
        <v>33175.95437</v>
      </c>
      <c r="K150" s="77" t="str">
        <f t="shared" si="3"/>
        <v/>
      </c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</row>
    <row r="151" ht="15.75" customHeight="1">
      <c r="A151" s="68" t="s">
        <v>2226</v>
      </c>
      <c r="B151" s="69"/>
      <c r="C151" s="72">
        <f t="shared" si="4"/>
        <v>43175.95437</v>
      </c>
      <c r="D151" s="71">
        <v>0.01</v>
      </c>
      <c r="E151" s="72">
        <f t="shared" si="1"/>
        <v>431.7595437</v>
      </c>
      <c r="F151" s="72">
        <f t="shared" si="2"/>
        <v>43607.71391</v>
      </c>
      <c r="G151" s="79" t="str">
        <f t="shared" si="5"/>
        <v/>
      </c>
      <c r="H151" s="81"/>
      <c r="I151" s="75" t="str">
        <f t="shared" si="6"/>
        <v/>
      </c>
      <c r="J151" s="80">
        <f t="shared" si="7"/>
        <v>33607.71391</v>
      </c>
      <c r="K151" s="77" t="str">
        <f t="shared" si="3"/>
        <v/>
      </c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</row>
    <row r="152" ht="15.75" customHeight="1">
      <c r="A152" s="68" t="s">
        <v>2227</v>
      </c>
      <c r="B152" s="69"/>
      <c r="C152" s="72">
        <f t="shared" si="4"/>
        <v>43607.71391</v>
      </c>
      <c r="D152" s="71">
        <v>0.01</v>
      </c>
      <c r="E152" s="72">
        <f t="shared" si="1"/>
        <v>436.0771391</v>
      </c>
      <c r="F152" s="72">
        <f t="shared" si="2"/>
        <v>44043.79105</v>
      </c>
      <c r="G152" s="79" t="str">
        <f t="shared" si="5"/>
        <v/>
      </c>
      <c r="H152" s="81"/>
      <c r="I152" s="75" t="str">
        <f t="shared" si="6"/>
        <v/>
      </c>
      <c r="J152" s="80">
        <f t="shared" si="7"/>
        <v>34043.79105</v>
      </c>
      <c r="K152" s="77" t="str">
        <f t="shared" si="3"/>
        <v/>
      </c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</row>
    <row r="153" ht="15.75" customHeight="1">
      <c r="A153" s="68" t="s">
        <v>2228</v>
      </c>
      <c r="B153" s="69"/>
      <c r="C153" s="72">
        <f t="shared" si="4"/>
        <v>44043.79105</v>
      </c>
      <c r="D153" s="71">
        <v>0.01</v>
      </c>
      <c r="E153" s="72">
        <f t="shared" si="1"/>
        <v>440.4379105</v>
      </c>
      <c r="F153" s="72">
        <f t="shared" si="2"/>
        <v>44484.22896</v>
      </c>
      <c r="G153" s="79" t="str">
        <f t="shared" si="5"/>
        <v/>
      </c>
      <c r="H153" s="81"/>
      <c r="I153" s="75" t="str">
        <f t="shared" si="6"/>
        <v/>
      </c>
      <c r="J153" s="80">
        <f t="shared" si="7"/>
        <v>34484.22896</v>
      </c>
      <c r="K153" s="77" t="str">
        <f t="shared" si="3"/>
        <v/>
      </c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</row>
    <row r="154" ht="15.75" customHeight="1">
      <c r="A154" s="68" t="s">
        <v>2229</v>
      </c>
      <c r="B154" s="69"/>
      <c r="C154" s="72">
        <f t="shared" si="4"/>
        <v>44484.22896</v>
      </c>
      <c r="D154" s="71">
        <v>0.01</v>
      </c>
      <c r="E154" s="72">
        <f t="shared" si="1"/>
        <v>444.8422896</v>
      </c>
      <c r="F154" s="72">
        <f t="shared" si="2"/>
        <v>44929.07125</v>
      </c>
      <c r="G154" s="79" t="str">
        <f t="shared" si="5"/>
        <v/>
      </c>
      <c r="H154" s="81"/>
      <c r="I154" s="75" t="str">
        <f t="shared" si="6"/>
        <v/>
      </c>
      <c r="J154" s="80">
        <f t="shared" si="7"/>
        <v>34929.07125</v>
      </c>
      <c r="K154" s="77" t="str">
        <f t="shared" si="3"/>
        <v/>
      </c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</row>
    <row r="155" ht="15.75" customHeight="1">
      <c r="A155" s="68" t="s">
        <v>2230</v>
      </c>
      <c r="B155" s="69"/>
      <c r="C155" s="72">
        <f t="shared" si="4"/>
        <v>44929.07125</v>
      </c>
      <c r="D155" s="71">
        <v>0.01</v>
      </c>
      <c r="E155" s="72">
        <f t="shared" si="1"/>
        <v>449.2907125</v>
      </c>
      <c r="F155" s="72">
        <f t="shared" si="2"/>
        <v>45378.36196</v>
      </c>
      <c r="G155" s="79" t="str">
        <f t="shared" si="5"/>
        <v/>
      </c>
      <c r="H155" s="81"/>
      <c r="I155" s="75" t="str">
        <f t="shared" si="6"/>
        <v/>
      </c>
      <c r="J155" s="80">
        <f t="shared" si="7"/>
        <v>35378.36196</v>
      </c>
      <c r="K155" s="77" t="str">
        <f t="shared" si="3"/>
        <v/>
      </c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</row>
    <row r="156" ht="15.75" customHeight="1">
      <c r="A156" s="68" t="s">
        <v>2231</v>
      </c>
      <c r="B156" s="69"/>
      <c r="C156" s="72">
        <f t="shared" si="4"/>
        <v>45378.36196</v>
      </c>
      <c r="D156" s="71">
        <v>0.01</v>
      </c>
      <c r="E156" s="72">
        <f t="shared" si="1"/>
        <v>453.7836196</v>
      </c>
      <c r="F156" s="72">
        <f t="shared" si="2"/>
        <v>45832.14558</v>
      </c>
      <c r="G156" s="79" t="str">
        <f t="shared" si="5"/>
        <v/>
      </c>
      <c r="H156" s="81"/>
      <c r="I156" s="75" t="str">
        <f t="shared" si="6"/>
        <v/>
      </c>
      <c r="J156" s="80">
        <f t="shared" si="7"/>
        <v>35832.14558</v>
      </c>
      <c r="K156" s="77" t="str">
        <f t="shared" si="3"/>
        <v/>
      </c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</row>
    <row r="157" ht="15.75" customHeight="1">
      <c r="A157" s="68" t="s">
        <v>2232</v>
      </c>
      <c r="B157" s="69"/>
      <c r="C157" s="72">
        <f t="shared" si="4"/>
        <v>45832.14558</v>
      </c>
      <c r="D157" s="71">
        <v>0.01</v>
      </c>
      <c r="E157" s="72">
        <f t="shared" si="1"/>
        <v>458.3214558</v>
      </c>
      <c r="F157" s="72">
        <f t="shared" si="2"/>
        <v>46290.46704</v>
      </c>
      <c r="G157" s="79" t="str">
        <f t="shared" si="5"/>
        <v/>
      </c>
      <c r="H157" s="81"/>
      <c r="I157" s="75" t="str">
        <f t="shared" si="6"/>
        <v/>
      </c>
      <c r="J157" s="80">
        <f t="shared" si="7"/>
        <v>36290.46704</v>
      </c>
      <c r="K157" s="77" t="str">
        <f t="shared" si="3"/>
        <v/>
      </c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</row>
    <row r="158" ht="15.75" customHeight="1">
      <c r="A158" s="68" t="s">
        <v>2233</v>
      </c>
      <c r="B158" s="69"/>
      <c r="C158" s="72">
        <f t="shared" si="4"/>
        <v>46290.46704</v>
      </c>
      <c r="D158" s="71">
        <v>0.01</v>
      </c>
      <c r="E158" s="72">
        <f t="shared" si="1"/>
        <v>462.9046704</v>
      </c>
      <c r="F158" s="72">
        <f t="shared" si="2"/>
        <v>46753.37171</v>
      </c>
      <c r="G158" s="79" t="str">
        <f t="shared" si="5"/>
        <v/>
      </c>
      <c r="H158" s="81"/>
      <c r="I158" s="75" t="str">
        <f t="shared" si="6"/>
        <v/>
      </c>
      <c r="J158" s="80">
        <f t="shared" si="7"/>
        <v>36753.37171</v>
      </c>
      <c r="K158" s="77" t="str">
        <f t="shared" si="3"/>
        <v/>
      </c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</row>
    <row r="159" ht="15.75" customHeight="1">
      <c r="A159" s="68" t="s">
        <v>2234</v>
      </c>
      <c r="B159" s="69"/>
      <c r="C159" s="72">
        <f t="shared" si="4"/>
        <v>46753.37171</v>
      </c>
      <c r="D159" s="71">
        <v>0.01</v>
      </c>
      <c r="E159" s="72">
        <f t="shared" si="1"/>
        <v>467.5337171</v>
      </c>
      <c r="F159" s="72">
        <f t="shared" si="2"/>
        <v>47220.90543</v>
      </c>
      <c r="G159" s="79" t="str">
        <f t="shared" si="5"/>
        <v/>
      </c>
      <c r="H159" s="81"/>
      <c r="I159" s="75" t="str">
        <f t="shared" si="6"/>
        <v/>
      </c>
      <c r="J159" s="80">
        <f t="shared" si="7"/>
        <v>37220.90543</v>
      </c>
      <c r="K159" s="77" t="str">
        <f t="shared" si="3"/>
        <v/>
      </c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</row>
    <row r="160" ht="15.75" customHeight="1">
      <c r="A160" s="68" t="s">
        <v>2235</v>
      </c>
      <c r="B160" s="69"/>
      <c r="C160" s="72">
        <f t="shared" si="4"/>
        <v>47220.90543</v>
      </c>
      <c r="D160" s="71">
        <v>0.01</v>
      </c>
      <c r="E160" s="72">
        <f t="shared" si="1"/>
        <v>472.2090543</v>
      </c>
      <c r="F160" s="72">
        <f t="shared" si="2"/>
        <v>47693.11448</v>
      </c>
      <c r="G160" s="79" t="str">
        <f t="shared" si="5"/>
        <v/>
      </c>
      <c r="H160" s="81"/>
      <c r="I160" s="75" t="str">
        <f t="shared" si="6"/>
        <v/>
      </c>
      <c r="J160" s="80">
        <f t="shared" si="7"/>
        <v>37693.11448</v>
      </c>
      <c r="K160" s="77" t="str">
        <f t="shared" si="3"/>
        <v/>
      </c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</row>
    <row r="161" ht="15.75" customHeight="1">
      <c r="A161" s="68" t="s">
        <v>2236</v>
      </c>
      <c r="B161" s="69"/>
      <c r="C161" s="72">
        <f t="shared" si="4"/>
        <v>47693.11448</v>
      </c>
      <c r="D161" s="71">
        <v>0.01</v>
      </c>
      <c r="E161" s="72">
        <f t="shared" si="1"/>
        <v>476.9311448</v>
      </c>
      <c r="F161" s="72">
        <f t="shared" si="2"/>
        <v>48170.04562</v>
      </c>
      <c r="G161" s="79" t="str">
        <f t="shared" si="5"/>
        <v/>
      </c>
      <c r="H161" s="81"/>
      <c r="I161" s="75" t="str">
        <f t="shared" si="6"/>
        <v/>
      </c>
      <c r="J161" s="80">
        <f t="shared" si="7"/>
        <v>38170.04562</v>
      </c>
      <c r="K161" s="77" t="str">
        <f t="shared" si="3"/>
        <v/>
      </c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</row>
    <row r="162" ht="15.75" customHeight="1">
      <c r="A162" s="68" t="s">
        <v>2237</v>
      </c>
      <c r="B162" s="69"/>
      <c r="C162" s="72">
        <f t="shared" si="4"/>
        <v>48170.04562</v>
      </c>
      <c r="D162" s="71">
        <v>0.01</v>
      </c>
      <c r="E162" s="72">
        <f t="shared" si="1"/>
        <v>481.7004562</v>
      </c>
      <c r="F162" s="72">
        <f t="shared" si="2"/>
        <v>48651.74608</v>
      </c>
      <c r="G162" s="79" t="str">
        <f t="shared" si="5"/>
        <v/>
      </c>
      <c r="H162" s="81"/>
      <c r="I162" s="75" t="str">
        <f t="shared" si="6"/>
        <v/>
      </c>
      <c r="J162" s="80">
        <f t="shared" si="7"/>
        <v>38651.74608</v>
      </c>
      <c r="K162" s="77" t="str">
        <f t="shared" si="3"/>
        <v/>
      </c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</row>
    <row r="163" ht="15.75" customHeight="1">
      <c r="A163" s="68" t="s">
        <v>2238</v>
      </c>
      <c r="B163" s="69"/>
      <c r="C163" s="72">
        <f t="shared" si="4"/>
        <v>48651.74608</v>
      </c>
      <c r="D163" s="71">
        <v>0.01</v>
      </c>
      <c r="E163" s="72">
        <f t="shared" si="1"/>
        <v>486.5174608</v>
      </c>
      <c r="F163" s="72">
        <f t="shared" si="2"/>
        <v>49138.26354</v>
      </c>
      <c r="G163" s="79" t="str">
        <f t="shared" si="5"/>
        <v/>
      </c>
      <c r="H163" s="81"/>
      <c r="I163" s="75" t="str">
        <f t="shared" si="6"/>
        <v/>
      </c>
      <c r="J163" s="80">
        <f t="shared" si="7"/>
        <v>39138.26354</v>
      </c>
      <c r="K163" s="77" t="str">
        <f t="shared" si="3"/>
        <v/>
      </c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</row>
    <row r="164" ht="15.75" customHeight="1">
      <c r="A164" s="68" t="s">
        <v>2239</v>
      </c>
      <c r="B164" s="69"/>
      <c r="C164" s="72">
        <f t="shared" si="4"/>
        <v>49138.26354</v>
      </c>
      <c r="D164" s="71">
        <v>0.01</v>
      </c>
      <c r="E164" s="72">
        <f t="shared" si="1"/>
        <v>491.3826354</v>
      </c>
      <c r="F164" s="72">
        <f t="shared" si="2"/>
        <v>49629.64618</v>
      </c>
      <c r="G164" s="79" t="str">
        <f t="shared" si="5"/>
        <v/>
      </c>
      <c r="H164" s="81"/>
      <c r="I164" s="75" t="str">
        <f t="shared" si="6"/>
        <v/>
      </c>
      <c r="J164" s="80">
        <f t="shared" si="7"/>
        <v>39629.64618</v>
      </c>
      <c r="K164" s="77" t="str">
        <f t="shared" si="3"/>
        <v/>
      </c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</row>
    <row r="165" ht="15.75" customHeight="1">
      <c r="A165" s="68" t="s">
        <v>2240</v>
      </c>
      <c r="B165" s="69"/>
      <c r="C165" s="72">
        <f t="shared" si="4"/>
        <v>49629.64618</v>
      </c>
      <c r="D165" s="71">
        <v>0.01</v>
      </c>
      <c r="E165" s="72">
        <f t="shared" si="1"/>
        <v>496.2964618</v>
      </c>
      <c r="F165" s="72">
        <f t="shared" si="2"/>
        <v>50125.94264</v>
      </c>
      <c r="G165" s="79" t="str">
        <f t="shared" si="5"/>
        <v/>
      </c>
      <c r="H165" s="81"/>
      <c r="I165" s="75" t="str">
        <f t="shared" si="6"/>
        <v/>
      </c>
      <c r="J165" s="80">
        <f t="shared" si="7"/>
        <v>40125.94264</v>
      </c>
      <c r="K165" s="77" t="str">
        <f t="shared" si="3"/>
        <v/>
      </c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</row>
    <row r="166" ht="15.75" customHeight="1">
      <c r="A166" s="68" t="s">
        <v>2241</v>
      </c>
      <c r="B166" s="69"/>
      <c r="C166" s="72">
        <f t="shared" si="4"/>
        <v>50125.94264</v>
      </c>
      <c r="D166" s="71">
        <v>0.01</v>
      </c>
      <c r="E166" s="72">
        <f t="shared" si="1"/>
        <v>501.2594264</v>
      </c>
      <c r="F166" s="72">
        <f t="shared" si="2"/>
        <v>50627.20206</v>
      </c>
      <c r="G166" s="79" t="str">
        <f t="shared" si="5"/>
        <v/>
      </c>
      <c r="H166" s="81"/>
      <c r="I166" s="75" t="str">
        <f t="shared" si="6"/>
        <v/>
      </c>
      <c r="J166" s="80">
        <f t="shared" si="7"/>
        <v>40627.20206</v>
      </c>
      <c r="K166" s="77" t="str">
        <f t="shared" si="3"/>
        <v/>
      </c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</row>
    <row r="167" ht="15.75" customHeight="1">
      <c r="A167" s="68" t="s">
        <v>2242</v>
      </c>
      <c r="B167" s="69"/>
      <c r="C167" s="72">
        <f t="shared" si="4"/>
        <v>50627.20206</v>
      </c>
      <c r="D167" s="71">
        <v>0.01</v>
      </c>
      <c r="E167" s="72">
        <f t="shared" si="1"/>
        <v>506.2720206</v>
      </c>
      <c r="F167" s="72">
        <f t="shared" si="2"/>
        <v>51133.47409</v>
      </c>
      <c r="G167" s="79" t="str">
        <f t="shared" si="5"/>
        <v/>
      </c>
      <c r="H167" s="81"/>
      <c r="I167" s="75" t="str">
        <f t="shared" si="6"/>
        <v/>
      </c>
      <c r="J167" s="80">
        <f t="shared" si="7"/>
        <v>41133.47409</v>
      </c>
      <c r="K167" s="77" t="str">
        <f t="shared" si="3"/>
        <v/>
      </c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</row>
    <row r="168" ht="15.75" customHeight="1">
      <c r="A168" s="68" t="s">
        <v>2243</v>
      </c>
      <c r="B168" s="69"/>
      <c r="C168" s="72">
        <f t="shared" si="4"/>
        <v>51133.47409</v>
      </c>
      <c r="D168" s="71">
        <v>0.01</v>
      </c>
      <c r="E168" s="72">
        <f t="shared" si="1"/>
        <v>511.3347409</v>
      </c>
      <c r="F168" s="72">
        <f t="shared" si="2"/>
        <v>51644.80883</v>
      </c>
      <c r="G168" s="79" t="str">
        <f t="shared" si="5"/>
        <v/>
      </c>
      <c r="H168" s="81"/>
      <c r="I168" s="75" t="str">
        <f t="shared" si="6"/>
        <v/>
      </c>
      <c r="J168" s="80">
        <f t="shared" si="7"/>
        <v>41644.80883</v>
      </c>
      <c r="K168" s="77" t="str">
        <f t="shared" si="3"/>
        <v/>
      </c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</row>
    <row r="169" ht="15.75" customHeight="1">
      <c r="A169" s="68" t="s">
        <v>2244</v>
      </c>
      <c r="B169" s="69"/>
      <c r="C169" s="72">
        <f t="shared" si="4"/>
        <v>51644.80883</v>
      </c>
      <c r="D169" s="71">
        <v>0.01</v>
      </c>
      <c r="E169" s="72">
        <f t="shared" si="1"/>
        <v>516.4480883</v>
      </c>
      <c r="F169" s="72">
        <f t="shared" si="2"/>
        <v>52161.25691</v>
      </c>
      <c r="G169" s="79" t="str">
        <f t="shared" si="5"/>
        <v/>
      </c>
      <c r="H169" s="81"/>
      <c r="I169" s="75" t="str">
        <f t="shared" si="6"/>
        <v/>
      </c>
      <c r="J169" s="80">
        <f t="shared" si="7"/>
        <v>42161.25691</v>
      </c>
      <c r="K169" s="77" t="str">
        <f t="shared" si="3"/>
        <v/>
      </c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</row>
    <row r="170" ht="15.75" customHeight="1">
      <c r="A170" s="68" t="s">
        <v>2245</v>
      </c>
      <c r="B170" s="69"/>
      <c r="C170" s="72">
        <f t="shared" si="4"/>
        <v>52161.25691</v>
      </c>
      <c r="D170" s="71">
        <v>0.01</v>
      </c>
      <c r="E170" s="72">
        <f t="shared" si="1"/>
        <v>521.6125691</v>
      </c>
      <c r="F170" s="72">
        <f t="shared" si="2"/>
        <v>52682.86948</v>
      </c>
      <c r="G170" s="79" t="str">
        <f t="shared" si="5"/>
        <v/>
      </c>
      <c r="H170" s="81"/>
      <c r="I170" s="75" t="str">
        <f t="shared" si="6"/>
        <v/>
      </c>
      <c r="J170" s="80">
        <f t="shared" si="7"/>
        <v>42682.86948</v>
      </c>
      <c r="K170" s="77" t="str">
        <f t="shared" si="3"/>
        <v/>
      </c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</row>
    <row r="171" ht="15.75" customHeight="1">
      <c r="A171" s="68" t="s">
        <v>2246</v>
      </c>
      <c r="B171" s="69"/>
      <c r="C171" s="72">
        <f t="shared" si="4"/>
        <v>52682.86948</v>
      </c>
      <c r="D171" s="71">
        <v>0.01</v>
      </c>
      <c r="E171" s="72">
        <f t="shared" si="1"/>
        <v>526.8286948</v>
      </c>
      <c r="F171" s="72">
        <f t="shared" si="2"/>
        <v>53209.69818</v>
      </c>
      <c r="G171" s="79" t="str">
        <f t="shared" si="5"/>
        <v/>
      </c>
      <c r="H171" s="81"/>
      <c r="I171" s="75" t="str">
        <f t="shared" si="6"/>
        <v/>
      </c>
      <c r="J171" s="80">
        <f t="shared" si="7"/>
        <v>43209.69818</v>
      </c>
      <c r="K171" s="77" t="str">
        <f t="shared" si="3"/>
        <v/>
      </c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</row>
    <row r="172" ht="15.75" customHeight="1">
      <c r="A172" s="68" t="s">
        <v>2247</v>
      </c>
      <c r="B172" s="69"/>
      <c r="C172" s="72">
        <f t="shared" si="4"/>
        <v>53209.69818</v>
      </c>
      <c r="D172" s="71">
        <v>0.01</v>
      </c>
      <c r="E172" s="72">
        <f t="shared" si="1"/>
        <v>532.0969818</v>
      </c>
      <c r="F172" s="72">
        <f t="shared" si="2"/>
        <v>53741.79516</v>
      </c>
      <c r="G172" s="79" t="str">
        <f t="shared" si="5"/>
        <v/>
      </c>
      <c r="H172" s="81"/>
      <c r="I172" s="75" t="str">
        <f t="shared" si="6"/>
        <v/>
      </c>
      <c r="J172" s="80">
        <f t="shared" si="7"/>
        <v>43741.79516</v>
      </c>
      <c r="K172" s="77" t="str">
        <f t="shared" si="3"/>
        <v/>
      </c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</row>
    <row r="173" ht="15.75" customHeight="1">
      <c r="A173" s="68" t="s">
        <v>2248</v>
      </c>
      <c r="B173" s="69"/>
      <c r="C173" s="72">
        <f t="shared" si="4"/>
        <v>53741.79516</v>
      </c>
      <c r="D173" s="71">
        <v>0.01</v>
      </c>
      <c r="E173" s="72">
        <f t="shared" si="1"/>
        <v>537.4179516</v>
      </c>
      <c r="F173" s="72">
        <f t="shared" si="2"/>
        <v>54279.21311</v>
      </c>
      <c r="G173" s="79" t="str">
        <f t="shared" si="5"/>
        <v/>
      </c>
      <c r="H173" s="81"/>
      <c r="I173" s="75" t="str">
        <f t="shared" si="6"/>
        <v/>
      </c>
      <c r="J173" s="80">
        <f t="shared" si="7"/>
        <v>44279.21311</v>
      </c>
      <c r="K173" s="77" t="str">
        <f t="shared" si="3"/>
        <v/>
      </c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</row>
    <row r="174" ht="15.75" customHeight="1">
      <c r="A174" s="68" t="s">
        <v>2249</v>
      </c>
      <c r="B174" s="69"/>
      <c r="C174" s="72">
        <f t="shared" si="4"/>
        <v>54279.21311</v>
      </c>
      <c r="D174" s="71">
        <v>0.01</v>
      </c>
      <c r="E174" s="72">
        <f t="shared" si="1"/>
        <v>542.7921311</v>
      </c>
      <c r="F174" s="72">
        <f t="shared" si="2"/>
        <v>54822.00524</v>
      </c>
      <c r="G174" s="79" t="str">
        <f t="shared" si="5"/>
        <v/>
      </c>
      <c r="H174" s="81"/>
      <c r="I174" s="75" t="str">
        <f t="shared" si="6"/>
        <v/>
      </c>
      <c r="J174" s="80">
        <f t="shared" si="7"/>
        <v>44822.00524</v>
      </c>
      <c r="K174" s="77" t="str">
        <f t="shared" si="3"/>
        <v/>
      </c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</row>
    <row r="175" ht="15.75" customHeight="1">
      <c r="A175" s="68" t="s">
        <v>2250</v>
      </c>
      <c r="B175" s="69"/>
      <c r="C175" s="72">
        <f t="shared" si="4"/>
        <v>54822.00524</v>
      </c>
      <c r="D175" s="71">
        <v>0.01</v>
      </c>
      <c r="E175" s="72">
        <f t="shared" si="1"/>
        <v>548.2200524</v>
      </c>
      <c r="F175" s="72">
        <f t="shared" si="2"/>
        <v>55370.2253</v>
      </c>
      <c r="G175" s="79" t="str">
        <f t="shared" si="5"/>
        <v/>
      </c>
      <c r="H175" s="81"/>
      <c r="I175" s="75" t="str">
        <f t="shared" si="6"/>
        <v/>
      </c>
      <c r="J175" s="80">
        <f t="shared" si="7"/>
        <v>45370.2253</v>
      </c>
      <c r="K175" s="77" t="str">
        <f t="shared" si="3"/>
        <v/>
      </c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</row>
    <row r="176" ht="15.75" customHeight="1">
      <c r="A176" s="68" t="s">
        <v>2251</v>
      </c>
      <c r="B176" s="69"/>
      <c r="C176" s="72">
        <f t="shared" si="4"/>
        <v>55370.2253</v>
      </c>
      <c r="D176" s="71">
        <v>0.01</v>
      </c>
      <c r="E176" s="72">
        <f t="shared" si="1"/>
        <v>553.702253</v>
      </c>
      <c r="F176" s="72">
        <f t="shared" si="2"/>
        <v>55923.92755</v>
      </c>
      <c r="G176" s="79" t="str">
        <f t="shared" si="5"/>
        <v/>
      </c>
      <c r="H176" s="81"/>
      <c r="I176" s="75" t="str">
        <f t="shared" si="6"/>
        <v/>
      </c>
      <c r="J176" s="80">
        <f t="shared" si="7"/>
        <v>45923.92755</v>
      </c>
      <c r="K176" s="77" t="str">
        <f t="shared" si="3"/>
        <v/>
      </c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</row>
    <row r="177" ht="15.75" customHeight="1">
      <c r="A177" s="68" t="s">
        <v>2252</v>
      </c>
      <c r="B177" s="69"/>
      <c r="C177" s="72">
        <f t="shared" si="4"/>
        <v>55923.92755</v>
      </c>
      <c r="D177" s="71">
        <v>0.01</v>
      </c>
      <c r="E177" s="72">
        <f t="shared" si="1"/>
        <v>559.2392755</v>
      </c>
      <c r="F177" s="72">
        <f t="shared" si="2"/>
        <v>56483.16682</v>
      </c>
      <c r="G177" s="79" t="str">
        <f t="shared" si="5"/>
        <v/>
      </c>
      <c r="H177" s="81"/>
      <c r="I177" s="75" t="str">
        <f t="shared" si="6"/>
        <v/>
      </c>
      <c r="J177" s="80">
        <f t="shared" si="7"/>
        <v>46483.16682</v>
      </c>
      <c r="K177" s="77" t="str">
        <f t="shared" si="3"/>
        <v/>
      </c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</row>
    <row r="178" ht="15.75" customHeight="1">
      <c r="A178" s="68" t="s">
        <v>2253</v>
      </c>
      <c r="B178" s="69"/>
      <c r="C178" s="72">
        <f t="shared" si="4"/>
        <v>56483.16682</v>
      </c>
      <c r="D178" s="71">
        <v>0.01</v>
      </c>
      <c r="E178" s="72">
        <f t="shared" si="1"/>
        <v>564.8316682</v>
      </c>
      <c r="F178" s="72">
        <f t="shared" si="2"/>
        <v>57047.99849</v>
      </c>
      <c r="G178" s="79" t="str">
        <f t="shared" si="5"/>
        <v/>
      </c>
      <c r="H178" s="81"/>
      <c r="I178" s="75" t="str">
        <f t="shared" si="6"/>
        <v/>
      </c>
      <c r="J178" s="80">
        <f t="shared" si="7"/>
        <v>47047.99849</v>
      </c>
      <c r="K178" s="77" t="str">
        <f t="shared" si="3"/>
        <v/>
      </c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</row>
    <row r="179" ht="15.75" customHeight="1">
      <c r="A179" s="68" t="s">
        <v>2254</v>
      </c>
      <c r="B179" s="69"/>
      <c r="C179" s="72">
        <f t="shared" si="4"/>
        <v>57047.99849</v>
      </c>
      <c r="D179" s="71">
        <v>0.01</v>
      </c>
      <c r="E179" s="72">
        <f t="shared" si="1"/>
        <v>570.4799849</v>
      </c>
      <c r="F179" s="72">
        <f t="shared" si="2"/>
        <v>57618.47848</v>
      </c>
      <c r="G179" s="79" t="str">
        <f t="shared" si="5"/>
        <v/>
      </c>
      <c r="H179" s="81"/>
      <c r="I179" s="75" t="str">
        <f t="shared" si="6"/>
        <v/>
      </c>
      <c r="J179" s="80">
        <f t="shared" si="7"/>
        <v>47618.47848</v>
      </c>
      <c r="K179" s="77" t="str">
        <f t="shared" si="3"/>
        <v/>
      </c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</row>
    <row r="180" ht="15.75" customHeight="1">
      <c r="A180" s="68" t="s">
        <v>2255</v>
      </c>
      <c r="B180" s="69"/>
      <c r="C180" s="72">
        <f t="shared" si="4"/>
        <v>57618.47848</v>
      </c>
      <c r="D180" s="71">
        <v>0.01</v>
      </c>
      <c r="E180" s="72">
        <f t="shared" si="1"/>
        <v>576.1847848</v>
      </c>
      <c r="F180" s="72">
        <f t="shared" si="2"/>
        <v>58194.66326</v>
      </c>
      <c r="G180" s="79" t="str">
        <f t="shared" si="5"/>
        <v/>
      </c>
      <c r="H180" s="81"/>
      <c r="I180" s="75" t="str">
        <f t="shared" si="6"/>
        <v/>
      </c>
      <c r="J180" s="80">
        <f t="shared" si="7"/>
        <v>48194.66326</v>
      </c>
      <c r="K180" s="77" t="str">
        <f t="shared" si="3"/>
        <v/>
      </c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</row>
    <row r="181" ht="15.75" customHeight="1">
      <c r="A181" s="68" t="s">
        <v>2256</v>
      </c>
      <c r="B181" s="69"/>
      <c r="C181" s="72">
        <f t="shared" si="4"/>
        <v>58194.66326</v>
      </c>
      <c r="D181" s="71">
        <v>0.01</v>
      </c>
      <c r="E181" s="72">
        <f t="shared" si="1"/>
        <v>581.9466326</v>
      </c>
      <c r="F181" s="72">
        <f t="shared" si="2"/>
        <v>58776.60989</v>
      </c>
      <c r="G181" s="79" t="str">
        <f t="shared" si="5"/>
        <v/>
      </c>
      <c r="H181" s="81"/>
      <c r="I181" s="75" t="str">
        <f t="shared" si="6"/>
        <v/>
      </c>
      <c r="J181" s="80">
        <f t="shared" si="7"/>
        <v>48776.60989</v>
      </c>
      <c r="K181" s="77" t="str">
        <f t="shared" si="3"/>
        <v/>
      </c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</row>
    <row r="182" ht="15.75" customHeight="1">
      <c r="A182" s="68" t="s">
        <v>2257</v>
      </c>
      <c r="B182" s="69"/>
      <c r="C182" s="72">
        <f t="shared" si="4"/>
        <v>58776.60989</v>
      </c>
      <c r="D182" s="71">
        <v>0.01</v>
      </c>
      <c r="E182" s="72">
        <f t="shared" si="1"/>
        <v>587.7660989</v>
      </c>
      <c r="F182" s="72">
        <f t="shared" si="2"/>
        <v>59364.37599</v>
      </c>
      <c r="G182" s="79" t="str">
        <f t="shared" si="5"/>
        <v/>
      </c>
      <c r="H182" s="81"/>
      <c r="I182" s="75" t="str">
        <f t="shared" si="6"/>
        <v/>
      </c>
      <c r="J182" s="80">
        <f t="shared" si="7"/>
        <v>49364.37599</v>
      </c>
      <c r="K182" s="77" t="str">
        <f t="shared" si="3"/>
        <v/>
      </c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</row>
    <row r="183" ht="15.75" customHeight="1">
      <c r="A183" s="68" t="s">
        <v>2258</v>
      </c>
      <c r="B183" s="69"/>
      <c r="C183" s="72">
        <f t="shared" si="4"/>
        <v>59364.37599</v>
      </c>
      <c r="D183" s="71">
        <v>0.01</v>
      </c>
      <c r="E183" s="72">
        <f t="shared" si="1"/>
        <v>593.6437599</v>
      </c>
      <c r="F183" s="72">
        <f t="shared" si="2"/>
        <v>59958.01975</v>
      </c>
      <c r="G183" s="79" t="str">
        <f t="shared" si="5"/>
        <v/>
      </c>
      <c r="H183" s="81"/>
      <c r="I183" s="75" t="str">
        <f t="shared" si="6"/>
        <v/>
      </c>
      <c r="J183" s="80">
        <f t="shared" si="7"/>
        <v>49958.01975</v>
      </c>
      <c r="K183" s="77" t="str">
        <f t="shared" si="3"/>
        <v/>
      </c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</row>
    <row r="184" ht="15.75" customHeight="1">
      <c r="A184" s="68" t="s">
        <v>2259</v>
      </c>
      <c r="B184" s="69"/>
      <c r="C184" s="72">
        <f t="shared" si="4"/>
        <v>59958.01975</v>
      </c>
      <c r="D184" s="71">
        <v>0.01</v>
      </c>
      <c r="E184" s="72">
        <f t="shared" si="1"/>
        <v>599.5801975</v>
      </c>
      <c r="F184" s="72">
        <f t="shared" si="2"/>
        <v>60557.59995</v>
      </c>
      <c r="G184" s="79" t="str">
        <f t="shared" si="5"/>
        <v/>
      </c>
      <c r="H184" s="81"/>
      <c r="I184" s="75" t="str">
        <f t="shared" si="6"/>
        <v/>
      </c>
      <c r="J184" s="80">
        <f t="shared" si="7"/>
        <v>50557.59995</v>
      </c>
      <c r="K184" s="77" t="str">
        <f t="shared" si="3"/>
        <v/>
      </c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</row>
    <row r="185" ht="15.75" customHeight="1">
      <c r="A185" s="68" t="s">
        <v>2260</v>
      </c>
      <c r="B185" s="69"/>
      <c r="C185" s="72">
        <f t="shared" si="4"/>
        <v>60557.59995</v>
      </c>
      <c r="D185" s="71">
        <v>0.01</v>
      </c>
      <c r="E185" s="72">
        <f t="shared" si="1"/>
        <v>605.5759995</v>
      </c>
      <c r="F185" s="72">
        <f t="shared" si="2"/>
        <v>61163.17595</v>
      </c>
      <c r="G185" s="79" t="str">
        <f t="shared" si="5"/>
        <v/>
      </c>
      <c r="H185" s="81"/>
      <c r="I185" s="75" t="str">
        <f t="shared" si="6"/>
        <v/>
      </c>
      <c r="J185" s="80">
        <f t="shared" si="7"/>
        <v>51163.17595</v>
      </c>
      <c r="K185" s="77" t="str">
        <f t="shared" si="3"/>
        <v/>
      </c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</row>
    <row r="186" ht="15.75" customHeight="1">
      <c r="A186" s="68" t="s">
        <v>2261</v>
      </c>
      <c r="B186" s="69"/>
      <c r="C186" s="72">
        <f t="shared" si="4"/>
        <v>61163.17595</v>
      </c>
      <c r="D186" s="71">
        <v>0.01</v>
      </c>
      <c r="E186" s="72">
        <f t="shared" si="1"/>
        <v>611.6317595</v>
      </c>
      <c r="F186" s="72">
        <f t="shared" si="2"/>
        <v>61774.80771</v>
      </c>
      <c r="G186" s="79" t="str">
        <f t="shared" si="5"/>
        <v/>
      </c>
      <c r="H186" s="81"/>
      <c r="I186" s="75" t="str">
        <f t="shared" si="6"/>
        <v/>
      </c>
      <c r="J186" s="80">
        <f t="shared" si="7"/>
        <v>51774.80771</v>
      </c>
      <c r="K186" s="77" t="str">
        <f t="shared" si="3"/>
        <v/>
      </c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</row>
    <row r="187" ht="15.75" customHeight="1">
      <c r="A187" s="68" t="s">
        <v>2262</v>
      </c>
      <c r="B187" s="69"/>
      <c r="C187" s="72">
        <f t="shared" si="4"/>
        <v>61774.80771</v>
      </c>
      <c r="D187" s="71">
        <v>0.01</v>
      </c>
      <c r="E187" s="72">
        <f t="shared" si="1"/>
        <v>617.7480771</v>
      </c>
      <c r="F187" s="72">
        <f t="shared" si="2"/>
        <v>62392.55579</v>
      </c>
      <c r="G187" s="79" t="str">
        <f t="shared" si="5"/>
        <v/>
      </c>
      <c r="H187" s="81"/>
      <c r="I187" s="75" t="str">
        <f t="shared" si="6"/>
        <v/>
      </c>
      <c r="J187" s="80">
        <f t="shared" si="7"/>
        <v>52392.55579</v>
      </c>
      <c r="K187" s="77" t="str">
        <f t="shared" si="3"/>
        <v/>
      </c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</row>
    <row r="188" ht="15.75" customHeight="1">
      <c r="A188" s="68" t="s">
        <v>2263</v>
      </c>
      <c r="B188" s="69"/>
      <c r="C188" s="72">
        <f t="shared" si="4"/>
        <v>62392.55579</v>
      </c>
      <c r="D188" s="71">
        <v>0.01</v>
      </c>
      <c r="E188" s="72">
        <f t="shared" si="1"/>
        <v>623.9255579</v>
      </c>
      <c r="F188" s="72">
        <f t="shared" si="2"/>
        <v>63016.48135</v>
      </c>
      <c r="G188" s="79" t="str">
        <f t="shared" si="5"/>
        <v/>
      </c>
      <c r="H188" s="81"/>
      <c r="I188" s="75" t="str">
        <f t="shared" si="6"/>
        <v/>
      </c>
      <c r="J188" s="80">
        <f t="shared" si="7"/>
        <v>53016.48135</v>
      </c>
      <c r="K188" s="77" t="str">
        <f t="shared" si="3"/>
        <v/>
      </c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</row>
    <row r="189" ht="15.75" customHeight="1">
      <c r="A189" s="68" t="s">
        <v>2264</v>
      </c>
      <c r="B189" s="69"/>
      <c r="C189" s="72">
        <f t="shared" si="4"/>
        <v>63016.48135</v>
      </c>
      <c r="D189" s="71">
        <v>0.01</v>
      </c>
      <c r="E189" s="72">
        <f t="shared" si="1"/>
        <v>630.1648135</v>
      </c>
      <c r="F189" s="72">
        <f t="shared" si="2"/>
        <v>63646.64616</v>
      </c>
      <c r="G189" s="79" t="str">
        <f t="shared" si="5"/>
        <v/>
      </c>
      <c r="H189" s="81"/>
      <c r="I189" s="75" t="str">
        <f t="shared" si="6"/>
        <v/>
      </c>
      <c r="J189" s="80">
        <f t="shared" si="7"/>
        <v>53646.64616</v>
      </c>
      <c r="K189" s="77" t="str">
        <f t="shared" si="3"/>
        <v/>
      </c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</row>
    <row r="190" ht="15.75" customHeight="1">
      <c r="A190" s="68" t="s">
        <v>2265</v>
      </c>
      <c r="B190" s="69"/>
      <c r="C190" s="72">
        <f t="shared" si="4"/>
        <v>63646.64616</v>
      </c>
      <c r="D190" s="71">
        <v>0.01</v>
      </c>
      <c r="E190" s="72">
        <f t="shared" si="1"/>
        <v>636.4664616</v>
      </c>
      <c r="F190" s="72">
        <f t="shared" si="2"/>
        <v>64283.11262</v>
      </c>
      <c r="G190" s="79" t="str">
        <f t="shared" si="5"/>
        <v/>
      </c>
      <c r="H190" s="81"/>
      <c r="I190" s="75" t="str">
        <f t="shared" si="6"/>
        <v/>
      </c>
      <c r="J190" s="80">
        <f t="shared" si="7"/>
        <v>54283.11262</v>
      </c>
      <c r="K190" s="77" t="str">
        <f t="shared" si="3"/>
        <v/>
      </c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</row>
    <row r="191" ht="15.75" customHeight="1">
      <c r="A191" s="68" t="s">
        <v>2266</v>
      </c>
      <c r="B191" s="69"/>
      <c r="C191" s="72">
        <f t="shared" si="4"/>
        <v>64283.11262</v>
      </c>
      <c r="D191" s="71">
        <v>0.01</v>
      </c>
      <c r="E191" s="72">
        <f t="shared" si="1"/>
        <v>642.8311262</v>
      </c>
      <c r="F191" s="72">
        <f t="shared" si="2"/>
        <v>64925.94375</v>
      </c>
      <c r="G191" s="79" t="str">
        <f t="shared" si="5"/>
        <v/>
      </c>
      <c r="H191" s="81"/>
      <c r="I191" s="75" t="str">
        <f t="shared" si="6"/>
        <v/>
      </c>
      <c r="J191" s="80">
        <f t="shared" si="7"/>
        <v>54925.94375</v>
      </c>
      <c r="K191" s="77" t="str">
        <f t="shared" si="3"/>
        <v/>
      </c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</row>
    <row r="192" ht="15.75" customHeight="1">
      <c r="A192" s="68" t="s">
        <v>2267</v>
      </c>
      <c r="B192" s="69"/>
      <c r="C192" s="72">
        <f t="shared" si="4"/>
        <v>64925.94375</v>
      </c>
      <c r="D192" s="71">
        <v>0.01</v>
      </c>
      <c r="E192" s="72">
        <f t="shared" si="1"/>
        <v>649.2594375</v>
      </c>
      <c r="F192" s="72">
        <f t="shared" si="2"/>
        <v>65575.20318</v>
      </c>
      <c r="G192" s="79" t="str">
        <f t="shared" si="5"/>
        <v/>
      </c>
      <c r="H192" s="81"/>
      <c r="I192" s="75" t="str">
        <f t="shared" si="6"/>
        <v/>
      </c>
      <c r="J192" s="80">
        <f t="shared" si="7"/>
        <v>55575.20318</v>
      </c>
      <c r="K192" s="77" t="str">
        <f t="shared" si="3"/>
        <v/>
      </c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</row>
    <row r="193" ht="15.75" customHeight="1">
      <c r="A193" s="68" t="s">
        <v>2268</v>
      </c>
      <c r="B193" s="69"/>
      <c r="C193" s="72">
        <f t="shared" si="4"/>
        <v>65575.20318</v>
      </c>
      <c r="D193" s="71">
        <v>0.01</v>
      </c>
      <c r="E193" s="72">
        <f t="shared" si="1"/>
        <v>655.7520318</v>
      </c>
      <c r="F193" s="72">
        <f t="shared" si="2"/>
        <v>66230.95522</v>
      </c>
      <c r="G193" s="79" t="str">
        <f t="shared" si="5"/>
        <v/>
      </c>
      <c r="H193" s="81"/>
      <c r="I193" s="75" t="str">
        <f t="shared" si="6"/>
        <v/>
      </c>
      <c r="J193" s="80">
        <f t="shared" si="7"/>
        <v>56230.95522</v>
      </c>
      <c r="K193" s="77" t="str">
        <f t="shared" si="3"/>
        <v/>
      </c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</row>
    <row r="194" ht="15.75" customHeight="1">
      <c r="A194" s="68" t="s">
        <v>2269</v>
      </c>
      <c r="B194" s="69"/>
      <c r="C194" s="72">
        <f t="shared" si="4"/>
        <v>66230.95522</v>
      </c>
      <c r="D194" s="71">
        <v>0.01</v>
      </c>
      <c r="E194" s="72">
        <f t="shared" si="1"/>
        <v>662.3095522</v>
      </c>
      <c r="F194" s="72">
        <f t="shared" si="2"/>
        <v>66893.26477</v>
      </c>
      <c r="G194" s="79" t="str">
        <f t="shared" si="5"/>
        <v/>
      </c>
      <c r="H194" s="81"/>
      <c r="I194" s="75" t="str">
        <f t="shared" si="6"/>
        <v/>
      </c>
      <c r="J194" s="80">
        <f t="shared" si="7"/>
        <v>56893.26477</v>
      </c>
      <c r="K194" s="77" t="str">
        <f t="shared" si="3"/>
        <v/>
      </c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</row>
    <row r="195" ht="15.75" customHeight="1">
      <c r="A195" s="68" t="s">
        <v>2270</v>
      </c>
      <c r="B195" s="69"/>
      <c r="C195" s="72">
        <f t="shared" si="4"/>
        <v>66893.26477</v>
      </c>
      <c r="D195" s="71">
        <v>0.01</v>
      </c>
      <c r="E195" s="72">
        <f t="shared" si="1"/>
        <v>668.9326477</v>
      </c>
      <c r="F195" s="72">
        <f t="shared" si="2"/>
        <v>67562.19742</v>
      </c>
      <c r="G195" s="79" t="str">
        <f t="shared" si="5"/>
        <v/>
      </c>
      <c r="H195" s="81"/>
      <c r="I195" s="75" t="str">
        <f t="shared" si="6"/>
        <v/>
      </c>
      <c r="J195" s="80">
        <f t="shared" si="7"/>
        <v>57562.19742</v>
      </c>
      <c r="K195" s="77" t="str">
        <f t="shared" si="3"/>
        <v/>
      </c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</row>
    <row r="196" ht="15.75" customHeight="1">
      <c r="A196" s="68" t="s">
        <v>2271</v>
      </c>
      <c r="B196" s="69"/>
      <c r="C196" s="72">
        <f t="shared" si="4"/>
        <v>67562.19742</v>
      </c>
      <c r="D196" s="71">
        <v>0.01</v>
      </c>
      <c r="E196" s="72">
        <f t="shared" si="1"/>
        <v>675.6219742</v>
      </c>
      <c r="F196" s="72">
        <f t="shared" si="2"/>
        <v>68237.81939</v>
      </c>
      <c r="G196" s="79" t="str">
        <f t="shared" si="5"/>
        <v/>
      </c>
      <c r="H196" s="81"/>
      <c r="I196" s="75" t="str">
        <f t="shared" si="6"/>
        <v/>
      </c>
      <c r="J196" s="80">
        <f t="shared" si="7"/>
        <v>58237.81939</v>
      </c>
      <c r="K196" s="77" t="str">
        <f t="shared" si="3"/>
        <v/>
      </c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</row>
    <row r="197" ht="15.75" customHeight="1">
      <c r="A197" s="68" t="s">
        <v>2272</v>
      </c>
      <c r="B197" s="69"/>
      <c r="C197" s="72">
        <f t="shared" si="4"/>
        <v>68237.81939</v>
      </c>
      <c r="D197" s="71">
        <v>0.01</v>
      </c>
      <c r="E197" s="72">
        <f t="shared" si="1"/>
        <v>682.3781939</v>
      </c>
      <c r="F197" s="72">
        <f t="shared" si="2"/>
        <v>68920.19758</v>
      </c>
      <c r="G197" s="79" t="str">
        <f t="shared" si="5"/>
        <v/>
      </c>
      <c r="H197" s="81"/>
      <c r="I197" s="75" t="str">
        <f t="shared" si="6"/>
        <v/>
      </c>
      <c r="J197" s="80">
        <f t="shared" si="7"/>
        <v>58920.19758</v>
      </c>
      <c r="K197" s="77" t="str">
        <f t="shared" si="3"/>
        <v/>
      </c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</row>
    <row r="198" ht="15.75" customHeight="1">
      <c r="A198" s="68" t="s">
        <v>2273</v>
      </c>
      <c r="B198" s="69"/>
      <c r="C198" s="72">
        <f t="shared" si="4"/>
        <v>68920.19758</v>
      </c>
      <c r="D198" s="71">
        <v>0.01</v>
      </c>
      <c r="E198" s="72">
        <f t="shared" si="1"/>
        <v>689.2019758</v>
      </c>
      <c r="F198" s="72">
        <f t="shared" si="2"/>
        <v>69609.39956</v>
      </c>
      <c r="G198" s="79" t="str">
        <f t="shared" si="5"/>
        <v/>
      </c>
      <c r="H198" s="81"/>
      <c r="I198" s="75" t="str">
        <f t="shared" si="6"/>
        <v/>
      </c>
      <c r="J198" s="80">
        <f t="shared" si="7"/>
        <v>59609.39956</v>
      </c>
      <c r="K198" s="77" t="str">
        <f t="shared" si="3"/>
        <v/>
      </c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</row>
    <row r="199" ht="15.75" customHeight="1">
      <c r="A199" s="68" t="s">
        <v>2274</v>
      </c>
      <c r="B199" s="69"/>
      <c r="C199" s="72">
        <f t="shared" si="4"/>
        <v>69609.39956</v>
      </c>
      <c r="D199" s="71">
        <v>0.01</v>
      </c>
      <c r="E199" s="72">
        <f t="shared" si="1"/>
        <v>696.0939956</v>
      </c>
      <c r="F199" s="72">
        <f t="shared" si="2"/>
        <v>70305.49355</v>
      </c>
      <c r="G199" s="79" t="str">
        <f t="shared" si="5"/>
        <v/>
      </c>
      <c r="H199" s="81"/>
      <c r="I199" s="75" t="str">
        <f t="shared" si="6"/>
        <v/>
      </c>
      <c r="J199" s="80">
        <f t="shared" si="7"/>
        <v>60305.49355</v>
      </c>
      <c r="K199" s="77" t="str">
        <f t="shared" si="3"/>
        <v/>
      </c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</row>
    <row r="200" ht="15.75" customHeight="1">
      <c r="A200" s="68" t="s">
        <v>2275</v>
      </c>
      <c r="B200" s="69"/>
      <c r="C200" s="72">
        <f t="shared" si="4"/>
        <v>70305.49355</v>
      </c>
      <c r="D200" s="71">
        <v>0.01</v>
      </c>
      <c r="E200" s="72">
        <f t="shared" si="1"/>
        <v>703.0549355</v>
      </c>
      <c r="F200" s="72">
        <f t="shared" si="2"/>
        <v>71008.54849</v>
      </c>
      <c r="G200" s="79" t="str">
        <f t="shared" si="5"/>
        <v/>
      </c>
      <c r="H200" s="81"/>
      <c r="I200" s="75" t="str">
        <f t="shared" si="6"/>
        <v/>
      </c>
      <c r="J200" s="80">
        <f t="shared" si="7"/>
        <v>61008.54849</v>
      </c>
      <c r="K200" s="77" t="str">
        <f t="shared" si="3"/>
        <v/>
      </c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</row>
    <row r="201" ht="15.75" customHeight="1">
      <c r="A201" s="68" t="s">
        <v>2276</v>
      </c>
      <c r="B201" s="69"/>
      <c r="C201" s="72">
        <f t="shared" si="4"/>
        <v>71008.54849</v>
      </c>
      <c r="D201" s="71">
        <v>0.01</v>
      </c>
      <c r="E201" s="72">
        <f t="shared" si="1"/>
        <v>710.0854849</v>
      </c>
      <c r="F201" s="72">
        <f t="shared" si="2"/>
        <v>71718.63398</v>
      </c>
      <c r="G201" s="79" t="str">
        <f t="shared" si="5"/>
        <v/>
      </c>
      <c r="H201" s="81"/>
      <c r="I201" s="75" t="str">
        <f t="shared" si="6"/>
        <v/>
      </c>
      <c r="J201" s="80">
        <f t="shared" si="7"/>
        <v>61718.63398</v>
      </c>
      <c r="K201" s="77" t="str">
        <f t="shared" si="3"/>
        <v/>
      </c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</row>
    <row r="202" ht="15.75" customHeight="1">
      <c r="A202" s="68" t="s">
        <v>2277</v>
      </c>
      <c r="B202" s="69"/>
      <c r="C202" s="72">
        <f t="shared" si="4"/>
        <v>71718.63398</v>
      </c>
      <c r="D202" s="71">
        <v>0.01</v>
      </c>
      <c r="E202" s="72">
        <f t="shared" si="1"/>
        <v>717.1863398</v>
      </c>
      <c r="F202" s="72">
        <f t="shared" si="2"/>
        <v>72435.82032</v>
      </c>
      <c r="G202" s="79" t="str">
        <f t="shared" si="5"/>
        <v/>
      </c>
      <c r="H202" s="81"/>
      <c r="I202" s="75" t="str">
        <f t="shared" si="6"/>
        <v/>
      </c>
      <c r="J202" s="80">
        <f t="shared" si="7"/>
        <v>62435.82032</v>
      </c>
      <c r="K202" s="77" t="str">
        <f t="shared" si="3"/>
        <v/>
      </c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</row>
    <row r="203" ht="15.75" customHeight="1">
      <c r="A203" s="68" t="s">
        <v>2278</v>
      </c>
      <c r="B203" s="69"/>
      <c r="C203" s="72">
        <f t="shared" si="4"/>
        <v>72435.82032</v>
      </c>
      <c r="D203" s="71">
        <v>0.01</v>
      </c>
      <c r="E203" s="72">
        <f t="shared" si="1"/>
        <v>724.3582032</v>
      </c>
      <c r="F203" s="72">
        <f t="shared" si="2"/>
        <v>73160.17852</v>
      </c>
      <c r="G203" s="79" t="str">
        <f t="shared" si="5"/>
        <v/>
      </c>
      <c r="H203" s="81"/>
      <c r="I203" s="75" t="str">
        <f t="shared" si="6"/>
        <v/>
      </c>
      <c r="J203" s="80">
        <f t="shared" si="7"/>
        <v>63160.17852</v>
      </c>
      <c r="K203" s="77" t="str">
        <f t="shared" si="3"/>
        <v/>
      </c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</row>
    <row r="204" ht="15.75" customHeight="1">
      <c r="A204" s="68" t="s">
        <v>2279</v>
      </c>
      <c r="B204" s="69"/>
      <c r="C204" s="72">
        <f t="shared" si="4"/>
        <v>73160.17852</v>
      </c>
      <c r="D204" s="71">
        <v>0.01</v>
      </c>
      <c r="E204" s="72">
        <f t="shared" si="1"/>
        <v>731.6017852</v>
      </c>
      <c r="F204" s="72">
        <f t="shared" si="2"/>
        <v>73891.7803</v>
      </c>
      <c r="G204" s="79" t="str">
        <f t="shared" si="5"/>
        <v/>
      </c>
      <c r="H204" s="81"/>
      <c r="I204" s="75" t="str">
        <f t="shared" si="6"/>
        <v/>
      </c>
      <c r="J204" s="80">
        <f t="shared" si="7"/>
        <v>63891.7803</v>
      </c>
      <c r="K204" s="77" t="str">
        <f t="shared" si="3"/>
        <v/>
      </c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</row>
    <row r="205" ht="15.75" customHeight="1">
      <c r="A205" s="68" t="s">
        <v>2280</v>
      </c>
      <c r="B205" s="69"/>
      <c r="C205" s="72">
        <f t="shared" si="4"/>
        <v>73891.7803</v>
      </c>
      <c r="D205" s="71">
        <v>0.01</v>
      </c>
      <c r="E205" s="72">
        <f t="shared" si="1"/>
        <v>738.917803</v>
      </c>
      <c r="F205" s="72">
        <f t="shared" si="2"/>
        <v>74630.69811</v>
      </c>
      <c r="G205" s="79" t="str">
        <f t="shared" si="5"/>
        <v/>
      </c>
      <c r="H205" s="81"/>
      <c r="I205" s="75" t="str">
        <f t="shared" si="6"/>
        <v/>
      </c>
      <c r="J205" s="80">
        <f t="shared" si="7"/>
        <v>64630.69811</v>
      </c>
      <c r="K205" s="77" t="str">
        <f t="shared" si="3"/>
        <v/>
      </c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</row>
    <row r="206" ht="15.75" customHeight="1">
      <c r="A206" s="68" t="s">
        <v>2281</v>
      </c>
      <c r="B206" s="69"/>
      <c r="C206" s="72">
        <f t="shared" si="4"/>
        <v>74630.69811</v>
      </c>
      <c r="D206" s="71">
        <v>0.01</v>
      </c>
      <c r="E206" s="72">
        <f t="shared" si="1"/>
        <v>746.3069811</v>
      </c>
      <c r="F206" s="72">
        <f t="shared" si="2"/>
        <v>75377.00509</v>
      </c>
      <c r="G206" s="79" t="str">
        <f t="shared" si="5"/>
        <v/>
      </c>
      <c r="H206" s="81"/>
      <c r="I206" s="75" t="str">
        <f t="shared" si="6"/>
        <v/>
      </c>
      <c r="J206" s="80">
        <f t="shared" si="7"/>
        <v>65377.00509</v>
      </c>
      <c r="K206" s="77" t="str">
        <f t="shared" si="3"/>
        <v/>
      </c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</row>
    <row r="207" ht="15.75" customHeight="1">
      <c r="A207" s="68" t="s">
        <v>2282</v>
      </c>
      <c r="B207" s="69"/>
      <c r="C207" s="72">
        <f t="shared" si="4"/>
        <v>75377.00509</v>
      </c>
      <c r="D207" s="71">
        <v>0.01</v>
      </c>
      <c r="E207" s="72">
        <f t="shared" si="1"/>
        <v>753.7700509</v>
      </c>
      <c r="F207" s="72">
        <f t="shared" si="2"/>
        <v>76130.77514</v>
      </c>
      <c r="G207" s="79" t="str">
        <f t="shared" si="5"/>
        <v/>
      </c>
      <c r="H207" s="81"/>
      <c r="I207" s="75" t="str">
        <f t="shared" si="6"/>
        <v/>
      </c>
      <c r="J207" s="80">
        <f t="shared" si="7"/>
        <v>66130.77514</v>
      </c>
      <c r="K207" s="77" t="str">
        <f t="shared" si="3"/>
        <v/>
      </c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</row>
    <row r="208" ht="15.75" customHeight="1">
      <c r="A208" s="68" t="s">
        <v>2283</v>
      </c>
      <c r="B208" s="69"/>
      <c r="C208" s="72">
        <f t="shared" si="4"/>
        <v>76130.77514</v>
      </c>
      <c r="D208" s="71">
        <v>0.01</v>
      </c>
      <c r="E208" s="72">
        <f t="shared" si="1"/>
        <v>761.3077514</v>
      </c>
      <c r="F208" s="72">
        <f t="shared" si="2"/>
        <v>76892.08289</v>
      </c>
      <c r="G208" s="79" t="str">
        <f t="shared" si="5"/>
        <v/>
      </c>
      <c r="H208" s="81"/>
      <c r="I208" s="75" t="str">
        <f t="shared" si="6"/>
        <v/>
      </c>
      <c r="J208" s="80">
        <f t="shared" si="7"/>
        <v>66892.08289</v>
      </c>
      <c r="K208" s="77" t="str">
        <f t="shared" si="3"/>
        <v/>
      </c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</row>
    <row r="209" ht="15.75" customHeight="1">
      <c r="A209" s="68" t="s">
        <v>2284</v>
      </c>
      <c r="B209" s="69"/>
      <c r="C209" s="72">
        <f t="shared" si="4"/>
        <v>76892.08289</v>
      </c>
      <c r="D209" s="71">
        <v>0.01</v>
      </c>
      <c r="E209" s="72">
        <f t="shared" si="1"/>
        <v>768.9208289</v>
      </c>
      <c r="F209" s="72">
        <f t="shared" si="2"/>
        <v>77661.00372</v>
      </c>
      <c r="G209" s="79" t="str">
        <f t="shared" si="5"/>
        <v/>
      </c>
      <c r="H209" s="81"/>
      <c r="I209" s="75" t="str">
        <f t="shared" si="6"/>
        <v/>
      </c>
      <c r="J209" s="80">
        <f t="shared" si="7"/>
        <v>67661.00372</v>
      </c>
      <c r="K209" s="77" t="str">
        <f t="shared" si="3"/>
        <v/>
      </c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</row>
    <row r="210" ht="15.75" customHeight="1">
      <c r="A210" s="68" t="s">
        <v>2285</v>
      </c>
      <c r="B210" s="69"/>
      <c r="C210" s="72">
        <f t="shared" si="4"/>
        <v>77661.00372</v>
      </c>
      <c r="D210" s="71">
        <v>0.01</v>
      </c>
      <c r="E210" s="72">
        <f t="shared" si="1"/>
        <v>776.6100372</v>
      </c>
      <c r="F210" s="72">
        <f t="shared" si="2"/>
        <v>78437.61376</v>
      </c>
      <c r="G210" s="79" t="str">
        <f t="shared" si="5"/>
        <v/>
      </c>
      <c r="H210" s="81"/>
      <c r="I210" s="75" t="str">
        <f t="shared" si="6"/>
        <v/>
      </c>
      <c r="J210" s="80">
        <f t="shared" si="7"/>
        <v>68437.61376</v>
      </c>
      <c r="K210" s="77" t="str">
        <f t="shared" si="3"/>
        <v/>
      </c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</row>
    <row r="211" ht="15.75" customHeight="1">
      <c r="A211" s="68" t="s">
        <v>2286</v>
      </c>
      <c r="B211" s="69"/>
      <c r="C211" s="72">
        <f t="shared" si="4"/>
        <v>78437.61376</v>
      </c>
      <c r="D211" s="71">
        <v>0.01</v>
      </c>
      <c r="E211" s="72">
        <f t="shared" si="1"/>
        <v>784.3761376</v>
      </c>
      <c r="F211" s="72">
        <f t="shared" si="2"/>
        <v>79221.98989</v>
      </c>
      <c r="G211" s="79" t="str">
        <f t="shared" si="5"/>
        <v/>
      </c>
      <c r="H211" s="81"/>
      <c r="I211" s="75" t="str">
        <f t="shared" si="6"/>
        <v/>
      </c>
      <c r="J211" s="80">
        <f t="shared" si="7"/>
        <v>69221.98989</v>
      </c>
      <c r="K211" s="77" t="str">
        <f t="shared" si="3"/>
        <v/>
      </c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</row>
    <row r="212" ht="15.75" customHeight="1">
      <c r="A212" s="68" t="s">
        <v>2287</v>
      </c>
      <c r="B212" s="69"/>
      <c r="C212" s="72">
        <f t="shared" si="4"/>
        <v>79221.98989</v>
      </c>
      <c r="D212" s="71">
        <v>0.01</v>
      </c>
      <c r="E212" s="72">
        <f t="shared" si="1"/>
        <v>792.2198989</v>
      </c>
      <c r="F212" s="72">
        <f t="shared" si="2"/>
        <v>80014.20979</v>
      </c>
      <c r="G212" s="79" t="str">
        <f t="shared" si="5"/>
        <v/>
      </c>
      <c r="H212" s="81"/>
      <c r="I212" s="75" t="str">
        <f t="shared" si="6"/>
        <v/>
      </c>
      <c r="J212" s="80">
        <f t="shared" si="7"/>
        <v>70014.20979</v>
      </c>
      <c r="K212" s="77" t="str">
        <f t="shared" si="3"/>
        <v/>
      </c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</row>
    <row r="213" ht="15.75" customHeight="1">
      <c r="A213" s="68" t="s">
        <v>2288</v>
      </c>
      <c r="B213" s="69"/>
      <c r="C213" s="72">
        <f t="shared" si="4"/>
        <v>80014.20979</v>
      </c>
      <c r="D213" s="71">
        <v>0.01</v>
      </c>
      <c r="E213" s="72">
        <f t="shared" si="1"/>
        <v>800.1420979</v>
      </c>
      <c r="F213" s="72">
        <f t="shared" si="2"/>
        <v>80814.35189</v>
      </c>
      <c r="G213" s="79" t="str">
        <f t="shared" si="5"/>
        <v/>
      </c>
      <c r="H213" s="81"/>
      <c r="I213" s="75" t="str">
        <f t="shared" si="6"/>
        <v/>
      </c>
      <c r="J213" s="80">
        <f t="shared" si="7"/>
        <v>70814.35189</v>
      </c>
      <c r="K213" s="77" t="str">
        <f t="shared" si="3"/>
        <v/>
      </c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</row>
    <row r="214" ht="15.75" customHeight="1">
      <c r="A214" s="68" t="s">
        <v>2289</v>
      </c>
      <c r="B214" s="69"/>
      <c r="C214" s="72">
        <f t="shared" si="4"/>
        <v>80814.35189</v>
      </c>
      <c r="D214" s="71">
        <v>0.01</v>
      </c>
      <c r="E214" s="72">
        <f t="shared" si="1"/>
        <v>808.1435189</v>
      </c>
      <c r="F214" s="72">
        <f t="shared" si="2"/>
        <v>81622.49541</v>
      </c>
      <c r="G214" s="79" t="str">
        <f t="shared" si="5"/>
        <v/>
      </c>
      <c r="H214" s="81"/>
      <c r="I214" s="75" t="str">
        <f t="shared" si="6"/>
        <v/>
      </c>
      <c r="J214" s="80">
        <f t="shared" si="7"/>
        <v>71622.49541</v>
      </c>
      <c r="K214" s="77" t="str">
        <f t="shared" si="3"/>
        <v/>
      </c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</row>
    <row r="215" ht="15.75" customHeight="1">
      <c r="A215" s="68" t="s">
        <v>2290</v>
      </c>
      <c r="B215" s="69"/>
      <c r="C215" s="72">
        <f t="shared" si="4"/>
        <v>81622.49541</v>
      </c>
      <c r="D215" s="71">
        <v>0.01</v>
      </c>
      <c r="E215" s="72">
        <f t="shared" si="1"/>
        <v>816.2249541</v>
      </c>
      <c r="F215" s="72">
        <f t="shared" si="2"/>
        <v>82438.72036</v>
      </c>
      <c r="G215" s="79" t="str">
        <f t="shared" si="5"/>
        <v/>
      </c>
      <c r="H215" s="81"/>
      <c r="I215" s="75" t="str">
        <f t="shared" si="6"/>
        <v/>
      </c>
      <c r="J215" s="80">
        <f t="shared" si="7"/>
        <v>72438.72036</v>
      </c>
      <c r="K215" s="77" t="str">
        <f t="shared" si="3"/>
        <v/>
      </c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</row>
    <row r="216" ht="15.75" customHeight="1">
      <c r="A216" s="68" t="s">
        <v>2291</v>
      </c>
      <c r="B216" s="69"/>
      <c r="C216" s="72">
        <f t="shared" si="4"/>
        <v>82438.72036</v>
      </c>
      <c r="D216" s="71">
        <v>0.01</v>
      </c>
      <c r="E216" s="72">
        <f t="shared" si="1"/>
        <v>824.3872036</v>
      </c>
      <c r="F216" s="72">
        <f t="shared" si="2"/>
        <v>83263.10757</v>
      </c>
      <c r="G216" s="79" t="str">
        <f t="shared" si="5"/>
        <v/>
      </c>
      <c r="H216" s="81"/>
      <c r="I216" s="75" t="str">
        <f t="shared" si="6"/>
        <v/>
      </c>
      <c r="J216" s="80">
        <f t="shared" si="7"/>
        <v>73263.10757</v>
      </c>
      <c r="K216" s="77" t="str">
        <f t="shared" si="3"/>
        <v/>
      </c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 ht="15.75" customHeight="1">
      <c r="A217" s="68" t="s">
        <v>2292</v>
      </c>
      <c r="B217" s="69"/>
      <c r="C217" s="72">
        <f t="shared" si="4"/>
        <v>83263.10757</v>
      </c>
      <c r="D217" s="71">
        <v>0.01</v>
      </c>
      <c r="E217" s="72">
        <f t="shared" si="1"/>
        <v>832.6310757</v>
      </c>
      <c r="F217" s="72">
        <f t="shared" si="2"/>
        <v>84095.73864</v>
      </c>
      <c r="G217" s="79" t="str">
        <f t="shared" si="5"/>
        <v/>
      </c>
      <c r="H217" s="81"/>
      <c r="I217" s="75" t="str">
        <f t="shared" si="6"/>
        <v/>
      </c>
      <c r="J217" s="80">
        <f t="shared" si="7"/>
        <v>74095.73864</v>
      </c>
      <c r="K217" s="77" t="str">
        <f t="shared" si="3"/>
        <v/>
      </c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 ht="15.75" customHeight="1">
      <c r="A218" s="68" t="s">
        <v>2293</v>
      </c>
      <c r="B218" s="69"/>
      <c r="C218" s="72">
        <f t="shared" si="4"/>
        <v>84095.73864</v>
      </c>
      <c r="D218" s="71">
        <v>0.01</v>
      </c>
      <c r="E218" s="72">
        <f t="shared" si="1"/>
        <v>840.9573864</v>
      </c>
      <c r="F218" s="72">
        <f t="shared" si="2"/>
        <v>84936.69603</v>
      </c>
      <c r="G218" s="79" t="str">
        <f t="shared" si="5"/>
        <v/>
      </c>
      <c r="H218" s="81"/>
      <c r="I218" s="75" t="str">
        <f t="shared" si="6"/>
        <v/>
      </c>
      <c r="J218" s="80">
        <f t="shared" si="7"/>
        <v>74936.69603</v>
      </c>
      <c r="K218" s="77" t="str">
        <f t="shared" si="3"/>
        <v/>
      </c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</row>
    <row r="219" ht="15.75" customHeight="1">
      <c r="A219" s="68" t="s">
        <v>2294</v>
      </c>
      <c r="B219" s="69"/>
      <c r="C219" s="72">
        <f t="shared" si="4"/>
        <v>84936.69603</v>
      </c>
      <c r="D219" s="71">
        <v>0.01</v>
      </c>
      <c r="E219" s="72">
        <f t="shared" si="1"/>
        <v>849.3669603</v>
      </c>
      <c r="F219" s="72">
        <f t="shared" si="2"/>
        <v>85786.06299</v>
      </c>
      <c r="G219" s="79" t="str">
        <f t="shared" si="5"/>
        <v/>
      </c>
      <c r="H219" s="81"/>
      <c r="I219" s="75" t="str">
        <f t="shared" si="6"/>
        <v/>
      </c>
      <c r="J219" s="80">
        <f t="shared" si="7"/>
        <v>75786.06299</v>
      </c>
      <c r="K219" s="77" t="str">
        <f t="shared" si="3"/>
        <v/>
      </c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</row>
    <row r="220" ht="15.75" customHeight="1">
      <c r="A220" s="68" t="s">
        <v>2295</v>
      </c>
      <c r="B220" s="69"/>
      <c r="C220" s="72">
        <f t="shared" si="4"/>
        <v>85786.06299</v>
      </c>
      <c r="D220" s="71">
        <v>0.01</v>
      </c>
      <c r="E220" s="72">
        <f t="shared" si="1"/>
        <v>857.8606299</v>
      </c>
      <c r="F220" s="72">
        <f t="shared" si="2"/>
        <v>86643.92362</v>
      </c>
      <c r="G220" s="79" t="str">
        <f t="shared" si="5"/>
        <v/>
      </c>
      <c r="H220" s="81"/>
      <c r="I220" s="75" t="str">
        <f t="shared" si="6"/>
        <v/>
      </c>
      <c r="J220" s="80">
        <f t="shared" si="7"/>
        <v>76643.92362</v>
      </c>
      <c r="K220" s="77" t="str">
        <f t="shared" si="3"/>
        <v/>
      </c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</row>
    <row r="221" ht="15.75" customHeight="1">
      <c r="A221" s="68" t="s">
        <v>2296</v>
      </c>
      <c r="B221" s="69"/>
      <c r="C221" s="72">
        <f t="shared" si="4"/>
        <v>86643.92362</v>
      </c>
      <c r="D221" s="71">
        <v>0.01</v>
      </c>
      <c r="E221" s="72">
        <f t="shared" si="1"/>
        <v>866.4392362</v>
      </c>
      <c r="F221" s="72">
        <f t="shared" si="2"/>
        <v>87510.36286</v>
      </c>
      <c r="G221" s="79" t="str">
        <f t="shared" si="5"/>
        <v/>
      </c>
      <c r="H221" s="81"/>
      <c r="I221" s="75" t="str">
        <f t="shared" si="6"/>
        <v/>
      </c>
      <c r="J221" s="80">
        <f t="shared" si="7"/>
        <v>77510.36286</v>
      </c>
      <c r="K221" s="77" t="str">
        <f t="shared" si="3"/>
        <v/>
      </c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</row>
    <row r="222" ht="15.75" customHeight="1">
      <c r="A222" s="68" t="s">
        <v>2297</v>
      </c>
      <c r="B222" s="69"/>
      <c r="C222" s="72">
        <f t="shared" si="4"/>
        <v>87510.36286</v>
      </c>
      <c r="D222" s="71">
        <v>0.01</v>
      </c>
      <c r="E222" s="72">
        <f t="shared" si="1"/>
        <v>875.1036286</v>
      </c>
      <c r="F222" s="72">
        <f t="shared" si="2"/>
        <v>88385.46648</v>
      </c>
      <c r="G222" s="79" t="str">
        <f t="shared" si="5"/>
        <v/>
      </c>
      <c r="H222" s="81"/>
      <c r="I222" s="75" t="str">
        <f t="shared" si="6"/>
        <v/>
      </c>
      <c r="J222" s="80">
        <f t="shared" si="7"/>
        <v>78385.46648</v>
      </c>
      <c r="K222" s="77" t="str">
        <f t="shared" si="3"/>
        <v/>
      </c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</row>
    <row r="223" ht="15.75" customHeight="1">
      <c r="A223" s="68" t="s">
        <v>2298</v>
      </c>
      <c r="B223" s="69"/>
      <c r="C223" s="72">
        <f t="shared" si="4"/>
        <v>88385.46648</v>
      </c>
      <c r="D223" s="71">
        <v>0.01</v>
      </c>
      <c r="E223" s="72">
        <f t="shared" si="1"/>
        <v>883.8546648</v>
      </c>
      <c r="F223" s="72">
        <f t="shared" si="2"/>
        <v>89269.32115</v>
      </c>
      <c r="G223" s="79" t="str">
        <f t="shared" si="5"/>
        <v/>
      </c>
      <c r="H223" s="81"/>
      <c r="I223" s="75" t="str">
        <f t="shared" si="6"/>
        <v/>
      </c>
      <c r="J223" s="80">
        <f t="shared" si="7"/>
        <v>79269.32115</v>
      </c>
      <c r="K223" s="77" t="str">
        <f t="shared" si="3"/>
        <v/>
      </c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</row>
    <row r="224" ht="15.75" customHeight="1">
      <c r="A224" s="68" t="s">
        <v>2299</v>
      </c>
      <c r="B224" s="69"/>
      <c r="C224" s="72">
        <f t="shared" si="4"/>
        <v>89269.32115</v>
      </c>
      <c r="D224" s="71">
        <v>0.01</v>
      </c>
      <c r="E224" s="72">
        <f t="shared" si="1"/>
        <v>892.6932115</v>
      </c>
      <c r="F224" s="72">
        <f t="shared" si="2"/>
        <v>90162.01436</v>
      </c>
      <c r="G224" s="79" t="str">
        <f t="shared" si="5"/>
        <v/>
      </c>
      <c r="H224" s="81"/>
      <c r="I224" s="75" t="str">
        <f t="shared" si="6"/>
        <v/>
      </c>
      <c r="J224" s="80">
        <f t="shared" si="7"/>
        <v>80162.01436</v>
      </c>
      <c r="K224" s="77" t="str">
        <f t="shared" si="3"/>
        <v/>
      </c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</row>
    <row r="225" ht="15.75" customHeight="1">
      <c r="A225" s="68" t="s">
        <v>2300</v>
      </c>
      <c r="B225" s="69"/>
      <c r="C225" s="72">
        <f t="shared" si="4"/>
        <v>90162.01436</v>
      </c>
      <c r="D225" s="71">
        <v>0.01</v>
      </c>
      <c r="E225" s="72">
        <f t="shared" si="1"/>
        <v>901.6201436</v>
      </c>
      <c r="F225" s="72">
        <f t="shared" si="2"/>
        <v>91063.6345</v>
      </c>
      <c r="G225" s="79" t="str">
        <f t="shared" si="5"/>
        <v/>
      </c>
      <c r="H225" s="81"/>
      <c r="I225" s="75" t="str">
        <f t="shared" si="6"/>
        <v/>
      </c>
      <c r="J225" s="80">
        <f t="shared" si="7"/>
        <v>81063.6345</v>
      </c>
      <c r="K225" s="77" t="str">
        <f t="shared" si="3"/>
        <v/>
      </c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</row>
    <row r="226" ht="15.75" customHeight="1">
      <c r="A226" s="68" t="s">
        <v>2301</v>
      </c>
      <c r="B226" s="69"/>
      <c r="C226" s="72">
        <f t="shared" si="4"/>
        <v>91063.6345</v>
      </c>
      <c r="D226" s="71">
        <v>0.01</v>
      </c>
      <c r="E226" s="72">
        <f t="shared" si="1"/>
        <v>910.636345</v>
      </c>
      <c r="F226" s="72">
        <f t="shared" si="2"/>
        <v>91974.27085</v>
      </c>
      <c r="G226" s="79" t="str">
        <f t="shared" si="5"/>
        <v/>
      </c>
      <c r="H226" s="81"/>
      <c r="I226" s="75" t="str">
        <f t="shared" si="6"/>
        <v/>
      </c>
      <c r="J226" s="80">
        <f t="shared" si="7"/>
        <v>81974.27085</v>
      </c>
      <c r="K226" s="77" t="str">
        <f t="shared" si="3"/>
        <v/>
      </c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</row>
    <row r="227" ht="15.75" customHeight="1">
      <c r="A227" s="68" t="s">
        <v>2302</v>
      </c>
      <c r="B227" s="69"/>
      <c r="C227" s="72">
        <f t="shared" si="4"/>
        <v>91974.27085</v>
      </c>
      <c r="D227" s="71">
        <v>0.01</v>
      </c>
      <c r="E227" s="72">
        <f t="shared" si="1"/>
        <v>919.7427085</v>
      </c>
      <c r="F227" s="72">
        <f t="shared" si="2"/>
        <v>92894.01356</v>
      </c>
      <c r="G227" s="79" t="str">
        <f t="shared" si="5"/>
        <v/>
      </c>
      <c r="H227" s="81"/>
      <c r="I227" s="75" t="str">
        <f t="shared" si="6"/>
        <v/>
      </c>
      <c r="J227" s="80">
        <f t="shared" si="7"/>
        <v>82894.01356</v>
      </c>
      <c r="K227" s="77" t="str">
        <f t="shared" si="3"/>
        <v/>
      </c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</row>
    <row r="228" ht="15.75" customHeight="1">
      <c r="A228" s="68" t="s">
        <v>2303</v>
      </c>
      <c r="B228" s="69"/>
      <c r="C228" s="72">
        <f t="shared" si="4"/>
        <v>92894.01356</v>
      </c>
      <c r="D228" s="71">
        <v>0.01</v>
      </c>
      <c r="E228" s="72">
        <f t="shared" si="1"/>
        <v>928.9401356</v>
      </c>
      <c r="F228" s="72">
        <f t="shared" si="2"/>
        <v>93822.95369</v>
      </c>
      <c r="G228" s="79" t="str">
        <f t="shared" si="5"/>
        <v/>
      </c>
      <c r="H228" s="81"/>
      <c r="I228" s="75" t="str">
        <f t="shared" si="6"/>
        <v/>
      </c>
      <c r="J228" s="80">
        <f t="shared" si="7"/>
        <v>83822.95369</v>
      </c>
      <c r="K228" s="77" t="str">
        <f t="shared" si="3"/>
        <v/>
      </c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</row>
    <row r="229" ht="15.75" customHeight="1">
      <c r="A229" s="68" t="s">
        <v>2304</v>
      </c>
      <c r="B229" s="69"/>
      <c r="C229" s="72">
        <f t="shared" si="4"/>
        <v>93822.95369</v>
      </c>
      <c r="D229" s="71">
        <v>0.01</v>
      </c>
      <c r="E229" s="72">
        <f t="shared" si="1"/>
        <v>938.2295369</v>
      </c>
      <c r="F229" s="72">
        <f t="shared" si="2"/>
        <v>94761.18323</v>
      </c>
      <c r="G229" s="79" t="str">
        <f t="shared" si="5"/>
        <v/>
      </c>
      <c r="H229" s="81"/>
      <c r="I229" s="75" t="str">
        <f t="shared" si="6"/>
        <v/>
      </c>
      <c r="J229" s="80">
        <f t="shared" si="7"/>
        <v>84761.18323</v>
      </c>
      <c r="K229" s="77" t="str">
        <f t="shared" si="3"/>
        <v/>
      </c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</row>
    <row r="230" ht="15.75" customHeight="1">
      <c r="A230" s="68" t="s">
        <v>2305</v>
      </c>
      <c r="B230" s="69"/>
      <c r="C230" s="72">
        <f t="shared" si="4"/>
        <v>94761.18323</v>
      </c>
      <c r="D230" s="71">
        <v>0.01</v>
      </c>
      <c r="E230" s="72">
        <f t="shared" si="1"/>
        <v>947.6118323</v>
      </c>
      <c r="F230" s="72">
        <f t="shared" si="2"/>
        <v>95708.79506</v>
      </c>
      <c r="G230" s="79" t="str">
        <f t="shared" si="5"/>
        <v/>
      </c>
      <c r="H230" s="81"/>
      <c r="I230" s="75" t="str">
        <f t="shared" si="6"/>
        <v/>
      </c>
      <c r="J230" s="80">
        <f t="shared" si="7"/>
        <v>85708.79506</v>
      </c>
      <c r="K230" s="77" t="str">
        <f t="shared" si="3"/>
        <v/>
      </c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</row>
    <row r="231" ht="15.75" customHeight="1">
      <c r="A231" s="68" t="s">
        <v>2306</v>
      </c>
      <c r="B231" s="69"/>
      <c r="C231" s="72">
        <f t="shared" si="4"/>
        <v>95708.79506</v>
      </c>
      <c r="D231" s="71">
        <v>0.01</v>
      </c>
      <c r="E231" s="72">
        <f t="shared" si="1"/>
        <v>957.0879506</v>
      </c>
      <c r="F231" s="72">
        <f t="shared" si="2"/>
        <v>96665.88301</v>
      </c>
      <c r="G231" s="79" t="str">
        <f t="shared" si="5"/>
        <v/>
      </c>
      <c r="H231" s="81"/>
      <c r="I231" s="75" t="str">
        <f t="shared" si="6"/>
        <v/>
      </c>
      <c r="J231" s="80">
        <f t="shared" si="7"/>
        <v>86665.88301</v>
      </c>
      <c r="K231" s="77" t="str">
        <f t="shared" si="3"/>
        <v/>
      </c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</row>
    <row r="232" ht="15.75" customHeight="1">
      <c r="A232" s="68" t="s">
        <v>2307</v>
      </c>
      <c r="B232" s="69"/>
      <c r="C232" s="72">
        <f t="shared" si="4"/>
        <v>96665.88301</v>
      </c>
      <c r="D232" s="71">
        <v>0.01</v>
      </c>
      <c r="E232" s="72">
        <f t="shared" si="1"/>
        <v>966.6588301</v>
      </c>
      <c r="F232" s="72">
        <f t="shared" si="2"/>
        <v>97632.54184</v>
      </c>
      <c r="G232" s="79" t="str">
        <f t="shared" si="5"/>
        <v/>
      </c>
      <c r="H232" s="81"/>
      <c r="I232" s="75" t="str">
        <f t="shared" si="6"/>
        <v/>
      </c>
      <c r="J232" s="80">
        <f t="shared" si="7"/>
        <v>87632.54184</v>
      </c>
      <c r="K232" s="77" t="str">
        <f t="shared" si="3"/>
        <v/>
      </c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</row>
    <row r="233" ht="15.75" customHeight="1">
      <c r="A233" s="68" t="s">
        <v>2308</v>
      </c>
      <c r="B233" s="69"/>
      <c r="C233" s="72">
        <f t="shared" si="4"/>
        <v>97632.54184</v>
      </c>
      <c r="D233" s="71">
        <v>0.01</v>
      </c>
      <c r="E233" s="72">
        <f t="shared" si="1"/>
        <v>976.3254184</v>
      </c>
      <c r="F233" s="72">
        <f t="shared" si="2"/>
        <v>98608.86726</v>
      </c>
      <c r="G233" s="79" t="str">
        <f t="shared" si="5"/>
        <v/>
      </c>
      <c r="H233" s="81"/>
      <c r="I233" s="75" t="str">
        <f t="shared" si="6"/>
        <v/>
      </c>
      <c r="J233" s="80">
        <f t="shared" si="7"/>
        <v>88608.86726</v>
      </c>
      <c r="K233" s="77" t="str">
        <f t="shared" si="3"/>
        <v/>
      </c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</row>
    <row r="234" ht="15.75" customHeight="1">
      <c r="A234" s="68" t="s">
        <v>2309</v>
      </c>
      <c r="B234" s="69"/>
      <c r="C234" s="72">
        <f t="shared" si="4"/>
        <v>98608.86726</v>
      </c>
      <c r="D234" s="71">
        <v>0.01</v>
      </c>
      <c r="E234" s="72">
        <f t="shared" si="1"/>
        <v>986.0886726</v>
      </c>
      <c r="F234" s="72">
        <f t="shared" si="2"/>
        <v>99594.95593</v>
      </c>
      <c r="G234" s="79" t="str">
        <f t="shared" si="5"/>
        <v/>
      </c>
      <c r="H234" s="81"/>
      <c r="I234" s="75" t="str">
        <f t="shared" si="6"/>
        <v/>
      </c>
      <c r="J234" s="80">
        <f t="shared" si="7"/>
        <v>89594.95593</v>
      </c>
      <c r="K234" s="77" t="str">
        <f t="shared" si="3"/>
        <v/>
      </c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</row>
    <row r="235" ht="15.75" customHeight="1">
      <c r="A235" s="68" t="s">
        <v>2310</v>
      </c>
      <c r="B235" s="69"/>
      <c r="C235" s="72">
        <f t="shared" si="4"/>
        <v>99594.95593</v>
      </c>
      <c r="D235" s="71">
        <v>0.01</v>
      </c>
      <c r="E235" s="72">
        <f t="shared" si="1"/>
        <v>995.9495593</v>
      </c>
      <c r="F235" s="72">
        <f t="shared" si="2"/>
        <v>100590.9055</v>
      </c>
      <c r="G235" s="79" t="str">
        <f t="shared" si="5"/>
        <v/>
      </c>
      <c r="H235" s="81"/>
      <c r="I235" s="75" t="str">
        <f t="shared" si="6"/>
        <v/>
      </c>
      <c r="J235" s="80">
        <f t="shared" si="7"/>
        <v>90590.90549</v>
      </c>
      <c r="K235" s="77" t="str">
        <f t="shared" si="3"/>
        <v/>
      </c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</row>
    <row r="236" ht="15.75" customHeight="1">
      <c r="A236" s="68" t="s">
        <v>2311</v>
      </c>
      <c r="B236" s="69"/>
      <c r="C236" s="72">
        <f t="shared" si="4"/>
        <v>100590.9055</v>
      </c>
      <c r="D236" s="71">
        <v>0.01</v>
      </c>
      <c r="E236" s="72">
        <f t="shared" si="1"/>
        <v>1005.909055</v>
      </c>
      <c r="F236" s="72">
        <f t="shared" si="2"/>
        <v>101596.8145</v>
      </c>
      <c r="G236" s="79" t="str">
        <f t="shared" si="5"/>
        <v/>
      </c>
      <c r="H236" s="81"/>
      <c r="I236" s="75" t="str">
        <f t="shared" si="6"/>
        <v/>
      </c>
      <c r="J236" s="80">
        <f t="shared" si="7"/>
        <v>91596.81455</v>
      </c>
      <c r="K236" s="77" t="str">
        <f t="shared" si="3"/>
        <v/>
      </c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</row>
    <row r="237" ht="15.75" customHeight="1">
      <c r="A237" s="68" t="s">
        <v>2312</v>
      </c>
      <c r="B237" s="69"/>
      <c r="C237" s="72">
        <f t="shared" si="4"/>
        <v>101596.8145</v>
      </c>
      <c r="D237" s="71">
        <v>0.01</v>
      </c>
      <c r="E237" s="72">
        <f t="shared" si="1"/>
        <v>1015.968145</v>
      </c>
      <c r="F237" s="72">
        <f t="shared" si="2"/>
        <v>102612.7827</v>
      </c>
      <c r="G237" s="79" t="str">
        <f t="shared" si="5"/>
        <v/>
      </c>
      <c r="H237" s="81"/>
      <c r="I237" s="75" t="str">
        <f t="shared" si="6"/>
        <v/>
      </c>
      <c r="J237" s="80">
        <f t="shared" si="7"/>
        <v>92612.78269</v>
      </c>
      <c r="K237" s="77" t="str">
        <f t="shared" si="3"/>
        <v/>
      </c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 ht="15.75" customHeight="1">
      <c r="A238" s="68" t="s">
        <v>2313</v>
      </c>
      <c r="B238" s="69"/>
      <c r="C238" s="72">
        <f t="shared" si="4"/>
        <v>102612.7827</v>
      </c>
      <c r="D238" s="71">
        <v>0.01</v>
      </c>
      <c r="E238" s="72">
        <f t="shared" si="1"/>
        <v>1026.127827</v>
      </c>
      <c r="F238" s="72">
        <f t="shared" si="2"/>
        <v>103638.9105</v>
      </c>
      <c r="G238" s="79" t="str">
        <f t="shared" si="5"/>
        <v/>
      </c>
      <c r="H238" s="81"/>
      <c r="I238" s="75" t="str">
        <f t="shared" si="6"/>
        <v/>
      </c>
      <c r="J238" s="80">
        <f t="shared" si="7"/>
        <v>93638.91052</v>
      </c>
      <c r="K238" s="77" t="str">
        <f t="shared" si="3"/>
        <v/>
      </c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ht="15.75" customHeight="1">
      <c r="A239" s="68" t="s">
        <v>2314</v>
      </c>
      <c r="B239" s="69"/>
      <c r="C239" s="72">
        <f t="shared" si="4"/>
        <v>103638.9105</v>
      </c>
      <c r="D239" s="71">
        <v>0.01</v>
      </c>
      <c r="E239" s="72">
        <f t="shared" si="1"/>
        <v>1036.389105</v>
      </c>
      <c r="F239" s="72">
        <f t="shared" si="2"/>
        <v>104675.2996</v>
      </c>
      <c r="G239" s="79" t="str">
        <f t="shared" si="5"/>
        <v/>
      </c>
      <c r="H239" s="81"/>
      <c r="I239" s="75" t="str">
        <f t="shared" si="6"/>
        <v/>
      </c>
      <c r="J239" s="80">
        <f t="shared" si="7"/>
        <v>94675.29963</v>
      </c>
      <c r="K239" s="77" t="str">
        <f t="shared" si="3"/>
        <v/>
      </c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</row>
    <row r="240" ht="15.75" customHeight="1">
      <c r="A240" s="68" t="s">
        <v>2315</v>
      </c>
      <c r="B240" s="69"/>
      <c r="C240" s="72">
        <f t="shared" si="4"/>
        <v>104675.2996</v>
      </c>
      <c r="D240" s="71">
        <v>0.01</v>
      </c>
      <c r="E240" s="72">
        <f t="shared" si="1"/>
        <v>1046.752996</v>
      </c>
      <c r="F240" s="72">
        <f t="shared" si="2"/>
        <v>105722.0526</v>
      </c>
      <c r="G240" s="79" t="str">
        <f t="shared" si="5"/>
        <v/>
      </c>
      <c r="H240" s="81"/>
      <c r="I240" s="75" t="str">
        <f t="shared" si="6"/>
        <v/>
      </c>
      <c r="J240" s="80">
        <f t="shared" si="7"/>
        <v>95722.05262</v>
      </c>
      <c r="K240" s="77" t="str">
        <f t="shared" si="3"/>
        <v/>
      </c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</row>
    <row r="241" ht="15.75" customHeight="1">
      <c r="A241" s="68" t="s">
        <v>2316</v>
      </c>
      <c r="B241" s="69"/>
      <c r="C241" s="72">
        <f t="shared" si="4"/>
        <v>105722.0526</v>
      </c>
      <c r="D241" s="71">
        <v>0.01</v>
      </c>
      <c r="E241" s="72">
        <f t="shared" si="1"/>
        <v>1057.220526</v>
      </c>
      <c r="F241" s="72">
        <f t="shared" si="2"/>
        <v>106779.2731</v>
      </c>
      <c r="G241" s="79" t="str">
        <f t="shared" si="5"/>
        <v/>
      </c>
      <c r="H241" s="81"/>
      <c r="I241" s="75" t="str">
        <f t="shared" si="6"/>
        <v/>
      </c>
      <c r="J241" s="80">
        <f t="shared" si="7"/>
        <v>96779.27315</v>
      </c>
      <c r="K241" s="77" t="str">
        <f t="shared" si="3"/>
        <v/>
      </c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</row>
    <row r="242" ht="15.75" customHeight="1">
      <c r="A242" s="68" t="s">
        <v>2317</v>
      </c>
      <c r="B242" s="69"/>
      <c r="C242" s="72">
        <f t="shared" si="4"/>
        <v>106779.2731</v>
      </c>
      <c r="D242" s="71">
        <v>0.01</v>
      </c>
      <c r="E242" s="72">
        <f t="shared" si="1"/>
        <v>1067.792731</v>
      </c>
      <c r="F242" s="72">
        <f t="shared" si="2"/>
        <v>107847.0659</v>
      </c>
      <c r="G242" s="79" t="str">
        <f t="shared" si="5"/>
        <v/>
      </c>
      <c r="H242" s="81"/>
      <c r="I242" s="75" t="str">
        <f t="shared" si="6"/>
        <v/>
      </c>
      <c r="J242" s="80">
        <f t="shared" si="7"/>
        <v>97847.06588</v>
      </c>
      <c r="K242" s="77" t="str">
        <f t="shared" si="3"/>
        <v/>
      </c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</row>
    <row r="243" ht="15.75" customHeight="1">
      <c r="A243" s="68" t="s">
        <v>2318</v>
      </c>
      <c r="B243" s="69"/>
      <c r="C243" s="72">
        <f t="shared" si="4"/>
        <v>107847.0659</v>
      </c>
      <c r="D243" s="71">
        <v>0.01</v>
      </c>
      <c r="E243" s="72">
        <f t="shared" si="1"/>
        <v>1078.470659</v>
      </c>
      <c r="F243" s="72">
        <f t="shared" si="2"/>
        <v>108925.5365</v>
      </c>
      <c r="G243" s="79" t="str">
        <f t="shared" si="5"/>
        <v/>
      </c>
      <c r="H243" s="81"/>
      <c r="I243" s="75" t="str">
        <f t="shared" si="6"/>
        <v/>
      </c>
      <c r="J243" s="80">
        <f t="shared" si="7"/>
        <v>98925.53654</v>
      </c>
      <c r="K243" s="77" t="str">
        <f t="shared" si="3"/>
        <v/>
      </c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</row>
    <row r="244" ht="15.75" customHeight="1">
      <c r="A244" s="68" t="s">
        <v>2319</v>
      </c>
      <c r="B244" s="69"/>
      <c r="C244" s="72">
        <f t="shared" si="4"/>
        <v>108925.5365</v>
      </c>
      <c r="D244" s="71">
        <v>0.01</v>
      </c>
      <c r="E244" s="72">
        <f t="shared" si="1"/>
        <v>1089.255365</v>
      </c>
      <c r="F244" s="72">
        <f t="shared" si="2"/>
        <v>110014.7919</v>
      </c>
      <c r="G244" s="79" t="str">
        <f t="shared" si="5"/>
        <v/>
      </c>
      <c r="H244" s="81"/>
      <c r="I244" s="75" t="str">
        <f t="shared" si="6"/>
        <v/>
      </c>
      <c r="J244" s="80">
        <f t="shared" si="7"/>
        <v>100014.7919</v>
      </c>
      <c r="K244" s="77" t="str">
        <f t="shared" si="3"/>
        <v/>
      </c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</row>
    <row r="245" ht="15.75" customHeight="1">
      <c r="A245" s="68" t="s">
        <v>2320</v>
      </c>
      <c r="B245" s="69"/>
      <c r="C245" s="72">
        <f t="shared" si="4"/>
        <v>110014.7919</v>
      </c>
      <c r="D245" s="71">
        <v>0.01</v>
      </c>
      <c r="E245" s="72">
        <f t="shared" si="1"/>
        <v>1100.147919</v>
      </c>
      <c r="F245" s="72">
        <f t="shared" si="2"/>
        <v>111114.9398</v>
      </c>
      <c r="G245" s="79" t="str">
        <f t="shared" si="5"/>
        <v/>
      </c>
      <c r="H245" s="81"/>
      <c r="I245" s="75" t="str">
        <f t="shared" si="6"/>
        <v/>
      </c>
      <c r="J245" s="80">
        <f t="shared" si="7"/>
        <v>101114.9398</v>
      </c>
      <c r="K245" s="77" t="str">
        <f t="shared" si="3"/>
        <v/>
      </c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</row>
    <row r="246" ht="15.75" customHeight="1">
      <c r="A246" s="68" t="s">
        <v>2321</v>
      </c>
      <c r="B246" s="69"/>
      <c r="C246" s="72">
        <f t="shared" si="4"/>
        <v>111114.9398</v>
      </c>
      <c r="D246" s="71">
        <v>0.01</v>
      </c>
      <c r="E246" s="72">
        <f t="shared" si="1"/>
        <v>1111.149398</v>
      </c>
      <c r="F246" s="72">
        <f t="shared" si="2"/>
        <v>112226.0892</v>
      </c>
      <c r="G246" s="79" t="str">
        <f t="shared" si="5"/>
        <v/>
      </c>
      <c r="H246" s="81"/>
      <c r="I246" s="75" t="str">
        <f t="shared" si="6"/>
        <v/>
      </c>
      <c r="J246" s="80">
        <f t="shared" si="7"/>
        <v>102226.0892</v>
      </c>
      <c r="K246" s="77" t="str">
        <f t="shared" si="3"/>
        <v/>
      </c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</row>
    <row r="247" ht="15.75" customHeight="1">
      <c r="A247" s="68" t="s">
        <v>2322</v>
      </c>
      <c r="B247" s="69"/>
      <c r="C247" s="72">
        <f t="shared" si="4"/>
        <v>112226.0892</v>
      </c>
      <c r="D247" s="71">
        <v>0.01</v>
      </c>
      <c r="E247" s="72">
        <f t="shared" si="1"/>
        <v>1122.260892</v>
      </c>
      <c r="F247" s="72">
        <f t="shared" si="2"/>
        <v>113348.3501</v>
      </c>
      <c r="G247" s="79" t="str">
        <f t="shared" si="5"/>
        <v/>
      </c>
      <c r="H247" s="81"/>
      <c r="I247" s="75" t="str">
        <f t="shared" si="6"/>
        <v/>
      </c>
      <c r="J247" s="80">
        <f t="shared" si="7"/>
        <v>103348.3501</v>
      </c>
      <c r="K247" s="77" t="str">
        <f t="shared" si="3"/>
        <v/>
      </c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</row>
    <row r="248" ht="15.75" customHeight="1">
      <c r="A248" s="68" t="s">
        <v>2323</v>
      </c>
      <c r="B248" s="69"/>
      <c r="C248" s="72">
        <f t="shared" si="4"/>
        <v>113348.3501</v>
      </c>
      <c r="D248" s="71">
        <v>0.01</v>
      </c>
      <c r="E248" s="72">
        <f t="shared" si="1"/>
        <v>1133.483501</v>
      </c>
      <c r="F248" s="72">
        <f t="shared" si="2"/>
        <v>114481.8336</v>
      </c>
      <c r="G248" s="79" t="str">
        <f t="shared" si="5"/>
        <v/>
      </c>
      <c r="H248" s="81"/>
      <c r="I248" s="75" t="str">
        <f t="shared" si="6"/>
        <v/>
      </c>
      <c r="J248" s="80">
        <f t="shared" si="7"/>
        <v>104481.8336</v>
      </c>
      <c r="K248" s="77" t="str">
        <f t="shared" si="3"/>
        <v/>
      </c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</row>
    <row r="249" ht="15.75" customHeight="1">
      <c r="A249" s="68" t="s">
        <v>2324</v>
      </c>
      <c r="B249" s="69"/>
      <c r="C249" s="72">
        <f t="shared" si="4"/>
        <v>114481.8336</v>
      </c>
      <c r="D249" s="71">
        <v>0.01</v>
      </c>
      <c r="E249" s="72">
        <f t="shared" si="1"/>
        <v>1144.818336</v>
      </c>
      <c r="F249" s="72">
        <f t="shared" si="2"/>
        <v>115626.652</v>
      </c>
      <c r="G249" s="79" t="str">
        <f t="shared" si="5"/>
        <v/>
      </c>
      <c r="H249" s="81"/>
      <c r="I249" s="75" t="str">
        <f t="shared" si="6"/>
        <v/>
      </c>
      <c r="J249" s="80">
        <f t="shared" si="7"/>
        <v>105626.652</v>
      </c>
      <c r="K249" s="77" t="str">
        <f t="shared" si="3"/>
        <v/>
      </c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</row>
    <row r="250" ht="15.75" customHeight="1">
      <c r="A250" s="68" t="s">
        <v>2325</v>
      </c>
      <c r="B250" s="69"/>
      <c r="C250" s="72">
        <f t="shared" si="4"/>
        <v>115626.652</v>
      </c>
      <c r="D250" s="71">
        <v>0.01</v>
      </c>
      <c r="E250" s="72">
        <f t="shared" si="1"/>
        <v>1156.26652</v>
      </c>
      <c r="F250" s="72">
        <f t="shared" si="2"/>
        <v>116782.9185</v>
      </c>
      <c r="G250" s="79" t="str">
        <f t="shared" si="5"/>
        <v/>
      </c>
      <c r="H250" s="81"/>
      <c r="I250" s="75" t="str">
        <f t="shared" si="6"/>
        <v/>
      </c>
      <c r="J250" s="80">
        <f t="shared" si="7"/>
        <v>106782.9185</v>
      </c>
      <c r="K250" s="77" t="str">
        <f t="shared" si="3"/>
        <v/>
      </c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</row>
    <row r="251" ht="15.75" customHeight="1">
      <c r="A251" s="68" t="s">
        <v>2326</v>
      </c>
      <c r="B251" s="69"/>
      <c r="C251" s="72">
        <f t="shared" si="4"/>
        <v>116782.9185</v>
      </c>
      <c r="D251" s="71">
        <v>0.01</v>
      </c>
      <c r="E251" s="72">
        <f t="shared" si="1"/>
        <v>1167.829185</v>
      </c>
      <c r="F251" s="72">
        <f t="shared" si="2"/>
        <v>117950.7477</v>
      </c>
      <c r="G251" s="79" t="str">
        <f t="shared" si="5"/>
        <v/>
      </c>
      <c r="H251" s="81"/>
      <c r="I251" s="75" t="str">
        <f t="shared" si="6"/>
        <v/>
      </c>
      <c r="J251" s="80">
        <f t="shared" si="7"/>
        <v>107950.7477</v>
      </c>
      <c r="K251" s="77" t="str">
        <f t="shared" si="3"/>
        <v/>
      </c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</row>
    <row r="252" ht="15.75" customHeight="1">
      <c r="A252" s="68" t="s">
        <v>2327</v>
      </c>
      <c r="B252" s="69"/>
      <c r="C252" s="72">
        <f t="shared" si="4"/>
        <v>117950.7477</v>
      </c>
      <c r="D252" s="71">
        <v>0.01</v>
      </c>
      <c r="E252" s="72">
        <f t="shared" si="1"/>
        <v>1179.507477</v>
      </c>
      <c r="F252" s="72">
        <f t="shared" si="2"/>
        <v>119130.2551</v>
      </c>
      <c r="G252" s="79" t="str">
        <f t="shared" si="5"/>
        <v/>
      </c>
      <c r="H252" s="81"/>
      <c r="I252" s="75" t="str">
        <f t="shared" si="6"/>
        <v/>
      </c>
      <c r="J252" s="80">
        <f t="shared" si="7"/>
        <v>109130.2551</v>
      </c>
      <c r="K252" s="77" t="str">
        <f t="shared" si="3"/>
        <v/>
      </c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</row>
    <row r="253" ht="15.75" customHeight="1">
      <c r="A253" s="68" t="s">
        <v>2328</v>
      </c>
      <c r="B253" s="69"/>
      <c r="C253" s="72">
        <f t="shared" si="4"/>
        <v>119130.2551</v>
      </c>
      <c r="D253" s="71">
        <v>0.01</v>
      </c>
      <c r="E253" s="72">
        <f t="shared" si="1"/>
        <v>1191.302551</v>
      </c>
      <c r="F253" s="72">
        <f t="shared" si="2"/>
        <v>120321.5577</v>
      </c>
      <c r="G253" s="79" t="str">
        <f t="shared" si="5"/>
        <v/>
      </c>
      <c r="H253" s="81"/>
      <c r="I253" s="75" t="str">
        <f t="shared" si="6"/>
        <v/>
      </c>
      <c r="J253" s="80">
        <f t="shared" si="7"/>
        <v>110321.5577</v>
      </c>
      <c r="K253" s="77" t="str">
        <f t="shared" si="3"/>
        <v/>
      </c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</row>
    <row r="254" ht="15.75" customHeight="1">
      <c r="A254" s="68" t="s">
        <v>2329</v>
      </c>
      <c r="B254" s="69"/>
      <c r="C254" s="72">
        <f t="shared" si="4"/>
        <v>120321.5577</v>
      </c>
      <c r="D254" s="71">
        <v>0.01</v>
      </c>
      <c r="E254" s="72">
        <f t="shared" si="1"/>
        <v>1203.215577</v>
      </c>
      <c r="F254" s="72">
        <f t="shared" si="2"/>
        <v>121524.7733</v>
      </c>
      <c r="G254" s="79" t="str">
        <f t="shared" si="5"/>
        <v/>
      </c>
      <c r="H254" s="81"/>
      <c r="I254" s="75" t="str">
        <f t="shared" si="6"/>
        <v/>
      </c>
      <c r="J254" s="80">
        <f t="shared" si="7"/>
        <v>111524.7733</v>
      </c>
      <c r="K254" s="77" t="str">
        <f t="shared" si="3"/>
        <v/>
      </c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</row>
    <row r="255" ht="15.75" customHeight="1">
      <c r="A255" s="68" t="s">
        <v>2330</v>
      </c>
      <c r="B255" s="69"/>
      <c r="C255" s="72">
        <f t="shared" si="4"/>
        <v>121524.7733</v>
      </c>
      <c r="D255" s="71">
        <v>0.01</v>
      </c>
      <c r="E255" s="72">
        <f t="shared" si="1"/>
        <v>1215.247733</v>
      </c>
      <c r="F255" s="72">
        <f t="shared" si="2"/>
        <v>122740.021</v>
      </c>
      <c r="G255" s="79" t="str">
        <f t="shared" si="5"/>
        <v/>
      </c>
      <c r="H255" s="81"/>
      <c r="I255" s="75" t="str">
        <f t="shared" si="6"/>
        <v/>
      </c>
      <c r="J255" s="80">
        <f t="shared" si="7"/>
        <v>112740.021</v>
      </c>
      <c r="K255" s="77" t="str">
        <f t="shared" si="3"/>
        <v/>
      </c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</row>
    <row r="256" ht="15.75" customHeight="1">
      <c r="A256" s="68" t="s">
        <v>2331</v>
      </c>
      <c r="B256" s="69"/>
      <c r="C256" s="72">
        <f t="shared" si="4"/>
        <v>122740.021</v>
      </c>
      <c r="D256" s="71">
        <v>0.01</v>
      </c>
      <c r="E256" s="72">
        <f t="shared" si="1"/>
        <v>1227.40021</v>
      </c>
      <c r="F256" s="72">
        <f t="shared" si="2"/>
        <v>123967.4212</v>
      </c>
      <c r="G256" s="79" t="str">
        <f t="shared" si="5"/>
        <v/>
      </c>
      <c r="H256" s="81"/>
      <c r="I256" s="75" t="str">
        <f t="shared" si="6"/>
        <v/>
      </c>
      <c r="J256" s="80">
        <f t="shared" si="7"/>
        <v>113967.4212</v>
      </c>
      <c r="K256" s="77" t="str">
        <f t="shared" si="3"/>
        <v/>
      </c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</row>
    <row r="257" ht="15.75" customHeight="1">
      <c r="A257" s="68" t="s">
        <v>2332</v>
      </c>
      <c r="B257" s="69"/>
      <c r="C257" s="72">
        <f t="shared" si="4"/>
        <v>123967.4212</v>
      </c>
      <c r="D257" s="71">
        <v>0.01</v>
      </c>
      <c r="E257" s="72">
        <f t="shared" si="1"/>
        <v>1239.674212</v>
      </c>
      <c r="F257" s="72">
        <f t="shared" si="2"/>
        <v>125207.0954</v>
      </c>
      <c r="G257" s="79" t="str">
        <f t="shared" si="5"/>
        <v/>
      </c>
      <c r="H257" s="81"/>
      <c r="I257" s="75" t="str">
        <f t="shared" si="6"/>
        <v/>
      </c>
      <c r="J257" s="80">
        <f t="shared" si="7"/>
        <v>115207.0954</v>
      </c>
      <c r="K257" s="77" t="str">
        <f t="shared" si="3"/>
        <v/>
      </c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</row>
    <row r="258" ht="15.75" customHeight="1">
      <c r="A258" s="68" t="s">
        <v>2333</v>
      </c>
      <c r="B258" s="69"/>
      <c r="C258" s="72">
        <f t="shared" si="4"/>
        <v>125207.0954</v>
      </c>
      <c r="D258" s="71">
        <v>0.01</v>
      </c>
      <c r="E258" s="72">
        <f t="shared" si="1"/>
        <v>1252.070954</v>
      </c>
      <c r="F258" s="72">
        <f t="shared" si="2"/>
        <v>126459.1664</v>
      </c>
      <c r="G258" s="79" t="str">
        <f t="shared" si="5"/>
        <v/>
      </c>
      <c r="H258" s="81"/>
      <c r="I258" s="75" t="str">
        <f t="shared" si="6"/>
        <v/>
      </c>
      <c r="J258" s="80">
        <f t="shared" si="7"/>
        <v>116459.1664</v>
      </c>
      <c r="K258" s="77" t="str">
        <f t="shared" si="3"/>
        <v/>
      </c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</row>
    <row r="259" ht="15.75" customHeight="1">
      <c r="A259" s="68" t="s">
        <v>2334</v>
      </c>
      <c r="B259" s="69"/>
      <c r="C259" s="72">
        <f t="shared" si="4"/>
        <v>126459.1664</v>
      </c>
      <c r="D259" s="71">
        <v>0.01</v>
      </c>
      <c r="E259" s="72">
        <f t="shared" si="1"/>
        <v>1264.591664</v>
      </c>
      <c r="F259" s="72">
        <f t="shared" si="2"/>
        <v>127723.758</v>
      </c>
      <c r="G259" s="79" t="str">
        <f t="shared" si="5"/>
        <v/>
      </c>
      <c r="H259" s="81"/>
      <c r="I259" s="75" t="str">
        <f t="shared" si="6"/>
        <v/>
      </c>
      <c r="J259" s="80">
        <f t="shared" si="7"/>
        <v>117723.758</v>
      </c>
      <c r="K259" s="77" t="str">
        <f t="shared" si="3"/>
        <v/>
      </c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</row>
    <row r="260" ht="15.75" customHeight="1">
      <c r="A260" s="68" t="s">
        <v>2335</v>
      </c>
      <c r="B260" s="69"/>
      <c r="C260" s="72">
        <f t="shared" si="4"/>
        <v>127723.758</v>
      </c>
      <c r="D260" s="71">
        <v>0.01</v>
      </c>
      <c r="E260" s="72">
        <f t="shared" si="1"/>
        <v>1277.23758</v>
      </c>
      <c r="F260" s="72">
        <f t="shared" si="2"/>
        <v>129000.9956</v>
      </c>
      <c r="G260" s="79" t="str">
        <f t="shared" si="5"/>
        <v/>
      </c>
      <c r="H260" s="81"/>
      <c r="I260" s="75" t="str">
        <f t="shared" si="6"/>
        <v/>
      </c>
      <c r="J260" s="80">
        <f t="shared" si="7"/>
        <v>119000.9956</v>
      </c>
      <c r="K260" s="77" t="str">
        <f t="shared" si="3"/>
        <v/>
      </c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</row>
    <row r="261" ht="15.75" customHeight="1">
      <c r="A261" s="68" t="s">
        <v>2336</v>
      </c>
      <c r="B261" s="69"/>
      <c r="C261" s="72">
        <f t="shared" si="4"/>
        <v>129000.9956</v>
      </c>
      <c r="D261" s="71">
        <v>0.01</v>
      </c>
      <c r="E261" s="72">
        <f t="shared" si="1"/>
        <v>1290.009956</v>
      </c>
      <c r="F261" s="72">
        <f t="shared" si="2"/>
        <v>130291.0056</v>
      </c>
      <c r="G261" s="79" t="str">
        <f t="shared" si="5"/>
        <v/>
      </c>
      <c r="H261" s="81"/>
      <c r="I261" s="75" t="str">
        <f t="shared" si="6"/>
        <v/>
      </c>
      <c r="J261" s="80">
        <f t="shared" si="7"/>
        <v>120291.0056</v>
      </c>
      <c r="K261" s="77" t="str">
        <f t="shared" si="3"/>
        <v/>
      </c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</row>
    <row r="262" ht="15.75" customHeight="1">
      <c r="A262" s="68" t="s">
        <v>2337</v>
      </c>
      <c r="B262" s="69"/>
      <c r="C262" s="72">
        <f t="shared" si="4"/>
        <v>130291.0056</v>
      </c>
      <c r="D262" s="71">
        <v>0.01</v>
      </c>
      <c r="E262" s="72">
        <f t="shared" si="1"/>
        <v>1302.910056</v>
      </c>
      <c r="F262" s="72">
        <f t="shared" si="2"/>
        <v>131593.9156</v>
      </c>
      <c r="G262" s="79" t="str">
        <f t="shared" si="5"/>
        <v/>
      </c>
      <c r="H262" s="81"/>
      <c r="I262" s="75" t="str">
        <f t="shared" si="6"/>
        <v/>
      </c>
      <c r="J262" s="80">
        <f t="shared" si="7"/>
        <v>121593.9156</v>
      </c>
      <c r="K262" s="77" t="str">
        <f t="shared" si="3"/>
        <v/>
      </c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</row>
    <row r="263" ht="15.75" customHeight="1">
      <c r="A263" s="68" t="s">
        <v>2338</v>
      </c>
      <c r="B263" s="69"/>
      <c r="C263" s="72">
        <f t="shared" si="4"/>
        <v>131593.9156</v>
      </c>
      <c r="D263" s="71">
        <v>0.01</v>
      </c>
      <c r="E263" s="72">
        <f t="shared" si="1"/>
        <v>1315.939156</v>
      </c>
      <c r="F263" s="72">
        <f t="shared" si="2"/>
        <v>132909.8548</v>
      </c>
      <c r="G263" s="79" t="str">
        <f t="shared" si="5"/>
        <v/>
      </c>
      <c r="H263" s="81"/>
      <c r="I263" s="75" t="str">
        <f t="shared" si="6"/>
        <v/>
      </c>
      <c r="J263" s="80">
        <f t="shared" si="7"/>
        <v>122909.8548</v>
      </c>
      <c r="K263" s="77" t="str">
        <f t="shared" si="3"/>
        <v/>
      </c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</row>
    <row r="264" ht="15.75" customHeight="1">
      <c r="A264" s="68" t="s">
        <v>2339</v>
      </c>
      <c r="B264" s="69"/>
      <c r="C264" s="72">
        <f t="shared" si="4"/>
        <v>132909.8548</v>
      </c>
      <c r="D264" s="71">
        <v>0.01</v>
      </c>
      <c r="E264" s="72">
        <f t="shared" si="1"/>
        <v>1329.098548</v>
      </c>
      <c r="F264" s="72">
        <f t="shared" si="2"/>
        <v>134238.9533</v>
      </c>
      <c r="G264" s="79" t="str">
        <f t="shared" si="5"/>
        <v/>
      </c>
      <c r="H264" s="81"/>
      <c r="I264" s="75" t="str">
        <f t="shared" si="6"/>
        <v/>
      </c>
      <c r="J264" s="80">
        <f t="shared" si="7"/>
        <v>124238.9533</v>
      </c>
      <c r="K264" s="77" t="str">
        <f t="shared" si="3"/>
        <v/>
      </c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</row>
    <row r="265" ht="15.75" customHeight="1">
      <c r="A265" s="68" t="s">
        <v>2340</v>
      </c>
      <c r="B265" s="69"/>
      <c r="C265" s="72">
        <f t="shared" si="4"/>
        <v>134238.9533</v>
      </c>
      <c r="D265" s="71">
        <v>0.01</v>
      </c>
      <c r="E265" s="72">
        <f t="shared" si="1"/>
        <v>1342.389533</v>
      </c>
      <c r="F265" s="72">
        <f t="shared" si="2"/>
        <v>135581.3429</v>
      </c>
      <c r="G265" s="79" t="str">
        <f t="shared" si="5"/>
        <v/>
      </c>
      <c r="H265" s="81"/>
      <c r="I265" s="75" t="str">
        <f t="shared" si="6"/>
        <v/>
      </c>
      <c r="J265" s="80">
        <f t="shared" si="7"/>
        <v>125581.3429</v>
      </c>
      <c r="K265" s="77" t="str">
        <f t="shared" si="3"/>
        <v/>
      </c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</row>
    <row r="266" ht="15.75" customHeight="1">
      <c r="A266" s="68" t="s">
        <v>2341</v>
      </c>
      <c r="B266" s="69"/>
      <c r="C266" s="72">
        <f t="shared" si="4"/>
        <v>135581.3429</v>
      </c>
      <c r="D266" s="71">
        <v>0.01</v>
      </c>
      <c r="E266" s="72">
        <f t="shared" si="1"/>
        <v>1355.813429</v>
      </c>
      <c r="F266" s="72">
        <f t="shared" si="2"/>
        <v>136937.1563</v>
      </c>
      <c r="G266" s="79" t="str">
        <f t="shared" si="5"/>
        <v/>
      </c>
      <c r="H266" s="81"/>
      <c r="I266" s="75" t="str">
        <f t="shared" si="6"/>
        <v/>
      </c>
      <c r="J266" s="80">
        <f t="shared" si="7"/>
        <v>126937.1563</v>
      </c>
      <c r="K266" s="77" t="str">
        <f t="shared" si="3"/>
        <v/>
      </c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</row>
    <row r="267" ht="15.75" customHeight="1">
      <c r="A267" s="68" t="s">
        <v>2342</v>
      </c>
      <c r="B267" s="69"/>
      <c r="C267" s="72">
        <f t="shared" si="4"/>
        <v>136937.1563</v>
      </c>
      <c r="D267" s="71">
        <v>0.01</v>
      </c>
      <c r="E267" s="72">
        <f t="shared" si="1"/>
        <v>1369.371563</v>
      </c>
      <c r="F267" s="72">
        <f t="shared" si="2"/>
        <v>138306.5279</v>
      </c>
      <c r="G267" s="79" t="str">
        <f t="shared" si="5"/>
        <v/>
      </c>
      <c r="H267" s="81"/>
      <c r="I267" s="75" t="str">
        <f t="shared" si="6"/>
        <v/>
      </c>
      <c r="J267" s="80">
        <f t="shared" si="7"/>
        <v>128306.5279</v>
      </c>
      <c r="K267" s="77" t="str">
        <f t="shared" si="3"/>
        <v/>
      </c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</row>
    <row r="268" ht="15.75" customHeight="1">
      <c r="A268" s="68" t="s">
        <v>2343</v>
      </c>
      <c r="B268" s="69"/>
      <c r="C268" s="72">
        <f t="shared" si="4"/>
        <v>138306.5279</v>
      </c>
      <c r="D268" s="71">
        <v>0.01</v>
      </c>
      <c r="E268" s="72">
        <f t="shared" si="1"/>
        <v>1383.065279</v>
      </c>
      <c r="F268" s="72">
        <f t="shared" si="2"/>
        <v>139689.5931</v>
      </c>
      <c r="G268" s="79" t="str">
        <f t="shared" si="5"/>
        <v/>
      </c>
      <c r="H268" s="81"/>
      <c r="I268" s="75" t="str">
        <f t="shared" si="6"/>
        <v/>
      </c>
      <c r="J268" s="80">
        <f t="shared" si="7"/>
        <v>129689.5931</v>
      </c>
      <c r="K268" s="77" t="str">
        <f t="shared" si="3"/>
        <v/>
      </c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</row>
    <row r="269" ht="15.75" customHeight="1">
      <c r="A269" s="68" t="s">
        <v>2344</v>
      </c>
      <c r="B269" s="69"/>
      <c r="C269" s="72">
        <f t="shared" si="4"/>
        <v>139689.5931</v>
      </c>
      <c r="D269" s="71">
        <v>0.01</v>
      </c>
      <c r="E269" s="72">
        <f t="shared" si="1"/>
        <v>1396.895931</v>
      </c>
      <c r="F269" s="72">
        <f t="shared" si="2"/>
        <v>141086.4891</v>
      </c>
      <c r="G269" s="79" t="str">
        <f t="shared" si="5"/>
        <v/>
      </c>
      <c r="H269" s="81"/>
      <c r="I269" s="75" t="str">
        <f t="shared" si="6"/>
        <v/>
      </c>
      <c r="J269" s="80">
        <f t="shared" si="7"/>
        <v>131086.4891</v>
      </c>
      <c r="K269" s="77" t="str">
        <f t="shared" si="3"/>
        <v/>
      </c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</row>
    <row r="270" ht="15.75" customHeight="1">
      <c r="A270" s="68" t="s">
        <v>2345</v>
      </c>
      <c r="B270" s="69"/>
      <c r="C270" s="72">
        <f t="shared" si="4"/>
        <v>141086.4891</v>
      </c>
      <c r="D270" s="71">
        <v>0.01</v>
      </c>
      <c r="E270" s="72">
        <f t="shared" si="1"/>
        <v>1410.864891</v>
      </c>
      <c r="F270" s="72">
        <f t="shared" si="2"/>
        <v>142497.354</v>
      </c>
      <c r="G270" s="79" t="str">
        <f t="shared" si="5"/>
        <v/>
      </c>
      <c r="H270" s="81"/>
      <c r="I270" s="75" t="str">
        <f t="shared" si="6"/>
        <v/>
      </c>
      <c r="J270" s="80">
        <f t="shared" si="7"/>
        <v>132497.354</v>
      </c>
      <c r="K270" s="77" t="str">
        <f t="shared" si="3"/>
        <v/>
      </c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</row>
    <row r="271" ht="15.75" customHeight="1">
      <c r="A271" s="68" t="s">
        <v>2346</v>
      </c>
      <c r="B271" s="69"/>
      <c r="C271" s="72">
        <f t="shared" si="4"/>
        <v>142497.354</v>
      </c>
      <c r="D271" s="71">
        <v>0.01</v>
      </c>
      <c r="E271" s="72">
        <f t="shared" si="1"/>
        <v>1424.97354</v>
      </c>
      <c r="F271" s="72">
        <f t="shared" si="2"/>
        <v>143922.3275</v>
      </c>
      <c r="G271" s="79" t="str">
        <f t="shared" si="5"/>
        <v/>
      </c>
      <c r="H271" s="81"/>
      <c r="I271" s="75" t="str">
        <f t="shared" si="6"/>
        <v/>
      </c>
      <c r="J271" s="80">
        <f t="shared" si="7"/>
        <v>133922.3275</v>
      </c>
      <c r="K271" s="77" t="str">
        <f t="shared" si="3"/>
        <v/>
      </c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</row>
    <row r="272" ht="15.75" customHeight="1">
      <c r="A272" s="68" t="s">
        <v>2347</v>
      </c>
      <c r="B272" s="69"/>
      <c r="C272" s="72">
        <f t="shared" si="4"/>
        <v>143922.3275</v>
      </c>
      <c r="D272" s="71">
        <v>0.01</v>
      </c>
      <c r="E272" s="72">
        <f t="shared" si="1"/>
        <v>1439.223275</v>
      </c>
      <c r="F272" s="72">
        <f t="shared" si="2"/>
        <v>145361.5508</v>
      </c>
      <c r="G272" s="79" t="str">
        <f t="shared" si="5"/>
        <v/>
      </c>
      <c r="H272" s="81"/>
      <c r="I272" s="75" t="str">
        <f t="shared" si="6"/>
        <v/>
      </c>
      <c r="J272" s="80">
        <f t="shared" si="7"/>
        <v>135361.5508</v>
      </c>
      <c r="K272" s="77" t="str">
        <f t="shared" si="3"/>
        <v/>
      </c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</row>
    <row r="273" ht="15.75" customHeight="1">
      <c r="A273" s="68" t="s">
        <v>2348</v>
      </c>
      <c r="B273" s="69"/>
      <c r="C273" s="72">
        <f t="shared" si="4"/>
        <v>145361.5508</v>
      </c>
      <c r="D273" s="71">
        <v>0.01</v>
      </c>
      <c r="E273" s="72">
        <f t="shared" si="1"/>
        <v>1453.615508</v>
      </c>
      <c r="F273" s="72">
        <f t="shared" si="2"/>
        <v>146815.1663</v>
      </c>
      <c r="G273" s="79" t="str">
        <f t="shared" si="5"/>
        <v/>
      </c>
      <c r="H273" s="81"/>
      <c r="I273" s="75" t="str">
        <f t="shared" si="6"/>
        <v/>
      </c>
      <c r="J273" s="80">
        <f t="shared" si="7"/>
        <v>136815.1663</v>
      </c>
      <c r="K273" s="77" t="str">
        <f t="shared" si="3"/>
        <v/>
      </c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</row>
    <row r="274" ht="15.75" customHeight="1">
      <c r="A274" s="68" t="s">
        <v>2349</v>
      </c>
      <c r="B274" s="69"/>
      <c r="C274" s="72">
        <f t="shared" si="4"/>
        <v>146815.1663</v>
      </c>
      <c r="D274" s="71">
        <v>0.01</v>
      </c>
      <c r="E274" s="72">
        <f t="shared" si="1"/>
        <v>1468.151663</v>
      </c>
      <c r="F274" s="72">
        <f t="shared" si="2"/>
        <v>148283.3179</v>
      </c>
      <c r="G274" s="79" t="str">
        <f t="shared" si="5"/>
        <v/>
      </c>
      <c r="H274" s="81"/>
      <c r="I274" s="75" t="str">
        <f t="shared" si="6"/>
        <v/>
      </c>
      <c r="J274" s="80">
        <f t="shared" si="7"/>
        <v>138283.3179</v>
      </c>
      <c r="K274" s="77" t="str">
        <f t="shared" si="3"/>
        <v/>
      </c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</row>
    <row r="275" ht="15.75" customHeight="1">
      <c r="A275" s="68" t="s">
        <v>2350</v>
      </c>
      <c r="B275" s="69"/>
      <c r="C275" s="72">
        <f t="shared" si="4"/>
        <v>148283.3179</v>
      </c>
      <c r="D275" s="71">
        <v>0.01</v>
      </c>
      <c r="E275" s="72">
        <f t="shared" si="1"/>
        <v>1482.833179</v>
      </c>
      <c r="F275" s="72">
        <f t="shared" si="2"/>
        <v>149766.1511</v>
      </c>
      <c r="G275" s="79" t="str">
        <f t="shared" si="5"/>
        <v/>
      </c>
      <c r="H275" s="81"/>
      <c r="I275" s="75" t="str">
        <f t="shared" si="6"/>
        <v/>
      </c>
      <c r="J275" s="80">
        <f t="shared" si="7"/>
        <v>139766.1511</v>
      </c>
      <c r="K275" s="77" t="str">
        <f t="shared" si="3"/>
        <v/>
      </c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</row>
    <row r="276" ht="15.75" customHeight="1">
      <c r="A276" s="68" t="s">
        <v>2351</v>
      </c>
      <c r="B276" s="69"/>
      <c r="C276" s="72">
        <f t="shared" si="4"/>
        <v>149766.1511</v>
      </c>
      <c r="D276" s="71">
        <v>0.01</v>
      </c>
      <c r="E276" s="72">
        <f t="shared" si="1"/>
        <v>1497.661511</v>
      </c>
      <c r="F276" s="72">
        <f t="shared" si="2"/>
        <v>151263.8126</v>
      </c>
      <c r="G276" s="79" t="str">
        <f t="shared" si="5"/>
        <v/>
      </c>
      <c r="H276" s="81"/>
      <c r="I276" s="75" t="str">
        <f t="shared" si="6"/>
        <v/>
      </c>
      <c r="J276" s="80">
        <f t="shared" si="7"/>
        <v>141263.8126</v>
      </c>
      <c r="K276" s="77" t="str">
        <f t="shared" si="3"/>
        <v/>
      </c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</row>
    <row r="277" ht="15.75" customHeight="1">
      <c r="A277" s="68" t="s">
        <v>2352</v>
      </c>
      <c r="B277" s="69"/>
      <c r="C277" s="72">
        <f t="shared" si="4"/>
        <v>151263.8126</v>
      </c>
      <c r="D277" s="71">
        <v>0.01</v>
      </c>
      <c r="E277" s="72">
        <f t="shared" si="1"/>
        <v>1512.638126</v>
      </c>
      <c r="F277" s="72">
        <f t="shared" si="2"/>
        <v>152776.4508</v>
      </c>
      <c r="G277" s="79" t="str">
        <f t="shared" si="5"/>
        <v/>
      </c>
      <c r="H277" s="81"/>
      <c r="I277" s="75" t="str">
        <f t="shared" si="6"/>
        <v/>
      </c>
      <c r="J277" s="80">
        <f t="shared" si="7"/>
        <v>142776.4508</v>
      </c>
      <c r="K277" s="77" t="str">
        <f t="shared" si="3"/>
        <v/>
      </c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</row>
    <row r="278" ht="15.75" customHeight="1">
      <c r="A278" s="68" t="s">
        <v>2353</v>
      </c>
      <c r="B278" s="69"/>
      <c r="C278" s="72">
        <f t="shared" si="4"/>
        <v>152776.4508</v>
      </c>
      <c r="D278" s="71">
        <v>0.01</v>
      </c>
      <c r="E278" s="72">
        <f t="shared" si="1"/>
        <v>1527.764508</v>
      </c>
      <c r="F278" s="72">
        <f t="shared" si="2"/>
        <v>154304.2153</v>
      </c>
      <c r="G278" s="79" t="str">
        <f t="shared" si="5"/>
        <v/>
      </c>
      <c r="H278" s="81"/>
      <c r="I278" s="75" t="str">
        <f t="shared" si="6"/>
        <v/>
      </c>
      <c r="J278" s="80">
        <f t="shared" si="7"/>
        <v>144304.2153</v>
      </c>
      <c r="K278" s="77" t="str">
        <f t="shared" si="3"/>
        <v/>
      </c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</row>
    <row r="279" ht="15.75" customHeight="1">
      <c r="A279" s="68" t="s">
        <v>2354</v>
      </c>
      <c r="B279" s="69"/>
      <c r="C279" s="72">
        <f t="shared" si="4"/>
        <v>154304.2153</v>
      </c>
      <c r="D279" s="71">
        <v>0.01</v>
      </c>
      <c r="E279" s="72">
        <f t="shared" si="1"/>
        <v>1543.042153</v>
      </c>
      <c r="F279" s="72">
        <f t="shared" si="2"/>
        <v>155847.2574</v>
      </c>
      <c r="G279" s="79" t="str">
        <f t="shared" si="5"/>
        <v/>
      </c>
      <c r="H279" s="81"/>
      <c r="I279" s="75" t="str">
        <f t="shared" si="6"/>
        <v/>
      </c>
      <c r="J279" s="80">
        <f t="shared" si="7"/>
        <v>145847.2574</v>
      </c>
      <c r="K279" s="77" t="str">
        <f t="shared" si="3"/>
        <v/>
      </c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</row>
    <row r="280" ht="15.75" customHeight="1">
      <c r="A280" s="68" t="s">
        <v>2355</v>
      </c>
      <c r="B280" s="69"/>
      <c r="C280" s="72">
        <f t="shared" si="4"/>
        <v>155847.2574</v>
      </c>
      <c r="D280" s="71">
        <v>0.01</v>
      </c>
      <c r="E280" s="72">
        <f t="shared" si="1"/>
        <v>1558.472574</v>
      </c>
      <c r="F280" s="72">
        <f t="shared" si="2"/>
        <v>157405.73</v>
      </c>
      <c r="G280" s="79" t="str">
        <f t="shared" si="5"/>
        <v/>
      </c>
      <c r="H280" s="81"/>
      <c r="I280" s="75" t="str">
        <f t="shared" si="6"/>
        <v/>
      </c>
      <c r="J280" s="80">
        <f t="shared" si="7"/>
        <v>147405.73</v>
      </c>
      <c r="K280" s="77" t="str">
        <f t="shared" si="3"/>
        <v/>
      </c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</row>
    <row r="281" ht="15.75" customHeight="1">
      <c r="A281" s="68" t="s">
        <v>2356</v>
      </c>
      <c r="B281" s="69"/>
      <c r="C281" s="72">
        <f t="shared" si="4"/>
        <v>157405.73</v>
      </c>
      <c r="D281" s="71">
        <v>0.01</v>
      </c>
      <c r="E281" s="72">
        <f t="shared" si="1"/>
        <v>1574.0573</v>
      </c>
      <c r="F281" s="72">
        <f t="shared" si="2"/>
        <v>158979.7873</v>
      </c>
      <c r="G281" s="79" t="str">
        <f t="shared" si="5"/>
        <v/>
      </c>
      <c r="H281" s="81"/>
      <c r="I281" s="75" t="str">
        <f t="shared" si="6"/>
        <v/>
      </c>
      <c r="J281" s="80">
        <f t="shared" si="7"/>
        <v>148979.7873</v>
      </c>
      <c r="K281" s="77" t="str">
        <f t="shared" si="3"/>
        <v/>
      </c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</row>
    <row r="282" ht="15.75" customHeight="1">
      <c r="A282" s="68" t="s">
        <v>2357</v>
      </c>
      <c r="B282" s="69"/>
      <c r="C282" s="72">
        <f t="shared" si="4"/>
        <v>158979.7873</v>
      </c>
      <c r="D282" s="71">
        <v>0.01</v>
      </c>
      <c r="E282" s="72">
        <f t="shared" si="1"/>
        <v>1589.797873</v>
      </c>
      <c r="F282" s="72">
        <f t="shared" si="2"/>
        <v>160569.5852</v>
      </c>
      <c r="G282" s="79" t="str">
        <f t="shared" si="5"/>
        <v/>
      </c>
      <c r="H282" s="81"/>
      <c r="I282" s="75" t="str">
        <f t="shared" si="6"/>
        <v/>
      </c>
      <c r="J282" s="80">
        <f t="shared" si="7"/>
        <v>150569.5852</v>
      </c>
      <c r="K282" s="77" t="str">
        <f t="shared" si="3"/>
        <v/>
      </c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</row>
    <row r="283" ht="15.75" customHeight="1">
      <c r="A283" s="68" t="s">
        <v>2358</v>
      </c>
      <c r="B283" s="69"/>
      <c r="C283" s="72">
        <f t="shared" si="4"/>
        <v>160569.5852</v>
      </c>
      <c r="D283" s="71">
        <v>0.01</v>
      </c>
      <c r="E283" s="72">
        <f t="shared" si="1"/>
        <v>1605.695852</v>
      </c>
      <c r="F283" s="72">
        <f t="shared" si="2"/>
        <v>162175.281</v>
      </c>
      <c r="G283" s="79" t="str">
        <f t="shared" si="5"/>
        <v/>
      </c>
      <c r="H283" s="81"/>
      <c r="I283" s="75" t="str">
        <f t="shared" si="6"/>
        <v/>
      </c>
      <c r="J283" s="80">
        <f t="shared" si="7"/>
        <v>152175.281</v>
      </c>
      <c r="K283" s="77" t="str">
        <f t="shared" si="3"/>
        <v/>
      </c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</row>
    <row r="284" ht="15.75" customHeight="1">
      <c r="A284" s="68" t="s">
        <v>2359</v>
      </c>
      <c r="B284" s="69"/>
      <c r="C284" s="72">
        <f t="shared" si="4"/>
        <v>162175.281</v>
      </c>
      <c r="D284" s="71">
        <v>0.01</v>
      </c>
      <c r="E284" s="72">
        <f t="shared" si="1"/>
        <v>1621.75281</v>
      </c>
      <c r="F284" s="72">
        <f t="shared" si="2"/>
        <v>163797.0338</v>
      </c>
      <c r="G284" s="79" t="str">
        <f t="shared" si="5"/>
        <v/>
      </c>
      <c r="H284" s="81"/>
      <c r="I284" s="75" t="str">
        <f t="shared" si="6"/>
        <v/>
      </c>
      <c r="J284" s="80">
        <f t="shared" si="7"/>
        <v>153797.0338</v>
      </c>
      <c r="K284" s="77" t="str">
        <f t="shared" si="3"/>
        <v/>
      </c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</row>
    <row r="285" ht="15.75" customHeight="1">
      <c r="A285" s="68" t="s">
        <v>2360</v>
      </c>
      <c r="B285" s="69"/>
      <c r="C285" s="72">
        <f t="shared" si="4"/>
        <v>163797.0338</v>
      </c>
      <c r="D285" s="71">
        <v>0.01</v>
      </c>
      <c r="E285" s="72">
        <f t="shared" si="1"/>
        <v>1637.970338</v>
      </c>
      <c r="F285" s="72">
        <f t="shared" si="2"/>
        <v>165435.0042</v>
      </c>
      <c r="G285" s="79" t="str">
        <f t="shared" si="5"/>
        <v/>
      </c>
      <c r="H285" s="81"/>
      <c r="I285" s="75" t="str">
        <f t="shared" si="6"/>
        <v/>
      </c>
      <c r="J285" s="80">
        <f t="shared" si="7"/>
        <v>155435.0042</v>
      </c>
      <c r="K285" s="77" t="str">
        <f t="shared" si="3"/>
        <v/>
      </c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</row>
    <row r="286" ht="15.75" customHeight="1">
      <c r="A286" s="68" t="s">
        <v>2361</v>
      </c>
      <c r="B286" s="69"/>
      <c r="C286" s="72">
        <f t="shared" si="4"/>
        <v>165435.0042</v>
      </c>
      <c r="D286" s="71">
        <v>0.01</v>
      </c>
      <c r="E286" s="72">
        <f t="shared" si="1"/>
        <v>1654.350042</v>
      </c>
      <c r="F286" s="72">
        <f t="shared" si="2"/>
        <v>167089.3542</v>
      </c>
      <c r="G286" s="79" t="str">
        <f t="shared" si="5"/>
        <v/>
      </c>
      <c r="H286" s="81"/>
      <c r="I286" s="75" t="str">
        <f t="shared" si="6"/>
        <v/>
      </c>
      <c r="J286" s="80">
        <f t="shared" si="7"/>
        <v>157089.3542</v>
      </c>
      <c r="K286" s="77" t="str">
        <f t="shared" si="3"/>
        <v/>
      </c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</row>
    <row r="287" ht="15.75" customHeight="1">
      <c r="A287" s="68" t="s">
        <v>2362</v>
      </c>
      <c r="B287" s="69"/>
      <c r="C287" s="72">
        <f t="shared" si="4"/>
        <v>167089.3542</v>
      </c>
      <c r="D287" s="71">
        <v>0.01</v>
      </c>
      <c r="E287" s="72">
        <f t="shared" si="1"/>
        <v>1670.893542</v>
      </c>
      <c r="F287" s="72">
        <f t="shared" si="2"/>
        <v>168760.2477</v>
      </c>
      <c r="G287" s="79" t="str">
        <f t="shared" si="5"/>
        <v/>
      </c>
      <c r="H287" s="81"/>
      <c r="I287" s="75" t="str">
        <f t="shared" si="6"/>
        <v/>
      </c>
      <c r="J287" s="80">
        <f t="shared" si="7"/>
        <v>158760.2477</v>
      </c>
      <c r="K287" s="77" t="str">
        <f t="shared" si="3"/>
        <v/>
      </c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</row>
    <row r="288" ht="15.75" customHeight="1">
      <c r="A288" s="68" t="s">
        <v>2363</v>
      </c>
      <c r="B288" s="69"/>
      <c r="C288" s="72">
        <f t="shared" si="4"/>
        <v>168760.2477</v>
      </c>
      <c r="D288" s="71">
        <v>0.01</v>
      </c>
      <c r="E288" s="72">
        <f t="shared" si="1"/>
        <v>1687.602477</v>
      </c>
      <c r="F288" s="72">
        <f t="shared" si="2"/>
        <v>170447.8502</v>
      </c>
      <c r="G288" s="79" t="str">
        <f t="shared" si="5"/>
        <v/>
      </c>
      <c r="H288" s="81"/>
      <c r="I288" s="75" t="str">
        <f t="shared" si="6"/>
        <v/>
      </c>
      <c r="J288" s="80">
        <f t="shared" si="7"/>
        <v>160447.8502</v>
      </c>
      <c r="K288" s="77" t="str">
        <f t="shared" si="3"/>
        <v/>
      </c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</row>
    <row r="289" ht="15.75" customHeight="1">
      <c r="A289" s="68" t="s">
        <v>2364</v>
      </c>
      <c r="B289" s="69"/>
      <c r="C289" s="72">
        <f t="shared" si="4"/>
        <v>170447.8502</v>
      </c>
      <c r="D289" s="71">
        <v>0.01</v>
      </c>
      <c r="E289" s="72">
        <f t="shared" si="1"/>
        <v>1704.478502</v>
      </c>
      <c r="F289" s="72">
        <f t="shared" si="2"/>
        <v>172152.3287</v>
      </c>
      <c r="G289" s="79" t="str">
        <f t="shared" si="5"/>
        <v/>
      </c>
      <c r="H289" s="81"/>
      <c r="I289" s="75" t="str">
        <f t="shared" si="6"/>
        <v/>
      </c>
      <c r="J289" s="80">
        <f t="shared" si="7"/>
        <v>162152.3287</v>
      </c>
      <c r="K289" s="77" t="str">
        <f t="shared" si="3"/>
        <v/>
      </c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</row>
    <row r="290" ht="15.75" customHeight="1">
      <c r="A290" s="68" t="s">
        <v>2365</v>
      </c>
      <c r="B290" s="69"/>
      <c r="C290" s="72">
        <f t="shared" si="4"/>
        <v>172152.3287</v>
      </c>
      <c r="D290" s="71">
        <v>0.01</v>
      </c>
      <c r="E290" s="72">
        <f t="shared" si="1"/>
        <v>1721.523287</v>
      </c>
      <c r="F290" s="72">
        <f t="shared" si="2"/>
        <v>173873.852</v>
      </c>
      <c r="G290" s="79" t="str">
        <f t="shared" si="5"/>
        <v/>
      </c>
      <c r="H290" s="81"/>
      <c r="I290" s="75" t="str">
        <f t="shared" si="6"/>
        <v/>
      </c>
      <c r="J290" s="80">
        <f t="shared" si="7"/>
        <v>163873.852</v>
      </c>
      <c r="K290" s="77" t="str">
        <f t="shared" si="3"/>
        <v/>
      </c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</row>
    <row r="291" ht="15.75" customHeight="1">
      <c r="A291" s="68" t="s">
        <v>2366</v>
      </c>
      <c r="B291" s="69"/>
      <c r="C291" s="72">
        <f t="shared" si="4"/>
        <v>173873.852</v>
      </c>
      <c r="D291" s="71">
        <v>0.01</v>
      </c>
      <c r="E291" s="72">
        <f t="shared" si="1"/>
        <v>1738.73852</v>
      </c>
      <c r="F291" s="72">
        <f t="shared" si="2"/>
        <v>175612.5905</v>
      </c>
      <c r="G291" s="79" t="str">
        <f t="shared" si="5"/>
        <v/>
      </c>
      <c r="H291" s="81"/>
      <c r="I291" s="75" t="str">
        <f t="shared" si="6"/>
        <v/>
      </c>
      <c r="J291" s="80">
        <f t="shared" si="7"/>
        <v>165612.5905</v>
      </c>
      <c r="K291" s="77" t="str">
        <f t="shared" si="3"/>
        <v/>
      </c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</row>
    <row r="292" ht="15.75" customHeight="1">
      <c r="A292" s="68" t="s">
        <v>2367</v>
      </c>
      <c r="B292" s="69"/>
      <c r="C292" s="72">
        <f t="shared" si="4"/>
        <v>175612.5905</v>
      </c>
      <c r="D292" s="71">
        <v>0.01</v>
      </c>
      <c r="E292" s="72">
        <f t="shared" si="1"/>
        <v>1756.125905</v>
      </c>
      <c r="F292" s="72">
        <f t="shared" si="2"/>
        <v>177368.7164</v>
      </c>
      <c r="G292" s="79" t="str">
        <f t="shared" si="5"/>
        <v/>
      </c>
      <c r="H292" s="81"/>
      <c r="I292" s="75" t="str">
        <f t="shared" si="6"/>
        <v/>
      </c>
      <c r="J292" s="80">
        <f t="shared" si="7"/>
        <v>167368.7164</v>
      </c>
      <c r="K292" s="77" t="str">
        <f t="shared" si="3"/>
        <v/>
      </c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</row>
    <row r="293" ht="15.75" customHeight="1">
      <c r="A293" s="68" t="s">
        <v>2368</v>
      </c>
      <c r="B293" s="69"/>
      <c r="C293" s="72">
        <f t="shared" si="4"/>
        <v>177368.7164</v>
      </c>
      <c r="D293" s="71">
        <v>0.01</v>
      </c>
      <c r="E293" s="72">
        <f t="shared" si="1"/>
        <v>1773.687164</v>
      </c>
      <c r="F293" s="72">
        <f t="shared" si="2"/>
        <v>179142.4036</v>
      </c>
      <c r="G293" s="79" t="str">
        <f t="shared" si="5"/>
        <v/>
      </c>
      <c r="H293" s="81"/>
      <c r="I293" s="75" t="str">
        <f t="shared" si="6"/>
        <v/>
      </c>
      <c r="J293" s="80">
        <f t="shared" si="7"/>
        <v>169142.4036</v>
      </c>
      <c r="K293" s="77" t="str">
        <f t="shared" si="3"/>
        <v/>
      </c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</row>
    <row r="294" ht="15.75" customHeight="1">
      <c r="A294" s="68" t="s">
        <v>2369</v>
      </c>
      <c r="B294" s="69"/>
      <c r="C294" s="72">
        <f t="shared" si="4"/>
        <v>179142.4036</v>
      </c>
      <c r="D294" s="71">
        <v>0.01</v>
      </c>
      <c r="E294" s="72">
        <f t="shared" si="1"/>
        <v>1791.424036</v>
      </c>
      <c r="F294" s="72">
        <f t="shared" si="2"/>
        <v>180933.8276</v>
      </c>
      <c r="G294" s="79" t="str">
        <f t="shared" si="5"/>
        <v/>
      </c>
      <c r="H294" s="81"/>
      <c r="I294" s="75" t="str">
        <f t="shared" si="6"/>
        <v/>
      </c>
      <c r="J294" s="80">
        <f t="shared" si="7"/>
        <v>170933.8276</v>
      </c>
      <c r="K294" s="77" t="str">
        <f t="shared" si="3"/>
        <v/>
      </c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</row>
    <row r="295" ht="15.75" customHeight="1">
      <c r="A295" s="68" t="s">
        <v>2370</v>
      </c>
      <c r="B295" s="69"/>
      <c r="C295" s="72">
        <f t="shared" si="4"/>
        <v>180933.8276</v>
      </c>
      <c r="D295" s="71">
        <v>0.01</v>
      </c>
      <c r="E295" s="72">
        <f t="shared" si="1"/>
        <v>1809.338276</v>
      </c>
      <c r="F295" s="72">
        <f t="shared" si="2"/>
        <v>182743.1659</v>
      </c>
      <c r="G295" s="79" t="str">
        <f t="shared" si="5"/>
        <v/>
      </c>
      <c r="H295" s="81"/>
      <c r="I295" s="75" t="str">
        <f t="shared" si="6"/>
        <v/>
      </c>
      <c r="J295" s="80">
        <f t="shared" si="7"/>
        <v>172743.1659</v>
      </c>
      <c r="K295" s="77" t="str">
        <f t="shared" si="3"/>
        <v/>
      </c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</row>
    <row r="296" ht="15.75" customHeight="1">
      <c r="A296" s="68" t="s">
        <v>2371</v>
      </c>
      <c r="B296" s="69"/>
      <c r="C296" s="72">
        <f t="shared" si="4"/>
        <v>182743.1659</v>
      </c>
      <c r="D296" s="71">
        <v>0.01</v>
      </c>
      <c r="E296" s="72">
        <f t="shared" si="1"/>
        <v>1827.431659</v>
      </c>
      <c r="F296" s="72">
        <f t="shared" si="2"/>
        <v>184570.5976</v>
      </c>
      <c r="G296" s="79" t="str">
        <f t="shared" si="5"/>
        <v/>
      </c>
      <c r="H296" s="81"/>
      <c r="I296" s="75" t="str">
        <f t="shared" si="6"/>
        <v/>
      </c>
      <c r="J296" s="80">
        <f t="shared" si="7"/>
        <v>174570.5976</v>
      </c>
      <c r="K296" s="77" t="str">
        <f t="shared" si="3"/>
        <v/>
      </c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</row>
    <row r="297" ht="15.75" customHeight="1">
      <c r="A297" s="68" t="s">
        <v>2372</v>
      </c>
      <c r="B297" s="69"/>
      <c r="C297" s="72">
        <f t="shared" si="4"/>
        <v>184570.5976</v>
      </c>
      <c r="D297" s="71">
        <v>0.01</v>
      </c>
      <c r="E297" s="72">
        <f t="shared" si="1"/>
        <v>1845.705976</v>
      </c>
      <c r="F297" s="72">
        <f t="shared" si="2"/>
        <v>186416.3036</v>
      </c>
      <c r="G297" s="79" t="str">
        <f t="shared" si="5"/>
        <v/>
      </c>
      <c r="H297" s="81"/>
      <c r="I297" s="75" t="str">
        <f t="shared" si="6"/>
        <v/>
      </c>
      <c r="J297" s="80">
        <f t="shared" si="7"/>
        <v>176416.3036</v>
      </c>
      <c r="K297" s="77" t="str">
        <f t="shared" si="3"/>
        <v/>
      </c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</row>
    <row r="298" ht="15.75" customHeight="1">
      <c r="A298" s="68" t="s">
        <v>2373</v>
      </c>
      <c r="B298" s="69"/>
      <c r="C298" s="72">
        <f t="shared" si="4"/>
        <v>186416.3036</v>
      </c>
      <c r="D298" s="71">
        <v>0.01</v>
      </c>
      <c r="E298" s="72">
        <f t="shared" si="1"/>
        <v>1864.163036</v>
      </c>
      <c r="F298" s="72">
        <f t="shared" si="2"/>
        <v>188280.4666</v>
      </c>
      <c r="G298" s="79" t="str">
        <f t="shared" si="5"/>
        <v/>
      </c>
      <c r="H298" s="81"/>
      <c r="I298" s="75" t="str">
        <f t="shared" si="6"/>
        <v/>
      </c>
      <c r="J298" s="80">
        <f t="shared" si="7"/>
        <v>178280.4666</v>
      </c>
      <c r="K298" s="77" t="str">
        <f t="shared" si="3"/>
        <v/>
      </c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</row>
    <row r="299" ht="15.75" customHeight="1">
      <c r="A299" s="68" t="s">
        <v>2374</v>
      </c>
      <c r="B299" s="69"/>
      <c r="C299" s="72">
        <f t="shared" si="4"/>
        <v>188280.4666</v>
      </c>
      <c r="D299" s="71">
        <v>0.01</v>
      </c>
      <c r="E299" s="72">
        <f t="shared" si="1"/>
        <v>1882.804666</v>
      </c>
      <c r="F299" s="72">
        <f t="shared" si="2"/>
        <v>190163.2713</v>
      </c>
      <c r="G299" s="79" t="str">
        <f t="shared" si="5"/>
        <v/>
      </c>
      <c r="H299" s="81"/>
      <c r="I299" s="75" t="str">
        <f t="shared" si="6"/>
        <v/>
      </c>
      <c r="J299" s="80">
        <f t="shared" si="7"/>
        <v>180163.2713</v>
      </c>
      <c r="K299" s="77" t="str">
        <f t="shared" si="3"/>
        <v/>
      </c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</row>
    <row r="300" ht="15.75" customHeight="1">
      <c r="A300" s="68" t="s">
        <v>2375</v>
      </c>
      <c r="B300" s="69"/>
      <c r="C300" s="72">
        <f t="shared" si="4"/>
        <v>190163.2713</v>
      </c>
      <c r="D300" s="71">
        <v>0.01</v>
      </c>
      <c r="E300" s="72">
        <f t="shared" si="1"/>
        <v>1901.632713</v>
      </c>
      <c r="F300" s="72">
        <f t="shared" si="2"/>
        <v>192064.904</v>
      </c>
      <c r="G300" s="79" t="str">
        <f t="shared" si="5"/>
        <v/>
      </c>
      <c r="H300" s="81"/>
      <c r="I300" s="75" t="str">
        <f t="shared" si="6"/>
        <v/>
      </c>
      <c r="J300" s="80">
        <f t="shared" si="7"/>
        <v>182064.904</v>
      </c>
      <c r="K300" s="77" t="str">
        <f t="shared" si="3"/>
        <v/>
      </c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</row>
    <row r="301" ht="15.75" customHeight="1">
      <c r="A301" s="68" t="s">
        <v>2376</v>
      </c>
      <c r="B301" s="69"/>
      <c r="C301" s="72">
        <f t="shared" si="4"/>
        <v>192064.904</v>
      </c>
      <c r="D301" s="71">
        <v>0.01</v>
      </c>
      <c r="E301" s="72">
        <f t="shared" si="1"/>
        <v>1920.64904</v>
      </c>
      <c r="F301" s="72">
        <f t="shared" si="2"/>
        <v>193985.553</v>
      </c>
      <c r="G301" s="79" t="str">
        <f t="shared" si="5"/>
        <v/>
      </c>
      <c r="H301" s="81"/>
      <c r="I301" s="75" t="str">
        <f t="shared" si="6"/>
        <v/>
      </c>
      <c r="J301" s="80">
        <f t="shared" si="7"/>
        <v>183985.553</v>
      </c>
      <c r="K301" s="77" t="str">
        <f t="shared" si="3"/>
        <v/>
      </c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</row>
    <row r="302" ht="15.75" customHeight="1">
      <c r="A302" s="68" t="s">
        <v>2377</v>
      </c>
      <c r="B302" s="69"/>
      <c r="C302" s="72">
        <f t="shared" si="4"/>
        <v>193985.553</v>
      </c>
      <c r="D302" s="71">
        <v>0.01</v>
      </c>
      <c r="E302" s="72">
        <f t="shared" si="1"/>
        <v>1939.85553</v>
      </c>
      <c r="F302" s="72">
        <f t="shared" si="2"/>
        <v>195925.4085</v>
      </c>
      <c r="G302" s="79" t="str">
        <f t="shared" si="5"/>
        <v/>
      </c>
      <c r="H302" s="81"/>
      <c r="I302" s="75" t="str">
        <f t="shared" si="6"/>
        <v/>
      </c>
      <c r="J302" s="80">
        <f t="shared" si="7"/>
        <v>185925.4085</v>
      </c>
      <c r="K302" s="77" t="str">
        <f t="shared" si="3"/>
        <v/>
      </c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</row>
    <row r="303" ht="15.75" customHeight="1">
      <c r="A303" s="68" t="s">
        <v>2378</v>
      </c>
      <c r="B303" s="69"/>
      <c r="C303" s="72">
        <f t="shared" si="4"/>
        <v>195925.4085</v>
      </c>
      <c r="D303" s="71">
        <v>0.01</v>
      </c>
      <c r="E303" s="72">
        <f t="shared" si="1"/>
        <v>1959.254085</v>
      </c>
      <c r="F303" s="72">
        <f t="shared" si="2"/>
        <v>197884.6626</v>
      </c>
      <c r="G303" s="79" t="str">
        <f t="shared" si="5"/>
        <v/>
      </c>
      <c r="H303" s="81"/>
      <c r="I303" s="75" t="str">
        <f t="shared" si="6"/>
        <v/>
      </c>
      <c r="J303" s="80">
        <f t="shared" si="7"/>
        <v>187884.6626</v>
      </c>
      <c r="K303" s="77" t="str">
        <f t="shared" si="3"/>
        <v/>
      </c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</row>
    <row r="304" ht="15.75" customHeight="1">
      <c r="A304" s="68" t="s">
        <v>2379</v>
      </c>
      <c r="B304" s="69"/>
      <c r="C304" s="72">
        <f t="shared" si="4"/>
        <v>197884.6626</v>
      </c>
      <c r="D304" s="71">
        <v>0.01</v>
      </c>
      <c r="E304" s="72">
        <f t="shared" si="1"/>
        <v>1978.846626</v>
      </c>
      <c r="F304" s="72">
        <f t="shared" si="2"/>
        <v>199863.5092</v>
      </c>
      <c r="G304" s="79" t="str">
        <f t="shared" si="5"/>
        <v/>
      </c>
      <c r="H304" s="81"/>
      <c r="I304" s="75" t="str">
        <f t="shared" si="6"/>
        <v/>
      </c>
      <c r="J304" s="80">
        <f t="shared" si="7"/>
        <v>189863.5092</v>
      </c>
      <c r="K304" s="77" t="str">
        <f t="shared" si="3"/>
        <v/>
      </c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</row>
    <row r="305" ht="15.75" customHeight="1">
      <c r="A305" s="68" t="s">
        <v>2380</v>
      </c>
      <c r="B305" s="69"/>
      <c r="C305" s="72">
        <f t="shared" si="4"/>
        <v>199863.5092</v>
      </c>
      <c r="D305" s="71">
        <v>0.01</v>
      </c>
      <c r="E305" s="72">
        <f t="shared" si="1"/>
        <v>1998.635092</v>
      </c>
      <c r="F305" s="72">
        <f t="shared" si="2"/>
        <v>201862.1443</v>
      </c>
      <c r="G305" s="79" t="str">
        <f t="shared" si="5"/>
        <v/>
      </c>
      <c r="H305" s="81"/>
      <c r="I305" s="75" t="str">
        <f t="shared" si="6"/>
        <v/>
      </c>
      <c r="J305" s="80">
        <f t="shared" si="7"/>
        <v>191862.1443</v>
      </c>
      <c r="K305" s="77" t="str">
        <f t="shared" si="3"/>
        <v/>
      </c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</row>
    <row r="306" ht="15.75" customHeight="1">
      <c r="A306" s="68" t="s">
        <v>2381</v>
      </c>
      <c r="B306" s="69"/>
      <c r="C306" s="72">
        <f t="shared" si="4"/>
        <v>201862.1443</v>
      </c>
      <c r="D306" s="71">
        <v>0.01</v>
      </c>
      <c r="E306" s="72">
        <f t="shared" si="1"/>
        <v>2018.621443</v>
      </c>
      <c r="F306" s="72">
        <f t="shared" si="2"/>
        <v>203880.7658</v>
      </c>
      <c r="G306" s="79" t="str">
        <f t="shared" si="5"/>
        <v/>
      </c>
      <c r="H306" s="81"/>
      <c r="I306" s="75" t="str">
        <f t="shared" si="6"/>
        <v/>
      </c>
      <c r="J306" s="80">
        <f t="shared" si="7"/>
        <v>193880.7658</v>
      </c>
      <c r="K306" s="77" t="str">
        <f t="shared" si="3"/>
        <v/>
      </c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</row>
    <row r="307" ht="15.75" customHeight="1">
      <c r="A307" s="68" t="s">
        <v>2382</v>
      </c>
      <c r="B307" s="69"/>
      <c r="C307" s="72">
        <f t="shared" si="4"/>
        <v>203880.7658</v>
      </c>
      <c r="D307" s="71">
        <v>0.01</v>
      </c>
      <c r="E307" s="72">
        <f t="shared" si="1"/>
        <v>2038.807658</v>
      </c>
      <c r="F307" s="72">
        <f t="shared" si="2"/>
        <v>205919.5734</v>
      </c>
      <c r="G307" s="79" t="str">
        <f t="shared" si="5"/>
        <v/>
      </c>
      <c r="H307" s="81"/>
      <c r="I307" s="75" t="str">
        <f t="shared" si="6"/>
        <v/>
      </c>
      <c r="J307" s="80">
        <f t="shared" si="7"/>
        <v>195919.5734</v>
      </c>
      <c r="K307" s="77" t="str">
        <f t="shared" si="3"/>
        <v/>
      </c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</row>
    <row r="308" ht="15.75" customHeight="1">
      <c r="A308" s="68" t="s">
        <v>2383</v>
      </c>
      <c r="B308" s="69"/>
      <c r="C308" s="72">
        <f t="shared" si="4"/>
        <v>205919.5734</v>
      </c>
      <c r="D308" s="71">
        <v>0.01</v>
      </c>
      <c r="E308" s="72">
        <f t="shared" si="1"/>
        <v>2059.195734</v>
      </c>
      <c r="F308" s="72">
        <f t="shared" si="2"/>
        <v>207978.7692</v>
      </c>
      <c r="G308" s="79" t="str">
        <f t="shared" si="5"/>
        <v/>
      </c>
      <c r="H308" s="81"/>
      <c r="I308" s="75" t="str">
        <f t="shared" si="6"/>
        <v/>
      </c>
      <c r="J308" s="80">
        <f t="shared" si="7"/>
        <v>197978.7692</v>
      </c>
      <c r="K308" s="77" t="str">
        <f t="shared" si="3"/>
        <v/>
      </c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</row>
    <row r="309" ht="15.75" customHeight="1">
      <c r="A309" s="68" t="s">
        <v>2384</v>
      </c>
      <c r="B309" s="69"/>
      <c r="C309" s="72">
        <f t="shared" si="4"/>
        <v>207978.7692</v>
      </c>
      <c r="D309" s="71">
        <v>0.01</v>
      </c>
      <c r="E309" s="72">
        <f t="shared" si="1"/>
        <v>2079.787692</v>
      </c>
      <c r="F309" s="72">
        <f t="shared" si="2"/>
        <v>210058.5569</v>
      </c>
      <c r="G309" s="79" t="str">
        <f t="shared" si="5"/>
        <v/>
      </c>
      <c r="H309" s="81"/>
      <c r="I309" s="75" t="str">
        <f t="shared" si="6"/>
        <v/>
      </c>
      <c r="J309" s="80">
        <f t="shared" si="7"/>
        <v>200058.5569</v>
      </c>
      <c r="K309" s="77" t="str">
        <f t="shared" si="3"/>
        <v/>
      </c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</row>
    <row r="310" ht="15.75" customHeight="1">
      <c r="A310" s="68" t="s">
        <v>2385</v>
      </c>
      <c r="B310" s="69"/>
      <c r="C310" s="72">
        <f t="shared" si="4"/>
        <v>210058.5569</v>
      </c>
      <c r="D310" s="71">
        <v>0.01</v>
      </c>
      <c r="E310" s="72">
        <f t="shared" si="1"/>
        <v>2100.585569</v>
      </c>
      <c r="F310" s="72">
        <f t="shared" si="2"/>
        <v>212159.1424</v>
      </c>
      <c r="G310" s="79" t="str">
        <f t="shared" si="5"/>
        <v/>
      </c>
      <c r="H310" s="81"/>
      <c r="I310" s="75" t="str">
        <f t="shared" si="6"/>
        <v/>
      </c>
      <c r="J310" s="80">
        <f t="shared" si="7"/>
        <v>202159.1424</v>
      </c>
      <c r="K310" s="77" t="str">
        <f t="shared" si="3"/>
        <v/>
      </c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</row>
    <row r="311" ht="15.75" customHeight="1">
      <c r="A311" s="68" t="s">
        <v>2386</v>
      </c>
      <c r="B311" s="69"/>
      <c r="C311" s="72">
        <f t="shared" si="4"/>
        <v>212159.1424</v>
      </c>
      <c r="D311" s="71">
        <v>0.01</v>
      </c>
      <c r="E311" s="72">
        <f t="shared" si="1"/>
        <v>2121.591424</v>
      </c>
      <c r="F311" s="72">
        <f t="shared" si="2"/>
        <v>214280.7339</v>
      </c>
      <c r="G311" s="79" t="str">
        <f t="shared" si="5"/>
        <v/>
      </c>
      <c r="H311" s="81"/>
      <c r="I311" s="75" t="str">
        <f t="shared" si="6"/>
        <v/>
      </c>
      <c r="J311" s="80">
        <f t="shared" si="7"/>
        <v>204280.7339</v>
      </c>
      <c r="K311" s="77" t="str">
        <f t="shared" si="3"/>
        <v/>
      </c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</row>
    <row r="312" ht="15.75" customHeight="1">
      <c r="A312" s="68" t="s">
        <v>2387</v>
      </c>
      <c r="B312" s="69"/>
      <c r="C312" s="72">
        <f t="shared" si="4"/>
        <v>214280.7339</v>
      </c>
      <c r="D312" s="71">
        <v>0.01</v>
      </c>
      <c r="E312" s="72">
        <f t="shared" si="1"/>
        <v>2142.807339</v>
      </c>
      <c r="F312" s="72">
        <f t="shared" si="2"/>
        <v>216423.5412</v>
      </c>
      <c r="G312" s="79" t="str">
        <f t="shared" si="5"/>
        <v/>
      </c>
      <c r="H312" s="81"/>
      <c r="I312" s="75" t="str">
        <f t="shared" si="6"/>
        <v/>
      </c>
      <c r="J312" s="80">
        <f t="shared" si="7"/>
        <v>206423.5412</v>
      </c>
      <c r="K312" s="77" t="str">
        <f t="shared" si="3"/>
        <v/>
      </c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</row>
    <row r="313" ht="15.75" customHeight="1">
      <c r="A313" s="68" t="s">
        <v>2388</v>
      </c>
      <c r="B313" s="69"/>
      <c r="C313" s="72">
        <f t="shared" si="4"/>
        <v>216423.5412</v>
      </c>
      <c r="D313" s="71">
        <v>0.01</v>
      </c>
      <c r="E313" s="72">
        <f t="shared" si="1"/>
        <v>2164.235412</v>
      </c>
      <c r="F313" s="72">
        <f t="shared" si="2"/>
        <v>218587.7766</v>
      </c>
      <c r="G313" s="79" t="str">
        <f t="shared" si="5"/>
        <v/>
      </c>
      <c r="H313" s="81"/>
      <c r="I313" s="75" t="str">
        <f t="shared" si="6"/>
        <v/>
      </c>
      <c r="J313" s="80">
        <f t="shared" si="7"/>
        <v>208587.7766</v>
      </c>
      <c r="K313" s="77" t="str">
        <f t="shared" si="3"/>
        <v/>
      </c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</row>
    <row r="314" ht="15.75" customHeight="1">
      <c r="A314" s="68" t="s">
        <v>2389</v>
      </c>
      <c r="B314" s="69"/>
      <c r="C314" s="72">
        <f t="shared" si="4"/>
        <v>218587.7766</v>
      </c>
      <c r="D314" s="71">
        <v>0.01</v>
      </c>
      <c r="E314" s="72">
        <f t="shared" si="1"/>
        <v>2185.877766</v>
      </c>
      <c r="F314" s="72">
        <f t="shared" si="2"/>
        <v>220773.6544</v>
      </c>
      <c r="G314" s="79" t="str">
        <f t="shared" si="5"/>
        <v/>
      </c>
      <c r="H314" s="81"/>
      <c r="I314" s="75" t="str">
        <f t="shared" si="6"/>
        <v/>
      </c>
      <c r="J314" s="80">
        <f t="shared" si="7"/>
        <v>210773.6544</v>
      </c>
      <c r="K314" s="77" t="str">
        <f t="shared" si="3"/>
        <v/>
      </c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</row>
    <row r="315" ht="15.75" customHeight="1">
      <c r="A315" s="68" t="s">
        <v>2390</v>
      </c>
      <c r="B315" s="69"/>
      <c r="C315" s="72">
        <f t="shared" si="4"/>
        <v>220773.6544</v>
      </c>
      <c r="D315" s="71">
        <v>0.01</v>
      </c>
      <c r="E315" s="72">
        <f t="shared" si="1"/>
        <v>2207.736544</v>
      </c>
      <c r="F315" s="72">
        <f t="shared" si="2"/>
        <v>222981.3909</v>
      </c>
      <c r="G315" s="79" t="str">
        <f t="shared" si="5"/>
        <v/>
      </c>
      <c r="H315" s="81"/>
      <c r="I315" s="75" t="str">
        <f t="shared" si="6"/>
        <v/>
      </c>
      <c r="J315" s="80">
        <f t="shared" si="7"/>
        <v>212981.3909</v>
      </c>
      <c r="K315" s="77" t="str">
        <f t="shared" si="3"/>
        <v/>
      </c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</row>
    <row r="316" ht="15.75" customHeight="1">
      <c r="A316" s="68" t="s">
        <v>2391</v>
      </c>
      <c r="B316" s="69"/>
      <c r="C316" s="72">
        <f t="shared" si="4"/>
        <v>222981.3909</v>
      </c>
      <c r="D316" s="71">
        <v>0.01</v>
      </c>
      <c r="E316" s="72">
        <f t="shared" si="1"/>
        <v>2229.813909</v>
      </c>
      <c r="F316" s="72">
        <f t="shared" si="2"/>
        <v>225211.2048</v>
      </c>
      <c r="G316" s="79" t="str">
        <f t="shared" si="5"/>
        <v/>
      </c>
      <c r="H316" s="81"/>
      <c r="I316" s="75" t="str">
        <f t="shared" si="6"/>
        <v/>
      </c>
      <c r="J316" s="80">
        <f t="shared" si="7"/>
        <v>215211.2048</v>
      </c>
      <c r="K316" s="77" t="str">
        <f t="shared" si="3"/>
        <v/>
      </c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</row>
    <row r="317" ht="15.75" customHeight="1">
      <c r="A317" s="68" t="s">
        <v>2392</v>
      </c>
      <c r="B317" s="69"/>
      <c r="C317" s="72">
        <f t="shared" si="4"/>
        <v>225211.2048</v>
      </c>
      <c r="D317" s="71">
        <v>0.01</v>
      </c>
      <c r="E317" s="72">
        <f t="shared" si="1"/>
        <v>2252.112048</v>
      </c>
      <c r="F317" s="72">
        <f t="shared" si="2"/>
        <v>227463.3169</v>
      </c>
      <c r="G317" s="79" t="str">
        <f t="shared" si="5"/>
        <v/>
      </c>
      <c r="H317" s="81"/>
      <c r="I317" s="75" t="str">
        <f t="shared" si="6"/>
        <v/>
      </c>
      <c r="J317" s="80">
        <f t="shared" si="7"/>
        <v>217463.3169</v>
      </c>
      <c r="K317" s="77" t="str">
        <f t="shared" si="3"/>
        <v/>
      </c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</row>
    <row r="318" ht="15.75" customHeight="1">
      <c r="A318" s="68" t="s">
        <v>2393</v>
      </c>
      <c r="B318" s="69"/>
      <c r="C318" s="72">
        <f t="shared" si="4"/>
        <v>227463.3169</v>
      </c>
      <c r="D318" s="71">
        <v>0.01</v>
      </c>
      <c r="E318" s="72">
        <f t="shared" si="1"/>
        <v>2274.633169</v>
      </c>
      <c r="F318" s="72">
        <f t="shared" si="2"/>
        <v>229737.95</v>
      </c>
      <c r="G318" s="79" t="str">
        <f t="shared" si="5"/>
        <v/>
      </c>
      <c r="H318" s="81"/>
      <c r="I318" s="75" t="str">
        <f t="shared" si="6"/>
        <v/>
      </c>
      <c r="J318" s="80">
        <f t="shared" si="7"/>
        <v>219737.95</v>
      </c>
      <c r="K318" s="77" t="str">
        <f t="shared" si="3"/>
        <v/>
      </c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</row>
    <row r="319" ht="15.75" customHeight="1">
      <c r="A319" s="68" t="s">
        <v>2394</v>
      </c>
      <c r="B319" s="69"/>
      <c r="C319" s="72">
        <f t="shared" si="4"/>
        <v>229737.95</v>
      </c>
      <c r="D319" s="71">
        <v>0.01</v>
      </c>
      <c r="E319" s="72">
        <f t="shared" si="1"/>
        <v>2297.3795</v>
      </c>
      <c r="F319" s="72">
        <f t="shared" si="2"/>
        <v>232035.3295</v>
      </c>
      <c r="G319" s="79" t="str">
        <f t="shared" si="5"/>
        <v/>
      </c>
      <c r="H319" s="81"/>
      <c r="I319" s="75" t="str">
        <f t="shared" si="6"/>
        <v/>
      </c>
      <c r="J319" s="80">
        <f t="shared" si="7"/>
        <v>222035.3295</v>
      </c>
      <c r="K319" s="77" t="str">
        <f t="shared" si="3"/>
        <v/>
      </c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</row>
    <row r="320" ht="15.75" customHeight="1">
      <c r="A320" s="68" t="s">
        <v>2395</v>
      </c>
      <c r="B320" s="69"/>
      <c r="C320" s="72">
        <f t="shared" si="4"/>
        <v>232035.3295</v>
      </c>
      <c r="D320" s="71">
        <v>0.01</v>
      </c>
      <c r="E320" s="72">
        <f t="shared" si="1"/>
        <v>2320.353295</v>
      </c>
      <c r="F320" s="72">
        <f t="shared" si="2"/>
        <v>234355.6828</v>
      </c>
      <c r="G320" s="79" t="str">
        <f t="shared" si="5"/>
        <v/>
      </c>
      <c r="H320" s="81"/>
      <c r="I320" s="75" t="str">
        <f t="shared" si="6"/>
        <v/>
      </c>
      <c r="J320" s="80">
        <f t="shared" si="7"/>
        <v>224355.6828</v>
      </c>
      <c r="K320" s="77" t="str">
        <f t="shared" si="3"/>
        <v/>
      </c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</row>
    <row r="321" ht="15.75" customHeight="1">
      <c r="A321" s="68" t="s">
        <v>2396</v>
      </c>
      <c r="B321" s="69"/>
      <c r="C321" s="72">
        <f t="shared" si="4"/>
        <v>234355.6828</v>
      </c>
      <c r="D321" s="71">
        <v>0.01</v>
      </c>
      <c r="E321" s="72">
        <f t="shared" si="1"/>
        <v>2343.556828</v>
      </c>
      <c r="F321" s="72">
        <f t="shared" si="2"/>
        <v>236699.2397</v>
      </c>
      <c r="G321" s="79" t="str">
        <f t="shared" si="5"/>
        <v/>
      </c>
      <c r="H321" s="81"/>
      <c r="I321" s="75" t="str">
        <f t="shared" si="6"/>
        <v/>
      </c>
      <c r="J321" s="80">
        <f t="shared" si="7"/>
        <v>226699.2397</v>
      </c>
      <c r="K321" s="77" t="str">
        <f t="shared" si="3"/>
        <v/>
      </c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</row>
    <row r="322" ht="15.75" customHeight="1">
      <c r="A322" s="68" t="s">
        <v>2397</v>
      </c>
      <c r="B322" s="69"/>
      <c r="C322" s="72">
        <f t="shared" si="4"/>
        <v>236699.2397</v>
      </c>
      <c r="D322" s="71">
        <v>0.01</v>
      </c>
      <c r="E322" s="72">
        <f t="shared" si="1"/>
        <v>2366.992397</v>
      </c>
      <c r="F322" s="72">
        <f t="shared" si="2"/>
        <v>239066.2321</v>
      </c>
      <c r="G322" s="79" t="str">
        <f t="shared" si="5"/>
        <v/>
      </c>
      <c r="H322" s="81"/>
      <c r="I322" s="75" t="str">
        <f t="shared" si="6"/>
        <v/>
      </c>
      <c r="J322" s="80">
        <f t="shared" si="7"/>
        <v>229066.2321</v>
      </c>
      <c r="K322" s="77" t="str">
        <f t="shared" si="3"/>
        <v/>
      </c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</row>
    <row r="323" ht="15.75" customHeight="1">
      <c r="A323" s="68" t="s">
        <v>2398</v>
      </c>
      <c r="B323" s="69"/>
      <c r="C323" s="72">
        <f t="shared" si="4"/>
        <v>239066.2321</v>
      </c>
      <c r="D323" s="71">
        <v>0.01</v>
      </c>
      <c r="E323" s="72">
        <f t="shared" si="1"/>
        <v>2390.662321</v>
      </c>
      <c r="F323" s="72">
        <f t="shared" si="2"/>
        <v>241456.8944</v>
      </c>
      <c r="G323" s="79" t="str">
        <f t="shared" si="5"/>
        <v/>
      </c>
      <c r="H323" s="81"/>
      <c r="I323" s="75" t="str">
        <f t="shared" si="6"/>
        <v/>
      </c>
      <c r="J323" s="80">
        <f t="shared" si="7"/>
        <v>231456.8944</v>
      </c>
      <c r="K323" s="77" t="str">
        <f t="shared" si="3"/>
        <v/>
      </c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</row>
    <row r="324" ht="15.75" customHeight="1">
      <c r="A324" s="68" t="s">
        <v>2399</v>
      </c>
      <c r="B324" s="69"/>
      <c r="C324" s="72">
        <f t="shared" si="4"/>
        <v>241456.8944</v>
      </c>
      <c r="D324" s="71">
        <v>0.01</v>
      </c>
      <c r="E324" s="72">
        <f t="shared" si="1"/>
        <v>2414.568944</v>
      </c>
      <c r="F324" s="72">
        <f t="shared" si="2"/>
        <v>243871.4633</v>
      </c>
      <c r="G324" s="79" t="str">
        <f t="shared" si="5"/>
        <v/>
      </c>
      <c r="H324" s="81"/>
      <c r="I324" s="75" t="str">
        <f t="shared" si="6"/>
        <v/>
      </c>
      <c r="J324" s="80">
        <f t="shared" si="7"/>
        <v>233871.4633</v>
      </c>
      <c r="K324" s="77" t="str">
        <f t="shared" si="3"/>
        <v/>
      </c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</row>
    <row r="325" ht="15.75" customHeight="1">
      <c r="A325" s="68" t="s">
        <v>2400</v>
      </c>
      <c r="B325" s="69"/>
      <c r="C325" s="72">
        <f t="shared" si="4"/>
        <v>243871.4633</v>
      </c>
      <c r="D325" s="71">
        <v>0.01</v>
      </c>
      <c r="E325" s="72">
        <f t="shared" si="1"/>
        <v>2438.714633</v>
      </c>
      <c r="F325" s="72">
        <f t="shared" si="2"/>
        <v>246310.178</v>
      </c>
      <c r="G325" s="79" t="str">
        <f t="shared" si="5"/>
        <v/>
      </c>
      <c r="H325" s="81"/>
      <c r="I325" s="75" t="str">
        <f t="shared" si="6"/>
        <v/>
      </c>
      <c r="J325" s="80">
        <f t="shared" si="7"/>
        <v>236310.178</v>
      </c>
      <c r="K325" s="77" t="str">
        <f t="shared" si="3"/>
        <v/>
      </c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</row>
    <row r="326" ht="15.75" customHeight="1">
      <c r="A326" s="68" t="s">
        <v>2401</v>
      </c>
      <c r="B326" s="69"/>
      <c r="C326" s="72">
        <f t="shared" si="4"/>
        <v>246310.178</v>
      </c>
      <c r="D326" s="71">
        <v>0.01</v>
      </c>
      <c r="E326" s="72">
        <f t="shared" si="1"/>
        <v>2463.10178</v>
      </c>
      <c r="F326" s="72">
        <f t="shared" si="2"/>
        <v>248773.2797</v>
      </c>
      <c r="G326" s="79" t="str">
        <f t="shared" si="5"/>
        <v/>
      </c>
      <c r="H326" s="81"/>
      <c r="I326" s="75" t="str">
        <f t="shared" si="6"/>
        <v/>
      </c>
      <c r="J326" s="80">
        <f t="shared" si="7"/>
        <v>238773.2797</v>
      </c>
      <c r="K326" s="77" t="str">
        <f t="shared" si="3"/>
        <v/>
      </c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</row>
    <row r="327" ht="15.75" customHeight="1">
      <c r="A327" s="68" t="s">
        <v>2402</v>
      </c>
      <c r="B327" s="69"/>
      <c r="C327" s="72">
        <f t="shared" si="4"/>
        <v>248773.2797</v>
      </c>
      <c r="D327" s="71">
        <v>0.01</v>
      </c>
      <c r="E327" s="72">
        <f t="shared" si="1"/>
        <v>2487.732797</v>
      </c>
      <c r="F327" s="72">
        <f t="shared" si="2"/>
        <v>251261.0125</v>
      </c>
      <c r="G327" s="79" t="str">
        <f t="shared" si="5"/>
        <v/>
      </c>
      <c r="H327" s="81"/>
      <c r="I327" s="75" t="str">
        <f t="shared" si="6"/>
        <v/>
      </c>
      <c r="J327" s="80">
        <f t="shared" si="7"/>
        <v>241261.0125</v>
      </c>
      <c r="K327" s="77" t="str">
        <f t="shared" si="3"/>
        <v/>
      </c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</row>
    <row r="328" ht="15.75" customHeight="1">
      <c r="A328" s="68" t="s">
        <v>2403</v>
      </c>
      <c r="B328" s="69"/>
      <c r="C328" s="72">
        <f t="shared" si="4"/>
        <v>251261.0125</v>
      </c>
      <c r="D328" s="71">
        <v>0.01</v>
      </c>
      <c r="E328" s="72">
        <f t="shared" si="1"/>
        <v>2512.610125</v>
      </c>
      <c r="F328" s="72">
        <f t="shared" si="2"/>
        <v>253773.6227</v>
      </c>
      <c r="G328" s="79" t="str">
        <f t="shared" si="5"/>
        <v/>
      </c>
      <c r="H328" s="81"/>
      <c r="I328" s="75" t="str">
        <f t="shared" si="6"/>
        <v/>
      </c>
      <c r="J328" s="80">
        <f t="shared" si="7"/>
        <v>243773.6227</v>
      </c>
      <c r="K328" s="77" t="str">
        <f t="shared" si="3"/>
        <v/>
      </c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</row>
    <row r="329" ht="15.75" customHeight="1">
      <c r="A329" s="68" t="s">
        <v>2404</v>
      </c>
      <c r="B329" s="69"/>
      <c r="C329" s="72">
        <f t="shared" si="4"/>
        <v>253773.6227</v>
      </c>
      <c r="D329" s="71">
        <v>0.01</v>
      </c>
      <c r="E329" s="72">
        <f t="shared" si="1"/>
        <v>2537.736227</v>
      </c>
      <c r="F329" s="72">
        <f t="shared" si="2"/>
        <v>256311.3589</v>
      </c>
      <c r="G329" s="79" t="str">
        <f t="shared" si="5"/>
        <v/>
      </c>
      <c r="H329" s="81"/>
      <c r="I329" s="75" t="str">
        <f t="shared" si="6"/>
        <v/>
      </c>
      <c r="J329" s="80">
        <f t="shared" si="7"/>
        <v>246311.3589</v>
      </c>
      <c r="K329" s="77" t="str">
        <f t="shared" si="3"/>
        <v/>
      </c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</row>
    <row r="330" ht="15.75" customHeight="1">
      <c r="A330" s="68" t="s">
        <v>2405</v>
      </c>
      <c r="B330" s="69"/>
      <c r="C330" s="72">
        <f t="shared" si="4"/>
        <v>256311.3589</v>
      </c>
      <c r="D330" s="71">
        <v>0.01</v>
      </c>
      <c r="E330" s="72">
        <f t="shared" si="1"/>
        <v>2563.113589</v>
      </c>
      <c r="F330" s="72">
        <f t="shared" si="2"/>
        <v>258874.4725</v>
      </c>
      <c r="G330" s="79" t="str">
        <f t="shared" si="5"/>
        <v/>
      </c>
      <c r="H330" s="81"/>
      <c r="I330" s="75" t="str">
        <f t="shared" si="6"/>
        <v/>
      </c>
      <c r="J330" s="80">
        <f t="shared" si="7"/>
        <v>248874.4725</v>
      </c>
      <c r="K330" s="77" t="str">
        <f t="shared" si="3"/>
        <v/>
      </c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</row>
    <row r="331" ht="15.75" customHeight="1">
      <c r="A331" s="68" t="s">
        <v>2406</v>
      </c>
      <c r="B331" s="69"/>
      <c r="C331" s="72">
        <f t="shared" si="4"/>
        <v>258874.4725</v>
      </c>
      <c r="D331" s="71">
        <v>0.01</v>
      </c>
      <c r="E331" s="72">
        <f t="shared" si="1"/>
        <v>2588.744725</v>
      </c>
      <c r="F331" s="72">
        <f t="shared" si="2"/>
        <v>261463.2172</v>
      </c>
      <c r="G331" s="79" t="str">
        <f t="shared" si="5"/>
        <v/>
      </c>
      <c r="H331" s="81"/>
      <c r="I331" s="75" t="str">
        <f t="shared" si="6"/>
        <v/>
      </c>
      <c r="J331" s="80">
        <f t="shared" si="7"/>
        <v>251463.2172</v>
      </c>
      <c r="K331" s="77" t="str">
        <f t="shared" si="3"/>
        <v/>
      </c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</row>
    <row r="332" ht="15.75" customHeight="1">
      <c r="A332" s="68" t="s">
        <v>2407</v>
      </c>
      <c r="B332" s="69"/>
      <c r="C332" s="72">
        <f t="shared" si="4"/>
        <v>261463.2172</v>
      </c>
      <c r="D332" s="71">
        <v>0.01</v>
      </c>
      <c r="E332" s="72">
        <f t="shared" si="1"/>
        <v>2614.632172</v>
      </c>
      <c r="F332" s="72">
        <f t="shared" si="2"/>
        <v>264077.8494</v>
      </c>
      <c r="G332" s="79" t="str">
        <f t="shared" si="5"/>
        <v/>
      </c>
      <c r="H332" s="81"/>
      <c r="I332" s="75" t="str">
        <f t="shared" si="6"/>
        <v/>
      </c>
      <c r="J332" s="80">
        <f t="shared" si="7"/>
        <v>254077.8494</v>
      </c>
      <c r="K332" s="77" t="str">
        <f t="shared" si="3"/>
        <v/>
      </c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</row>
    <row r="333" ht="15.75" customHeight="1">
      <c r="A333" s="68" t="s">
        <v>2408</v>
      </c>
      <c r="B333" s="69"/>
      <c r="C333" s="72">
        <f t="shared" si="4"/>
        <v>264077.8494</v>
      </c>
      <c r="D333" s="71">
        <v>0.01</v>
      </c>
      <c r="E333" s="72">
        <f t="shared" si="1"/>
        <v>2640.778494</v>
      </c>
      <c r="F333" s="72">
        <f t="shared" si="2"/>
        <v>266718.6279</v>
      </c>
      <c r="G333" s="79" t="str">
        <f t="shared" si="5"/>
        <v/>
      </c>
      <c r="H333" s="81"/>
      <c r="I333" s="75" t="str">
        <f t="shared" si="6"/>
        <v/>
      </c>
      <c r="J333" s="80">
        <f t="shared" si="7"/>
        <v>256718.6279</v>
      </c>
      <c r="K333" s="77" t="str">
        <f t="shared" si="3"/>
        <v/>
      </c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</row>
    <row r="334" ht="15.75" customHeight="1">
      <c r="A334" s="68" t="s">
        <v>2409</v>
      </c>
      <c r="B334" s="69"/>
      <c r="C334" s="72">
        <f t="shared" si="4"/>
        <v>266718.6279</v>
      </c>
      <c r="D334" s="71">
        <v>0.01</v>
      </c>
      <c r="E334" s="72">
        <f t="shared" si="1"/>
        <v>2667.186279</v>
      </c>
      <c r="F334" s="72">
        <f t="shared" si="2"/>
        <v>269385.8142</v>
      </c>
      <c r="G334" s="79" t="str">
        <f t="shared" si="5"/>
        <v/>
      </c>
      <c r="H334" s="81"/>
      <c r="I334" s="75" t="str">
        <f t="shared" si="6"/>
        <v/>
      </c>
      <c r="J334" s="80">
        <f t="shared" si="7"/>
        <v>259385.8142</v>
      </c>
      <c r="K334" s="77" t="str">
        <f t="shared" si="3"/>
        <v/>
      </c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</row>
    <row r="335" ht="15.75" customHeight="1">
      <c r="A335" s="68" t="s">
        <v>2410</v>
      </c>
      <c r="B335" s="69"/>
      <c r="C335" s="72">
        <f t="shared" si="4"/>
        <v>269385.8142</v>
      </c>
      <c r="D335" s="71">
        <v>0.01</v>
      </c>
      <c r="E335" s="72">
        <f t="shared" si="1"/>
        <v>2693.858142</v>
      </c>
      <c r="F335" s="72">
        <f t="shared" si="2"/>
        <v>272079.6723</v>
      </c>
      <c r="G335" s="79" t="str">
        <f t="shared" si="5"/>
        <v/>
      </c>
      <c r="H335" s="81"/>
      <c r="I335" s="75" t="str">
        <f t="shared" si="6"/>
        <v/>
      </c>
      <c r="J335" s="80">
        <f t="shared" si="7"/>
        <v>262079.6723</v>
      </c>
      <c r="K335" s="77" t="str">
        <f t="shared" si="3"/>
        <v/>
      </c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</row>
    <row r="336" ht="15.75" customHeight="1">
      <c r="A336" s="68" t="s">
        <v>2411</v>
      </c>
      <c r="B336" s="69"/>
      <c r="C336" s="72">
        <f t="shared" si="4"/>
        <v>272079.6723</v>
      </c>
      <c r="D336" s="71">
        <v>0.01</v>
      </c>
      <c r="E336" s="72">
        <f t="shared" si="1"/>
        <v>2720.796723</v>
      </c>
      <c r="F336" s="72">
        <f t="shared" si="2"/>
        <v>274800.469</v>
      </c>
      <c r="G336" s="79" t="str">
        <f t="shared" si="5"/>
        <v/>
      </c>
      <c r="H336" s="81"/>
      <c r="I336" s="75" t="str">
        <f t="shared" si="6"/>
        <v/>
      </c>
      <c r="J336" s="80">
        <f t="shared" si="7"/>
        <v>264800.469</v>
      </c>
      <c r="K336" s="77" t="str">
        <f t="shared" si="3"/>
        <v/>
      </c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</row>
    <row r="337" ht="15.75" customHeight="1">
      <c r="A337" s="68" t="s">
        <v>2412</v>
      </c>
      <c r="B337" s="69"/>
      <c r="C337" s="72">
        <f t="shared" si="4"/>
        <v>274800.469</v>
      </c>
      <c r="D337" s="71">
        <v>0.01</v>
      </c>
      <c r="E337" s="72">
        <f t="shared" si="1"/>
        <v>2748.00469</v>
      </c>
      <c r="F337" s="72">
        <f t="shared" si="2"/>
        <v>277548.4737</v>
      </c>
      <c r="G337" s="79" t="str">
        <f t="shared" si="5"/>
        <v/>
      </c>
      <c r="H337" s="81"/>
      <c r="I337" s="75" t="str">
        <f t="shared" si="6"/>
        <v/>
      </c>
      <c r="J337" s="80">
        <f t="shared" si="7"/>
        <v>267548.4737</v>
      </c>
      <c r="K337" s="77" t="str">
        <f t="shared" si="3"/>
        <v/>
      </c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</row>
    <row r="338" ht="15.75" customHeight="1">
      <c r="A338" s="68" t="s">
        <v>2413</v>
      </c>
      <c r="B338" s="69"/>
      <c r="C338" s="72">
        <f t="shared" si="4"/>
        <v>277548.4737</v>
      </c>
      <c r="D338" s="71">
        <v>0.01</v>
      </c>
      <c r="E338" s="72">
        <f t="shared" si="1"/>
        <v>2775.484737</v>
      </c>
      <c r="F338" s="72">
        <f t="shared" si="2"/>
        <v>280323.9584</v>
      </c>
      <c r="G338" s="79" t="str">
        <f t="shared" si="5"/>
        <v/>
      </c>
      <c r="H338" s="81"/>
      <c r="I338" s="75" t="str">
        <f t="shared" si="6"/>
        <v/>
      </c>
      <c r="J338" s="80">
        <f t="shared" si="7"/>
        <v>270323.9584</v>
      </c>
      <c r="K338" s="77" t="str">
        <f t="shared" si="3"/>
        <v/>
      </c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</row>
    <row r="339" ht="15.75" customHeight="1">
      <c r="A339" s="68" t="s">
        <v>2414</v>
      </c>
      <c r="B339" s="69"/>
      <c r="C339" s="72">
        <f t="shared" si="4"/>
        <v>280323.9584</v>
      </c>
      <c r="D339" s="71">
        <v>0.01</v>
      </c>
      <c r="E339" s="72">
        <f t="shared" si="1"/>
        <v>2803.239584</v>
      </c>
      <c r="F339" s="72">
        <f t="shared" si="2"/>
        <v>283127.198</v>
      </c>
      <c r="G339" s="79" t="str">
        <f t="shared" si="5"/>
        <v/>
      </c>
      <c r="H339" s="81"/>
      <c r="I339" s="75" t="str">
        <f t="shared" si="6"/>
        <v/>
      </c>
      <c r="J339" s="80">
        <f t="shared" si="7"/>
        <v>273127.198</v>
      </c>
      <c r="K339" s="77" t="str">
        <f t="shared" si="3"/>
        <v/>
      </c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</row>
    <row r="340" ht="15.75" customHeight="1">
      <c r="A340" s="68" t="s">
        <v>2415</v>
      </c>
      <c r="B340" s="69"/>
      <c r="C340" s="72">
        <f t="shared" si="4"/>
        <v>283127.198</v>
      </c>
      <c r="D340" s="71">
        <v>0.01</v>
      </c>
      <c r="E340" s="72">
        <f t="shared" si="1"/>
        <v>2831.27198</v>
      </c>
      <c r="F340" s="72">
        <f t="shared" si="2"/>
        <v>285958.47</v>
      </c>
      <c r="G340" s="79" t="str">
        <f t="shared" si="5"/>
        <v/>
      </c>
      <c r="H340" s="81"/>
      <c r="I340" s="75" t="str">
        <f t="shared" si="6"/>
        <v/>
      </c>
      <c r="J340" s="80">
        <f t="shared" si="7"/>
        <v>275958.47</v>
      </c>
      <c r="K340" s="77" t="str">
        <f t="shared" si="3"/>
        <v/>
      </c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</row>
    <row r="341" ht="15.75" customHeight="1">
      <c r="A341" s="68" t="s">
        <v>2416</v>
      </c>
      <c r="B341" s="69"/>
      <c r="C341" s="72">
        <f t="shared" si="4"/>
        <v>285958.47</v>
      </c>
      <c r="D341" s="71">
        <v>0.01</v>
      </c>
      <c r="E341" s="72">
        <f t="shared" si="1"/>
        <v>2859.5847</v>
      </c>
      <c r="F341" s="72">
        <f t="shared" si="2"/>
        <v>288818.0547</v>
      </c>
      <c r="G341" s="79" t="str">
        <f t="shared" si="5"/>
        <v/>
      </c>
      <c r="H341" s="81"/>
      <c r="I341" s="75" t="str">
        <f t="shared" si="6"/>
        <v/>
      </c>
      <c r="J341" s="80">
        <f t="shared" si="7"/>
        <v>278818.0547</v>
      </c>
      <c r="K341" s="77" t="str">
        <f t="shared" si="3"/>
        <v/>
      </c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</row>
    <row r="342" ht="15.75" customHeight="1">
      <c r="A342" s="68" t="s">
        <v>2417</v>
      </c>
      <c r="B342" s="69"/>
      <c r="C342" s="72">
        <f t="shared" si="4"/>
        <v>288818.0547</v>
      </c>
      <c r="D342" s="71">
        <v>0.01</v>
      </c>
      <c r="E342" s="72">
        <f t="shared" si="1"/>
        <v>2888.180547</v>
      </c>
      <c r="F342" s="72">
        <f t="shared" si="2"/>
        <v>291706.2353</v>
      </c>
      <c r="G342" s="79" t="str">
        <f t="shared" si="5"/>
        <v/>
      </c>
      <c r="H342" s="81"/>
      <c r="I342" s="75" t="str">
        <f t="shared" si="6"/>
        <v/>
      </c>
      <c r="J342" s="80">
        <f t="shared" si="7"/>
        <v>281706.2353</v>
      </c>
      <c r="K342" s="77" t="str">
        <f t="shared" si="3"/>
        <v/>
      </c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</row>
    <row r="343" ht="15.75" customHeight="1">
      <c r="A343" s="68" t="s">
        <v>2418</v>
      </c>
      <c r="B343" s="69"/>
      <c r="C343" s="72">
        <f t="shared" si="4"/>
        <v>291706.2353</v>
      </c>
      <c r="D343" s="71">
        <v>0.01</v>
      </c>
      <c r="E343" s="72">
        <f t="shared" si="1"/>
        <v>2917.062353</v>
      </c>
      <c r="F343" s="72">
        <f t="shared" si="2"/>
        <v>294623.2976</v>
      </c>
      <c r="G343" s="79" t="str">
        <f t="shared" si="5"/>
        <v/>
      </c>
      <c r="H343" s="81"/>
      <c r="I343" s="75" t="str">
        <f t="shared" si="6"/>
        <v/>
      </c>
      <c r="J343" s="80">
        <f t="shared" si="7"/>
        <v>284623.2976</v>
      </c>
      <c r="K343" s="77" t="str">
        <f t="shared" si="3"/>
        <v/>
      </c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</row>
    <row r="344" ht="15.75" customHeight="1">
      <c r="A344" s="68" t="s">
        <v>2419</v>
      </c>
      <c r="B344" s="69"/>
      <c r="C344" s="72">
        <f t="shared" si="4"/>
        <v>294623.2976</v>
      </c>
      <c r="D344" s="71">
        <v>0.01</v>
      </c>
      <c r="E344" s="72">
        <f t="shared" si="1"/>
        <v>2946.232976</v>
      </c>
      <c r="F344" s="72">
        <f t="shared" si="2"/>
        <v>297569.5306</v>
      </c>
      <c r="G344" s="79" t="str">
        <f t="shared" si="5"/>
        <v/>
      </c>
      <c r="H344" s="81"/>
      <c r="I344" s="75" t="str">
        <f t="shared" si="6"/>
        <v/>
      </c>
      <c r="J344" s="80">
        <f t="shared" si="7"/>
        <v>287569.5306</v>
      </c>
      <c r="K344" s="77" t="str">
        <f t="shared" si="3"/>
        <v/>
      </c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</row>
    <row r="345" ht="15.75" customHeight="1">
      <c r="A345" s="68" t="s">
        <v>2420</v>
      </c>
      <c r="B345" s="69"/>
      <c r="C345" s="72">
        <f t="shared" si="4"/>
        <v>297569.5306</v>
      </c>
      <c r="D345" s="71">
        <v>0.01</v>
      </c>
      <c r="E345" s="72">
        <f t="shared" si="1"/>
        <v>2975.695306</v>
      </c>
      <c r="F345" s="72">
        <f t="shared" si="2"/>
        <v>300545.2259</v>
      </c>
      <c r="G345" s="79" t="str">
        <f t="shared" si="5"/>
        <v/>
      </c>
      <c r="H345" s="81"/>
      <c r="I345" s="75" t="str">
        <f t="shared" si="6"/>
        <v/>
      </c>
      <c r="J345" s="80">
        <f t="shared" si="7"/>
        <v>290545.2259</v>
      </c>
      <c r="K345" s="77" t="str">
        <f t="shared" si="3"/>
        <v/>
      </c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</row>
    <row r="346" ht="15.75" customHeight="1">
      <c r="A346" s="68" t="s">
        <v>2421</v>
      </c>
      <c r="B346" s="69"/>
      <c r="C346" s="72">
        <f t="shared" si="4"/>
        <v>300545.2259</v>
      </c>
      <c r="D346" s="71">
        <v>0.01</v>
      </c>
      <c r="E346" s="72">
        <f t="shared" si="1"/>
        <v>3005.452259</v>
      </c>
      <c r="F346" s="72">
        <f t="shared" si="2"/>
        <v>303550.6781</v>
      </c>
      <c r="G346" s="79" t="str">
        <f t="shared" si="5"/>
        <v/>
      </c>
      <c r="H346" s="81"/>
      <c r="I346" s="75" t="str">
        <f t="shared" si="6"/>
        <v/>
      </c>
      <c r="J346" s="80">
        <f t="shared" si="7"/>
        <v>293550.6781</v>
      </c>
      <c r="K346" s="77" t="str">
        <f t="shared" si="3"/>
        <v/>
      </c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</row>
    <row r="347" ht="15.75" customHeight="1">
      <c r="A347" s="68" t="s">
        <v>2422</v>
      </c>
      <c r="B347" s="69"/>
      <c r="C347" s="72">
        <f t="shared" si="4"/>
        <v>303550.6781</v>
      </c>
      <c r="D347" s="71">
        <v>0.01</v>
      </c>
      <c r="E347" s="72">
        <f t="shared" si="1"/>
        <v>3035.506781</v>
      </c>
      <c r="F347" s="72">
        <f t="shared" si="2"/>
        <v>306586.1849</v>
      </c>
      <c r="G347" s="79" t="str">
        <f t="shared" si="5"/>
        <v/>
      </c>
      <c r="H347" s="81"/>
      <c r="I347" s="75" t="str">
        <f t="shared" si="6"/>
        <v/>
      </c>
      <c r="J347" s="80">
        <f t="shared" si="7"/>
        <v>296586.1849</v>
      </c>
      <c r="K347" s="77" t="str">
        <f t="shared" si="3"/>
        <v/>
      </c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</row>
    <row r="348" ht="15.75" customHeight="1">
      <c r="A348" s="68" t="s">
        <v>2423</v>
      </c>
      <c r="B348" s="69"/>
      <c r="C348" s="72">
        <f t="shared" si="4"/>
        <v>306586.1849</v>
      </c>
      <c r="D348" s="71">
        <v>0.01</v>
      </c>
      <c r="E348" s="72">
        <f t="shared" si="1"/>
        <v>3065.861849</v>
      </c>
      <c r="F348" s="72">
        <f t="shared" si="2"/>
        <v>309652.0468</v>
      </c>
      <c r="G348" s="79" t="str">
        <f t="shared" si="5"/>
        <v/>
      </c>
      <c r="H348" s="81"/>
      <c r="I348" s="75" t="str">
        <f t="shared" si="6"/>
        <v/>
      </c>
      <c r="J348" s="80">
        <f t="shared" si="7"/>
        <v>299652.0468</v>
      </c>
      <c r="K348" s="77" t="str">
        <f t="shared" si="3"/>
        <v/>
      </c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</row>
    <row r="349" ht="15.75" customHeight="1">
      <c r="A349" s="68" t="s">
        <v>2424</v>
      </c>
      <c r="B349" s="69"/>
      <c r="C349" s="72">
        <f t="shared" si="4"/>
        <v>309652.0468</v>
      </c>
      <c r="D349" s="71">
        <v>0.01</v>
      </c>
      <c r="E349" s="72">
        <f t="shared" si="1"/>
        <v>3096.520468</v>
      </c>
      <c r="F349" s="72">
        <f t="shared" si="2"/>
        <v>312748.5672</v>
      </c>
      <c r="G349" s="79" t="str">
        <f t="shared" si="5"/>
        <v/>
      </c>
      <c r="H349" s="81"/>
      <c r="I349" s="75" t="str">
        <f t="shared" si="6"/>
        <v/>
      </c>
      <c r="J349" s="80">
        <f t="shared" si="7"/>
        <v>302748.5672</v>
      </c>
      <c r="K349" s="77" t="str">
        <f t="shared" si="3"/>
        <v/>
      </c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</row>
    <row r="350" ht="15.75" customHeight="1">
      <c r="A350" s="68" t="s">
        <v>2425</v>
      </c>
      <c r="B350" s="69"/>
      <c r="C350" s="72">
        <f t="shared" si="4"/>
        <v>312748.5672</v>
      </c>
      <c r="D350" s="71">
        <v>0.01</v>
      </c>
      <c r="E350" s="72">
        <f t="shared" si="1"/>
        <v>3127.485672</v>
      </c>
      <c r="F350" s="72">
        <f t="shared" si="2"/>
        <v>315876.0529</v>
      </c>
      <c r="G350" s="79" t="str">
        <f t="shared" si="5"/>
        <v/>
      </c>
      <c r="H350" s="81"/>
      <c r="I350" s="75" t="str">
        <f t="shared" si="6"/>
        <v/>
      </c>
      <c r="J350" s="80">
        <f t="shared" si="7"/>
        <v>305876.0529</v>
      </c>
      <c r="K350" s="77" t="str">
        <f t="shared" si="3"/>
        <v/>
      </c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</row>
    <row r="351" ht="15.75" customHeight="1">
      <c r="A351" s="68" t="s">
        <v>2426</v>
      </c>
      <c r="B351" s="69"/>
      <c r="C351" s="72">
        <f t="shared" si="4"/>
        <v>315876.0529</v>
      </c>
      <c r="D351" s="71">
        <v>0.01</v>
      </c>
      <c r="E351" s="72">
        <f t="shared" si="1"/>
        <v>3158.760529</v>
      </c>
      <c r="F351" s="72">
        <f t="shared" si="2"/>
        <v>319034.8134</v>
      </c>
      <c r="G351" s="79" t="str">
        <f t="shared" si="5"/>
        <v/>
      </c>
      <c r="H351" s="81"/>
      <c r="I351" s="75" t="str">
        <f t="shared" si="6"/>
        <v/>
      </c>
      <c r="J351" s="80">
        <f t="shared" si="7"/>
        <v>309034.8134</v>
      </c>
      <c r="K351" s="77" t="str">
        <f t="shared" si="3"/>
        <v/>
      </c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</row>
    <row r="352" ht="15.75" customHeight="1">
      <c r="A352" s="68" t="s">
        <v>2427</v>
      </c>
      <c r="B352" s="69"/>
      <c r="C352" s="72">
        <f t="shared" si="4"/>
        <v>319034.8134</v>
      </c>
      <c r="D352" s="71">
        <v>0.01</v>
      </c>
      <c r="E352" s="72">
        <f t="shared" si="1"/>
        <v>3190.348134</v>
      </c>
      <c r="F352" s="72">
        <f t="shared" si="2"/>
        <v>322225.1616</v>
      </c>
      <c r="G352" s="79" t="str">
        <f t="shared" si="5"/>
        <v/>
      </c>
      <c r="H352" s="81"/>
      <c r="I352" s="75" t="str">
        <f t="shared" si="6"/>
        <v/>
      </c>
      <c r="J352" s="80">
        <f t="shared" si="7"/>
        <v>312225.1616</v>
      </c>
      <c r="K352" s="77" t="str">
        <f t="shared" si="3"/>
        <v/>
      </c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</row>
    <row r="353" ht="15.75" customHeight="1">
      <c r="A353" s="68" t="s">
        <v>2428</v>
      </c>
      <c r="B353" s="69"/>
      <c r="C353" s="72">
        <f t="shared" si="4"/>
        <v>322225.1616</v>
      </c>
      <c r="D353" s="71">
        <v>0.01</v>
      </c>
      <c r="E353" s="72">
        <f t="shared" si="1"/>
        <v>3222.251616</v>
      </c>
      <c r="F353" s="72">
        <f t="shared" si="2"/>
        <v>325447.4132</v>
      </c>
      <c r="G353" s="79" t="str">
        <f t="shared" si="5"/>
        <v/>
      </c>
      <c r="H353" s="81"/>
      <c r="I353" s="75" t="str">
        <f t="shared" si="6"/>
        <v/>
      </c>
      <c r="J353" s="80">
        <f t="shared" si="7"/>
        <v>315447.4132</v>
      </c>
      <c r="K353" s="77" t="str">
        <f t="shared" si="3"/>
        <v/>
      </c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</row>
    <row r="354" ht="15.75" customHeight="1">
      <c r="A354" s="68" t="s">
        <v>2429</v>
      </c>
      <c r="B354" s="69"/>
      <c r="C354" s="72">
        <f t="shared" si="4"/>
        <v>325447.4132</v>
      </c>
      <c r="D354" s="71">
        <v>0.01</v>
      </c>
      <c r="E354" s="72">
        <f t="shared" si="1"/>
        <v>3254.474132</v>
      </c>
      <c r="F354" s="72">
        <f t="shared" si="2"/>
        <v>328701.8873</v>
      </c>
      <c r="G354" s="79" t="str">
        <f t="shared" si="5"/>
        <v/>
      </c>
      <c r="H354" s="81"/>
      <c r="I354" s="75" t="str">
        <f t="shared" si="6"/>
        <v/>
      </c>
      <c r="J354" s="80">
        <f t="shared" si="7"/>
        <v>318701.8873</v>
      </c>
      <c r="K354" s="77" t="str">
        <f t="shared" si="3"/>
        <v/>
      </c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</row>
    <row r="355" ht="15.75" customHeight="1">
      <c r="A355" s="68" t="s">
        <v>2430</v>
      </c>
      <c r="B355" s="69"/>
      <c r="C355" s="72">
        <f t="shared" si="4"/>
        <v>328701.8873</v>
      </c>
      <c r="D355" s="71">
        <v>0.01</v>
      </c>
      <c r="E355" s="72">
        <f t="shared" si="1"/>
        <v>3287.018873</v>
      </c>
      <c r="F355" s="72">
        <f t="shared" si="2"/>
        <v>331988.9062</v>
      </c>
      <c r="G355" s="79" t="str">
        <f t="shared" si="5"/>
        <v/>
      </c>
      <c r="H355" s="81"/>
      <c r="I355" s="75" t="str">
        <f t="shared" si="6"/>
        <v/>
      </c>
      <c r="J355" s="80">
        <f t="shared" si="7"/>
        <v>321988.9062</v>
      </c>
      <c r="K355" s="77" t="str">
        <f t="shared" si="3"/>
        <v/>
      </c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</row>
    <row r="356" ht="15.75" customHeight="1">
      <c r="A356" s="68" t="s">
        <v>2431</v>
      </c>
      <c r="B356" s="69"/>
      <c r="C356" s="72">
        <f t="shared" si="4"/>
        <v>331988.9062</v>
      </c>
      <c r="D356" s="71">
        <v>0.01</v>
      </c>
      <c r="E356" s="72">
        <f t="shared" si="1"/>
        <v>3319.889062</v>
      </c>
      <c r="F356" s="72">
        <f t="shared" si="2"/>
        <v>335308.7953</v>
      </c>
      <c r="G356" s="79" t="str">
        <f t="shared" si="5"/>
        <v/>
      </c>
      <c r="H356" s="81"/>
      <c r="I356" s="75" t="str">
        <f t="shared" si="6"/>
        <v/>
      </c>
      <c r="J356" s="80">
        <f t="shared" si="7"/>
        <v>325308.7953</v>
      </c>
      <c r="K356" s="77" t="str">
        <f t="shared" si="3"/>
        <v/>
      </c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</row>
    <row r="357" ht="15.75" customHeight="1">
      <c r="A357" s="68" t="s">
        <v>2432</v>
      </c>
      <c r="B357" s="69"/>
      <c r="C357" s="72">
        <f t="shared" si="4"/>
        <v>335308.7953</v>
      </c>
      <c r="D357" s="71">
        <v>0.01</v>
      </c>
      <c r="E357" s="72">
        <f t="shared" si="1"/>
        <v>3353.087953</v>
      </c>
      <c r="F357" s="72">
        <f t="shared" si="2"/>
        <v>338661.8832</v>
      </c>
      <c r="G357" s="79" t="str">
        <f t="shared" si="5"/>
        <v/>
      </c>
      <c r="H357" s="81"/>
      <c r="I357" s="75" t="str">
        <f t="shared" si="6"/>
        <v/>
      </c>
      <c r="J357" s="80">
        <f t="shared" si="7"/>
        <v>328661.8832</v>
      </c>
      <c r="K357" s="77" t="str">
        <f t="shared" si="3"/>
        <v/>
      </c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</row>
    <row r="358" ht="15.75" customHeight="1">
      <c r="A358" s="68" t="s">
        <v>2433</v>
      </c>
      <c r="B358" s="69"/>
      <c r="C358" s="72">
        <f t="shared" si="4"/>
        <v>338661.8832</v>
      </c>
      <c r="D358" s="71">
        <v>0.01</v>
      </c>
      <c r="E358" s="72">
        <f t="shared" si="1"/>
        <v>3386.618832</v>
      </c>
      <c r="F358" s="72">
        <f t="shared" si="2"/>
        <v>342048.5021</v>
      </c>
      <c r="G358" s="79" t="str">
        <f t="shared" si="5"/>
        <v/>
      </c>
      <c r="H358" s="81"/>
      <c r="I358" s="75" t="str">
        <f t="shared" si="6"/>
        <v/>
      </c>
      <c r="J358" s="80">
        <f t="shared" si="7"/>
        <v>332048.5021</v>
      </c>
      <c r="K358" s="77" t="str">
        <f t="shared" si="3"/>
        <v/>
      </c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</row>
    <row r="359" ht="15.75" customHeight="1">
      <c r="A359" s="68" t="s">
        <v>2434</v>
      </c>
      <c r="B359" s="69"/>
      <c r="C359" s="72">
        <f t="shared" si="4"/>
        <v>342048.5021</v>
      </c>
      <c r="D359" s="71">
        <v>0.01</v>
      </c>
      <c r="E359" s="72">
        <f t="shared" si="1"/>
        <v>3420.485021</v>
      </c>
      <c r="F359" s="72">
        <f t="shared" si="2"/>
        <v>345468.9871</v>
      </c>
      <c r="G359" s="79" t="str">
        <f t="shared" si="5"/>
        <v/>
      </c>
      <c r="H359" s="81"/>
      <c r="I359" s="75" t="str">
        <f t="shared" si="6"/>
        <v/>
      </c>
      <c r="J359" s="80">
        <f t="shared" si="7"/>
        <v>335468.9871</v>
      </c>
      <c r="K359" s="77" t="str">
        <f t="shared" si="3"/>
        <v/>
      </c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</row>
    <row r="360" ht="15.75" customHeight="1">
      <c r="A360" s="68" t="s">
        <v>2435</v>
      </c>
      <c r="B360" s="69"/>
      <c r="C360" s="72">
        <f t="shared" si="4"/>
        <v>345468.9871</v>
      </c>
      <c r="D360" s="71">
        <v>0.01</v>
      </c>
      <c r="E360" s="72">
        <f t="shared" si="1"/>
        <v>3454.689871</v>
      </c>
      <c r="F360" s="72">
        <f t="shared" si="2"/>
        <v>348923.6769</v>
      </c>
      <c r="G360" s="79" t="str">
        <f t="shared" si="5"/>
        <v/>
      </c>
      <c r="H360" s="81"/>
      <c r="I360" s="75" t="str">
        <f t="shared" si="6"/>
        <v/>
      </c>
      <c r="J360" s="80">
        <f t="shared" si="7"/>
        <v>338923.6769</v>
      </c>
      <c r="K360" s="77" t="str">
        <f t="shared" si="3"/>
        <v/>
      </c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</row>
    <row r="361" ht="15.75" customHeight="1">
      <c r="A361" s="68" t="s">
        <v>2436</v>
      </c>
      <c r="B361" s="69"/>
      <c r="C361" s="72">
        <f t="shared" si="4"/>
        <v>348923.6769</v>
      </c>
      <c r="D361" s="71">
        <v>0.01</v>
      </c>
      <c r="E361" s="72">
        <f t="shared" si="1"/>
        <v>3489.236769</v>
      </c>
      <c r="F361" s="72">
        <f t="shared" si="2"/>
        <v>352412.9137</v>
      </c>
      <c r="G361" s="79" t="str">
        <f t="shared" si="5"/>
        <v/>
      </c>
      <c r="H361" s="81"/>
      <c r="I361" s="75" t="str">
        <f t="shared" si="6"/>
        <v/>
      </c>
      <c r="J361" s="80">
        <f t="shared" si="7"/>
        <v>342412.9137</v>
      </c>
      <c r="K361" s="77" t="str">
        <f t="shared" si="3"/>
        <v/>
      </c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</row>
    <row r="362" ht="15.75" customHeight="1">
      <c r="A362" s="68" t="s">
        <v>2437</v>
      </c>
      <c r="B362" s="69"/>
      <c r="C362" s="72">
        <f t="shared" si="4"/>
        <v>352412.9137</v>
      </c>
      <c r="D362" s="71">
        <v>0.01</v>
      </c>
      <c r="E362" s="72">
        <f t="shared" si="1"/>
        <v>3524.129137</v>
      </c>
      <c r="F362" s="72">
        <f t="shared" si="2"/>
        <v>355937.0428</v>
      </c>
      <c r="G362" s="79" t="str">
        <f t="shared" si="5"/>
        <v/>
      </c>
      <c r="H362" s="81"/>
      <c r="I362" s="75" t="str">
        <f t="shared" si="6"/>
        <v/>
      </c>
      <c r="J362" s="80">
        <f t="shared" si="7"/>
        <v>345937.0428</v>
      </c>
      <c r="K362" s="77" t="str">
        <f t="shared" si="3"/>
        <v/>
      </c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</row>
    <row r="363" ht="15.75" customHeight="1">
      <c r="A363" s="68" t="s">
        <v>2438</v>
      </c>
      <c r="B363" s="69"/>
      <c r="C363" s="72">
        <f t="shared" si="4"/>
        <v>355937.0428</v>
      </c>
      <c r="D363" s="71">
        <v>0.01</v>
      </c>
      <c r="E363" s="72">
        <f t="shared" si="1"/>
        <v>3559.370428</v>
      </c>
      <c r="F363" s="72">
        <f t="shared" si="2"/>
        <v>359496.4133</v>
      </c>
      <c r="G363" s="79" t="str">
        <f t="shared" si="5"/>
        <v/>
      </c>
      <c r="H363" s="81"/>
      <c r="I363" s="75" t="str">
        <f t="shared" si="6"/>
        <v/>
      </c>
      <c r="J363" s="80">
        <f t="shared" si="7"/>
        <v>349496.4133</v>
      </c>
      <c r="K363" s="77" t="str">
        <f t="shared" si="3"/>
        <v/>
      </c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</row>
    <row r="364" ht="15.75" customHeight="1">
      <c r="A364" s="68" t="s">
        <v>2439</v>
      </c>
      <c r="B364" s="69"/>
      <c r="C364" s="72">
        <f t="shared" si="4"/>
        <v>359496.4133</v>
      </c>
      <c r="D364" s="71">
        <v>0.01</v>
      </c>
      <c r="E364" s="72">
        <f t="shared" si="1"/>
        <v>3594.964133</v>
      </c>
      <c r="F364" s="72">
        <f t="shared" si="2"/>
        <v>363091.3774</v>
      </c>
      <c r="G364" s="79" t="str">
        <f t="shared" si="5"/>
        <v/>
      </c>
      <c r="H364" s="81"/>
      <c r="I364" s="75" t="str">
        <f t="shared" si="6"/>
        <v/>
      </c>
      <c r="J364" s="80">
        <f t="shared" si="7"/>
        <v>353091.3774</v>
      </c>
      <c r="K364" s="77" t="str">
        <f t="shared" si="3"/>
        <v/>
      </c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</row>
    <row r="365" ht="15.75" customHeight="1">
      <c r="A365" s="68" t="s">
        <v>2440</v>
      </c>
      <c r="B365" s="69"/>
      <c r="C365" s="72">
        <f t="shared" si="4"/>
        <v>363091.3774</v>
      </c>
      <c r="D365" s="71">
        <v>0.01</v>
      </c>
      <c r="E365" s="72">
        <f t="shared" si="1"/>
        <v>3630.913774</v>
      </c>
      <c r="F365" s="72">
        <f t="shared" si="2"/>
        <v>366722.2912</v>
      </c>
      <c r="G365" s="79" t="str">
        <f t="shared" si="5"/>
        <v/>
      </c>
      <c r="H365" s="81"/>
      <c r="I365" s="75" t="str">
        <f t="shared" si="6"/>
        <v/>
      </c>
      <c r="J365" s="80">
        <f t="shared" si="7"/>
        <v>356722.2912</v>
      </c>
      <c r="K365" s="77" t="str">
        <f t="shared" si="3"/>
        <v/>
      </c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</row>
    <row r="366" ht="15.75" customHeight="1">
      <c r="A366" s="68" t="s">
        <v>2441</v>
      </c>
      <c r="B366" s="69"/>
      <c r="C366" s="72">
        <f t="shared" si="4"/>
        <v>366722.2912</v>
      </c>
      <c r="D366" s="71">
        <v>0.01</v>
      </c>
      <c r="E366" s="72">
        <f t="shared" si="1"/>
        <v>3667.222912</v>
      </c>
      <c r="F366" s="72">
        <f t="shared" si="2"/>
        <v>370389.5141</v>
      </c>
      <c r="G366" s="79" t="str">
        <f t="shared" si="5"/>
        <v/>
      </c>
      <c r="H366" s="81"/>
      <c r="I366" s="75" t="str">
        <f t="shared" si="6"/>
        <v/>
      </c>
      <c r="J366" s="80">
        <f t="shared" si="7"/>
        <v>360389.5141</v>
      </c>
      <c r="K366" s="77" t="str">
        <f t="shared" si="3"/>
        <v/>
      </c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</row>
    <row r="367" ht="15.75" customHeight="1">
      <c r="A367" s="68" t="s">
        <v>2442</v>
      </c>
      <c r="B367" s="69"/>
      <c r="C367" s="72">
        <f t="shared" si="4"/>
        <v>370389.5141</v>
      </c>
      <c r="D367" s="71">
        <v>0.01</v>
      </c>
      <c r="E367" s="72">
        <f t="shared" si="1"/>
        <v>3703.895141</v>
      </c>
      <c r="F367" s="72">
        <f t="shared" si="2"/>
        <v>374093.4092</v>
      </c>
      <c r="G367" s="79" t="str">
        <f t="shared" si="5"/>
        <v/>
      </c>
      <c r="H367" s="81"/>
      <c r="I367" s="75" t="str">
        <f t="shared" si="6"/>
        <v/>
      </c>
      <c r="J367" s="80">
        <f t="shared" si="7"/>
        <v>364093.4092</v>
      </c>
      <c r="K367" s="77" t="str">
        <f t="shared" si="3"/>
        <v/>
      </c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</row>
    <row r="368" ht="15.75" customHeight="1">
      <c r="A368" s="68" t="s">
        <v>2443</v>
      </c>
      <c r="B368" s="69"/>
      <c r="C368" s="72">
        <f t="shared" si="4"/>
        <v>374093.4092</v>
      </c>
      <c r="D368" s="71">
        <v>0.01</v>
      </c>
      <c r="E368" s="72">
        <f t="shared" si="1"/>
        <v>3740.934092</v>
      </c>
      <c r="F368" s="72">
        <f t="shared" si="2"/>
        <v>377834.3433</v>
      </c>
      <c r="G368" s="79" t="str">
        <f t="shared" si="5"/>
        <v/>
      </c>
      <c r="H368" s="81"/>
      <c r="I368" s="75" t="str">
        <f t="shared" si="6"/>
        <v/>
      </c>
      <c r="J368" s="80">
        <f t="shared" si="7"/>
        <v>367834.3433</v>
      </c>
      <c r="K368" s="77" t="str">
        <f t="shared" si="3"/>
        <v/>
      </c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</row>
    <row r="369" ht="15.75" customHeight="1">
      <c r="A369" s="68" t="s">
        <v>2444</v>
      </c>
      <c r="B369" s="69"/>
      <c r="C369" s="72">
        <f t="shared" si="4"/>
        <v>377834.3433</v>
      </c>
      <c r="D369" s="71">
        <v>0.01</v>
      </c>
      <c r="E369" s="72">
        <f t="shared" si="1"/>
        <v>3778.343433</v>
      </c>
      <c r="F369" s="72">
        <f t="shared" si="2"/>
        <v>381612.6868</v>
      </c>
      <c r="G369" s="79" t="str">
        <f t="shared" si="5"/>
        <v/>
      </c>
      <c r="H369" s="81"/>
      <c r="I369" s="75" t="str">
        <f t="shared" si="6"/>
        <v/>
      </c>
      <c r="J369" s="80">
        <f t="shared" si="7"/>
        <v>371612.6868</v>
      </c>
      <c r="K369" s="77" t="str">
        <f t="shared" si="3"/>
        <v/>
      </c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</row>
    <row r="370" ht="15.75" customHeight="1">
      <c r="A370" s="68" t="s">
        <v>2445</v>
      </c>
      <c r="B370" s="69"/>
      <c r="C370" s="72">
        <f t="shared" si="4"/>
        <v>381612.6868</v>
      </c>
      <c r="D370" s="71">
        <v>0.01</v>
      </c>
      <c r="E370" s="72">
        <f t="shared" si="1"/>
        <v>3816.126868</v>
      </c>
      <c r="F370" s="72">
        <f t="shared" si="2"/>
        <v>385428.8136</v>
      </c>
      <c r="G370" s="79" t="str">
        <f t="shared" si="5"/>
        <v/>
      </c>
      <c r="H370" s="81"/>
      <c r="I370" s="75" t="str">
        <f t="shared" si="6"/>
        <v/>
      </c>
      <c r="J370" s="80">
        <f t="shared" si="7"/>
        <v>375428.8136</v>
      </c>
      <c r="K370" s="77" t="str">
        <f t="shared" si="3"/>
        <v/>
      </c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</row>
    <row r="371" ht="15.75" customHeight="1">
      <c r="A371" s="68" t="s">
        <v>2446</v>
      </c>
      <c r="B371" s="69"/>
      <c r="C371" s="72">
        <f t="shared" si="4"/>
        <v>385428.8136</v>
      </c>
      <c r="D371" s="71">
        <v>0.01</v>
      </c>
      <c r="E371" s="72">
        <f t="shared" si="1"/>
        <v>3854.288136</v>
      </c>
      <c r="F371" s="72">
        <f t="shared" si="2"/>
        <v>389283.1018</v>
      </c>
      <c r="G371" s="79" t="str">
        <f t="shared" si="5"/>
        <v/>
      </c>
      <c r="H371" s="81"/>
      <c r="I371" s="75" t="str">
        <f t="shared" si="6"/>
        <v/>
      </c>
      <c r="J371" s="80">
        <f t="shared" si="7"/>
        <v>379283.1018</v>
      </c>
      <c r="K371" s="77" t="str">
        <f t="shared" si="3"/>
        <v/>
      </c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</row>
    <row r="372" ht="15.75" customHeight="1">
      <c r="A372" s="68" t="s">
        <v>2447</v>
      </c>
      <c r="B372" s="69"/>
      <c r="C372" s="72">
        <f t="shared" si="4"/>
        <v>389283.1018</v>
      </c>
      <c r="D372" s="71">
        <v>0.01</v>
      </c>
      <c r="E372" s="72">
        <f t="shared" si="1"/>
        <v>3892.831018</v>
      </c>
      <c r="F372" s="72">
        <f t="shared" si="2"/>
        <v>393175.9328</v>
      </c>
      <c r="G372" s="79" t="str">
        <f t="shared" si="5"/>
        <v/>
      </c>
      <c r="H372" s="81"/>
      <c r="I372" s="75" t="str">
        <f t="shared" si="6"/>
        <v/>
      </c>
      <c r="J372" s="80">
        <f t="shared" si="7"/>
        <v>383175.9328</v>
      </c>
      <c r="K372" s="77" t="str">
        <f t="shared" si="3"/>
        <v/>
      </c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</row>
    <row r="373" ht="15.75" customHeight="1">
      <c r="A373" s="68" t="s">
        <v>2448</v>
      </c>
      <c r="B373" s="69"/>
      <c r="C373" s="72">
        <f t="shared" si="4"/>
        <v>393175.9328</v>
      </c>
      <c r="D373" s="71">
        <v>0.01</v>
      </c>
      <c r="E373" s="72">
        <f t="shared" si="1"/>
        <v>3931.759328</v>
      </c>
      <c r="F373" s="72">
        <f t="shared" si="2"/>
        <v>397107.6921</v>
      </c>
      <c r="G373" s="79" t="str">
        <f t="shared" si="5"/>
        <v/>
      </c>
      <c r="H373" s="81"/>
      <c r="I373" s="75" t="str">
        <f t="shared" si="6"/>
        <v/>
      </c>
      <c r="J373" s="80">
        <f t="shared" si="7"/>
        <v>387107.6921</v>
      </c>
      <c r="K373" s="77" t="str">
        <f t="shared" si="3"/>
        <v/>
      </c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</row>
    <row r="374" ht="15.75" customHeight="1">
      <c r="A374" s="68" t="s">
        <v>2449</v>
      </c>
      <c r="B374" s="69"/>
      <c r="C374" s="72">
        <f t="shared" si="4"/>
        <v>397107.6921</v>
      </c>
      <c r="D374" s="71">
        <v>0.01</v>
      </c>
      <c r="E374" s="72">
        <f t="shared" si="1"/>
        <v>3971.076921</v>
      </c>
      <c r="F374" s="72">
        <f t="shared" si="2"/>
        <v>401078.769</v>
      </c>
      <c r="G374" s="79" t="str">
        <f t="shared" si="5"/>
        <v/>
      </c>
      <c r="H374" s="81"/>
      <c r="I374" s="75" t="str">
        <f t="shared" si="6"/>
        <v/>
      </c>
      <c r="J374" s="80">
        <f t="shared" si="7"/>
        <v>391078.769</v>
      </c>
      <c r="K374" s="77" t="str">
        <f t="shared" si="3"/>
        <v/>
      </c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</row>
    <row r="375" ht="15.75" customHeight="1">
      <c r="A375" s="68" t="s">
        <v>2450</v>
      </c>
      <c r="B375" s="69"/>
      <c r="C375" s="72">
        <f t="shared" si="4"/>
        <v>401078.769</v>
      </c>
      <c r="D375" s="71">
        <v>0.01</v>
      </c>
      <c r="E375" s="72">
        <f t="shared" si="1"/>
        <v>4010.78769</v>
      </c>
      <c r="F375" s="72">
        <f t="shared" si="2"/>
        <v>405089.5567</v>
      </c>
      <c r="G375" s="79" t="str">
        <f t="shared" si="5"/>
        <v/>
      </c>
      <c r="H375" s="81"/>
      <c r="I375" s="75" t="str">
        <f t="shared" si="6"/>
        <v/>
      </c>
      <c r="J375" s="80">
        <f t="shared" si="7"/>
        <v>395089.5567</v>
      </c>
      <c r="K375" s="77" t="str">
        <f t="shared" si="3"/>
        <v/>
      </c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</row>
    <row r="376" ht="15.75" customHeight="1">
      <c r="A376" s="68" t="s">
        <v>2451</v>
      </c>
      <c r="B376" s="69"/>
      <c r="C376" s="72">
        <f t="shared" si="4"/>
        <v>405089.5567</v>
      </c>
      <c r="D376" s="71">
        <v>0.01</v>
      </c>
      <c r="E376" s="72">
        <f t="shared" si="1"/>
        <v>4050.895567</v>
      </c>
      <c r="F376" s="72">
        <f t="shared" si="2"/>
        <v>409140.4523</v>
      </c>
      <c r="G376" s="79" t="str">
        <f t="shared" si="5"/>
        <v/>
      </c>
      <c r="H376" s="81"/>
      <c r="I376" s="75" t="str">
        <f t="shared" si="6"/>
        <v/>
      </c>
      <c r="J376" s="80">
        <f t="shared" si="7"/>
        <v>399140.4523</v>
      </c>
      <c r="K376" s="77" t="str">
        <f t="shared" si="3"/>
        <v/>
      </c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</row>
    <row r="377" ht="15.75" customHeight="1">
      <c r="A377" s="68" t="s">
        <v>2452</v>
      </c>
      <c r="B377" s="69"/>
      <c r="C377" s="72">
        <f t="shared" si="4"/>
        <v>409140.4523</v>
      </c>
      <c r="D377" s="71">
        <v>0.01</v>
      </c>
      <c r="E377" s="72">
        <f t="shared" si="1"/>
        <v>4091.404523</v>
      </c>
      <c r="F377" s="72">
        <f t="shared" si="2"/>
        <v>413231.8568</v>
      </c>
      <c r="G377" s="79" t="str">
        <f t="shared" si="5"/>
        <v/>
      </c>
      <c r="H377" s="81"/>
      <c r="I377" s="75" t="str">
        <f t="shared" si="6"/>
        <v/>
      </c>
      <c r="J377" s="80">
        <f t="shared" si="7"/>
        <v>403231.8568</v>
      </c>
      <c r="K377" s="77" t="str">
        <f t="shared" si="3"/>
        <v/>
      </c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</row>
    <row r="378" ht="15.75" customHeight="1">
      <c r="A378" s="68" t="s">
        <v>2453</v>
      </c>
      <c r="B378" s="69"/>
      <c r="C378" s="72">
        <f t="shared" si="4"/>
        <v>413231.8568</v>
      </c>
      <c r="D378" s="71">
        <v>0.01</v>
      </c>
      <c r="E378" s="72">
        <f t="shared" si="1"/>
        <v>4132.318568</v>
      </c>
      <c r="F378" s="72">
        <f t="shared" si="2"/>
        <v>417364.1754</v>
      </c>
      <c r="G378" s="79" t="str">
        <f t="shared" si="5"/>
        <v/>
      </c>
      <c r="H378" s="81"/>
      <c r="I378" s="75" t="str">
        <f t="shared" si="6"/>
        <v/>
      </c>
      <c r="J378" s="80">
        <f t="shared" si="7"/>
        <v>407364.1754</v>
      </c>
      <c r="K378" s="77" t="str">
        <f t="shared" si="3"/>
        <v/>
      </c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</row>
    <row r="379" ht="15.75" customHeight="1">
      <c r="A379" s="68" t="s">
        <v>2454</v>
      </c>
      <c r="B379" s="69"/>
      <c r="C379" s="72">
        <f t="shared" si="4"/>
        <v>417364.1754</v>
      </c>
      <c r="D379" s="71">
        <v>0.01</v>
      </c>
      <c r="E379" s="72">
        <f t="shared" si="1"/>
        <v>4173.641754</v>
      </c>
      <c r="F379" s="72">
        <f t="shared" si="2"/>
        <v>421537.8171</v>
      </c>
      <c r="G379" s="79" t="str">
        <f t="shared" si="5"/>
        <v/>
      </c>
      <c r="H379" s="81"/>
      <c r="I379" s="75" t="str">
        <f t="shared" si="6"/>
        <v/>
      </c>
      <c r="J379" s="80">
        <f t="shared" si="7"/>
        <v>411537.8171</v>
      </c>
      <c r="K379" s="77" t="str">
        <f t="shared" si="3"/>
        <v/>
      </c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</row>
    <row r="380" ht="15.75" customHeight="1">
      <c r="A380" s="68" t="s">
        <v>2455</v>
      </c>
      <c r="B380" s="69"/>
      <c r="C380" s="72">
        <f t="shared" si="4"/>
        <v>421537.8171</v>
      </c>
      <c r="D380" s="71">
        <v>0.01</v>
      </c>
      <c r="E380" s="72">
        <f t="shared" si="1"/>
        <v>4215.378171</v>
      </c>
      <c r="F380" s="72">
        <f t="shared" si="2"/>
        <v>425753.1953</v>
      </c>
      <c r="G380" s="79" t="str">
        <f t="shared" si="5"/>
        <v/>
      </c>
      <c r="H380" s="81"/>
      <c r="I380" s="75" t="str">
        <f t="shared" si="6"/>
        <v/>
      </c>
      <c r="J380" s="80">
        <f t="shared" si="7"/>
        <v>415753.1953</v>
      </c>
      <c r="K380" s="77" t="str">
        <f t="shared" si="3"/>
        <v/>
      </c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</row>
    <row r="381" ht="15.75" customHeight="1">
      <c r="A381" s="68" t="s">
        <v>2456</v>
      </c>
      <c r="B381" s="69"/>
      <c r="C381" s="72">
        <f t="shared" si="4"/>
        <v>425753.1953</v>
      </c>
      <c r="D381" s="71">
        <v>0.01</v>
      </c>
      <c r="E381" s="72">
        <f t="shared" si="1"/>
        <v>4257.531953</v>
      </c>
      <c r="F381" s="72">
        <f t="shared" si="2"/>
        <v>430010.7273</v>
      </c>
      <c r="G381" s="79" t="str">
        <f t="shared" si="5"/>
        <v/>
      </c>
      <c r="H381" s="81"/>
      <c r="I381" s="75" t="str">
        <f t="shared" si="6"/>
        <v/>
      </c>
      <c r="J381" s="80">
        <f t="shared" si="7"/>
        <v>420010.7273</v>
      </c>
      <c r="K381" s="77" t="str">
        <f t="shared" si="3"/>
        <v/>
      </c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</row>
    <row r="382" ht="15.75" customHeight="1">
      <c r="A382" s="68" t="s">
        <v>2457</v>
      </c>
      <c r="B382" s="69"/>
      <c r="C382" s="72">
        <f t="shared" si="4"/>
        <v>430010.7273</v>
      </c>
      <c r="D382" s="71">
        <v>0.01</v>
      </c>
      <c r="E382" s="72">
        <f t="shared" si="1"/>
        <v>4300.107273</v>
      </c>
      <c r="F382" s="72">
        <f t="shared" si="2"/>
        <v>434310.8345</v>
      </c>
      <c r="G382" s="79" t="str">
        <f t="shared" si="5"/>
        <v/>
      </c>
      <c r="H382" s="81"/>
      <c r="I382" s="75" t="str">
        <f t="shared" si="6"/>
        <v/>
      </c>
      <c r="J382" s="80">
        <f t="shared" si="7"/>
        <v>424310.8345</v>
      </c>
      <c r="K382" s="77" t="str">
        <f t="shared" si="3"/>
        <v/>
      </c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</row>
    <row r="383" ht="15.75" customHeight="1">
      <c r="A383" s="68" t="s">
        <v>2458</v>
      </c>
      <c r="B383" s="69"/>
      <c r="C383" s="72">
        <f t="shared" si="4"/>
        <v>434310.8345</v>
      </c>
      <c r="D383" s="71">
        <v>0.01</v>
      </c>
      <c r="E383" s="72">
        <f t="shared" si="1"/>
        <v>4343.108345</v>
      </c>
      <c r="F383" s="72">
        <f t="shared" si="2"/>
        <v>438653.9429</v>
      </c>
      <c r="G383" s="79" t="str">
        <f t="shared" si="5"/>
        <v/>
      </c>
      <c r="H383" s="81"/>
      <c r="I383" s="75" t="str">
        <f t="shared" si="6"/>
        <v/>
      </c>
      <c r="J383" s="80">
        <f t="shared" si="7"/>
        <v>428653.9429</v>
      </c>
      <c r="K383" s="77" t="str">
        <f t="shared" si="3"/>
        <v/>
      </c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</row>
    <row r="384" ht="15.75" customHeight="1">
      <c r="A384" s="68" t="s">
        <v>2459</v>
      </c>
      <c r="B384" s="69"/>
      <c r="C384" s="72">
        <f t="shared" si="4"/>
        <v>438653.9429</v>
      </c>
      <c r="D384" s="71">
        <v>0.01</v>
      </c>
      <c r="E384" s="72">
        <f t="shared" si="1"/>
        <v>4386.539429</v>
      </c>
      <c r="F384" s="72">
        <f t="shared" si="2"/>
        <v>443040.4823</v>
      </c>
      <c r="G384" s="79" t="str">
        <f t="shared" si="5"/>
        <v/>
      </c>
      <c r="H384" s="81"/>
      <c r="I384" s="75" t="str">
        <f t="shared" si="6"/>
        <v/>
      </c>
      <c r="J384" s="80">
        <f t="shared" si="7"/>
        <v>433040.4823</v>
      </c>
      <c r="K384" s="77" t="str">
        <f t="shared" si="3"/>
        <v/>
      </c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</row>
    <row r="385" ht="15.75" customHeight="1">
      <c r="A385" s="68" t="s">
        <v>2460</v>
      </c>
      <c r="B385" s="69"/>
      <c r="C385" s="72">
        <f t="shared" si="4"/>
        <v>443040.4823</v>
      </c>
      <c r="D385" s="71">
        <v>0.01</v>
      </c>
      <c r="E385" s="72">
        <f t="shared" si="1"/>
        <v>4430.404823</v>
      </c>
      <c r="F385" s="72">
        <f t="shared" si="2"/>
        <v>447470.8871</v>
      </c>
      <c r="G385" s="79" t="str">
        <f t="shared" si="5"/>
        <v/>
      </c>
      <c r="H385" s="81"/>
      <c r="I385" s="75" t="str">
        <f t="shared" si="6"/>
        <v/>
      </c>
      <c r="J385" s="80">
        <f t="shared" si="7"/>
        <v>437470.8871</v>
      </c>
      <c r="K385" s="77" t="str">
        <f t="shared" si="3"/>
        <v/>
      </c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</row>
    <row r="386" ht="15.75" customHeight="1">
      <c r="A386" s="68" t="s">
        <v>2461</v>
      </c>
      <c r="B386" s="69"/>
      <c r="C386" s="72">
        <f t="shared" si="4"/>
        <v>447470.8871</v>
      </c>
      <c r="D386" s="71">
        <v>0.01</v>
      </c>
      <c r="E386" s="72">
        <f t="shared" si="1"/>
        <v>4474.708871</v>
      </c>
      <c r="F386" s="72">
        <f t="shared" si="2"/>
        <v>451945.596</v>
      </c>
      <c r="G386" s="79" t="str">
        <f t="shared" si="5"/>
        <v/>
      </c>
      <c r="H386" s="81"/>
      <c r="I386" s="75" t="str">
        <f t="shared" si="6"/>
        <v/>
      </c>
      <c r="J386" s="80">
        <f t="shared" si="7"/>
        <v>441945.596</v>
      </c>
      <c r="K386" s="77" t="str">
        <f t="shared" si="3"/>
        <v/>
      </c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</row>
    <row r="387" ht="15.75" customHeight="1">
      <c r="A387" s="68" t="s">
        <v>2462</v>
      </c>
      <c r="B387" s="69"/>
      <c r="C387" s="72">
        <f t="shared" si="4"/>
        <v>451945.596</v>
      </c>
      <c r="D387" s="71">
        <v>0.01</v>
      </c>
      <c r="E387" s="72">
        <f t="shared" si="1"/>
        <v>4519.45596</v>
      </c>
      <c r="F387" s="72">
        <f t="shared" si="2"/>
        <v>456465.052</v>
      </c>
      <c r="G387" s="79" t="str">
        <f t="shared" si="5"/>
        <v/>
      </c>
      <c r="H387" s="81"/>
      <c r="I387" s="75" t="str">
        <f t="shared" si="6"/>
        <v/>
      </c>
      <c r="J387" s="80">
        <f t="shared" si="7"/>
        <v>446465.052</v>
      </c>
      <c r="K387" s="77" t="str">
        <f t="shared" si="3"/>
        <v/>
      </c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</row>
    <row r="388" ht="15.75" customHeight="1">
      <c r="A388" s="68" t="s">
        <v>2463</v>
      </c>
      <c r="B388" s="69"/>
      <c r="C388" s="72">
        <f t="shared" si="4"/>
        <v>456465.052</v>
      </c>
      <c r="D388" s="71">
        <v>0.01</v>
      </c>
      <c r="E388" s="72">
        <f t="shared" si="1"/>
        <v>4564.65052</v>
      </c>
      <c r="F388" s="72">
        <f t="shared" si="2"/>
        <v>461029.7025</v>
      </c>
      <c r="G388" s="79" t="str">
        <f t="shared" si="5"/>
        <v/>
      </c>
      <c r="H388" s="81"/>
      <c r="I388" s="75" t="str">
        <f t="shared" si="6"/>
        <v/>
      </c>
      <c r="J388" s="80">
        <f t="shared" si="7"/>
        <v>451029.7025</v>
      </c>
      <c r="K388" s="77" t="str">
        <f t="shared" si="3"/>
        <v/>
      </c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</row>
    <row r="389" ht="15.75" customHeight="1">
      <c r="A389" s="68" t="s">
        <v>2464</v>
      </c>
      <c r="B389" s="69"/>
      <c r="C389" s="72">
        <f t="shared" si="4"/>
        <v>461029.7025</v>
      </c>
      <c r="D389" s="71">
        <v>0.01</v>
      </c>
      <c r="E389" s="72">
        <f t="shared" si="1"/>
        <v>4610.297025</v>
      </c>
      <c r="F389" s="72">
        <f t="shared" si="2"/>
        <v>465639.9995</v>
      </c>
      <c r="G389" s="79" t="str">
        <f t="shared" si="5"/>
        <v/>
      </c>
      <c r="H389" s="81"/>
      <c r="I389" s="75" t="str">
        <f t="shared" si="6"/>
        <v/>
      </c>
      <c r="J389" s="80">
        <f t="shared" si="7"/>
        <v>455639.9995</v>
      </c>
      <c r="K389" s="77" t="str">
        <f t="shared" si="3"/>
        <v/>
      </c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</row>
    <row r="390" ht="15.75" customHeight="1">
      <c r="A390" s="68" t="s">
        <v>2465</v>
      </c>
      <c r="B390" s="69"/>
      <c r="C390" s="72">
        <f t="shared" si="4"/>
        <v>465639.9995</v>
      </c>
      <c r="D390" s="71">
        <v>0.01</v>
      </c>
      <c r="E390" s="72">
        <f t="shared" si="1"/>
        <v>4656.399995</v>
      </c>
      <c r="F390" s="72">
        <f t="shared" si="2"/>
        <v>470296.3995</v>
      </c>
      <c r="G390" s="79" t="str">
        <f t="shared" si="5"/>
        <v/>
      </c>
      <c r="H390" s="81"/>
      <c r="I390" s="75" t="str">
        <f t="shared" si="6"/>
        <v/>
      </c>
      <c r="J390" s="80">
        <f t="shared" si="7"/>
        <v>460296.3995</v>
      </c>
      <c r="K390" s="77" t="str">
        <f t="shared" si="3"/>
        <v/>
      </c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</row>
    <row r="391" ht="15.75" customHeight="1">
      <c r="A391" s="68" t="s">
        <v>2466</v>
      </c>
      <c r="B391" s="69"/>
      <c r="C391" s="72">
        <f t="shared" si="4"/>
        <v>470296.3995</v>
      </c>
      <c r="D391" s="71">
        <v>0.01</v>
      </c>
      <c r="E391" s="72">
        <f t="shared" si="1"/>
        <v>4702.963995</v>
      </c>
      <c r="F391" s="72">
        <f t="shared" si="2"/>
        <v>474999.3635</v>
      </c>
      <c r="G391" s="79" t="str">
        <f t="shared" si="5"/>
        <v/>
      </c>
      <c r="H391" s="81"/>
      <c r="I391" s="75" t="str">
        <f t="shared" si="6"/>
        <v/>
      </c>
      <c r="J391" s="80">
        <f t="shared" si="7"/>
        <v>464999.3635</v>
      </c>
      <c r="K391" s="77" t="str">
        <f t="shared" si="3"/>
        <v/>
      </c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</row>
    <row r="392" ht="15.75" customHeight="1">
      <c r="A392" s="68" t="s">
        <v>2467</v>
      </c>
      <c r="B392" s="69"/>
      <c r="C392" s="72">
        <f t="shared" si="4"/>
        <v>474999.3635</v>
      </c>
      <c r="D392" s="71">
        <v>0.01</v>
      </c>
      <c r="E392" s="72">
        <f t="shared" si="1"/>
        <v>4749.993635</v>
      </c>
      <c r="F392" s="72">
        <f t="shared" si="2"/>
        <v>479749.3571</v>
      </c>
      <c r="G392" s="79" t="str">
        <f t="shared" si="5"/>
        <v/>
      </c>
      <c r="H392" s="81"/>
      <c r="I392" s="75" t="str">
        <f t="shared" si="6"/>
        <v/>
      </c>
      <c r="J392" s="80">
        <f t="shared" si="7"/>
        <v>469749.3571</v>
      </c>
      <c r="K392" s="77" t="str">
        <f t="shared" si="3"/>
        <v/>
      </c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</row>
    <row r="393" ht="15.75" customHeight="1">
      <c r="A393" s="68" t="s">
        <v>2468</v>
      </c>
      <c r="B393" s="69"/>
      <c r="C393" s="72">
        <f t="shared" si="4"/>
        <v>479749.3571</v>
      </c>
      <c r="D393" s="71">
        <v>0.01</v>
      </c>
      <c r="E393" s="72">
        <f t="shared" si="1"/>
        <v>4797.493571</v>
      </c>
      <c r="F393" s="72">
        <f t="shared" si="2"/>
        <v>484546.8507</v>
      </c>
      <c r="G393" s="79" t="str">
        <f t="shared" si="5"/>
        <v/>
      </c>
      <c r="H393" s="81"/>
      <c r="I393" s="75" t="str">
        <f t="shared" si="6"/>
        <v/>
      </c>
      <c r="J393" s="80">
        <f t="shared" si="7"/>
        <v>474546.8507</v>
      </c>
      <c r="K393" s="77" t="str">
        <f t="shared" si="3"/>
        <v/>
      </c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</row>
    <row r="394" ht="15.75" customHeight="1">
      <c r="A394" s="68" t="s">
        <v>2469</v>
      </c>
      <c r="B394" s="69"/>
      <c r="C394" s="72">
        <f t="shared" si="4"/>
        <v>484546.8507</v>
      </c>
      <c r="D394" s="71">
        <v>0.01</v>
      </c>
      <c r="E394" s="72">
        <f t="shared" si="1"/>
        <v>4845.468507</v>
      </c>
      <c r="F394" s="72">
        <f t="shared" si="2"/>
        <v>489392.3192</v>
      </c>
      <c r="G394" s="79" t="str">
        <f t="shared" si="5"/>
        <v/>
      </c>
      <c r="H394" s="81"/>
      <c r="I394" s="75" t="str">
        <f t="shared" si="6"/>
        <v/>
      </c>
      <c r="J394" s="80">
        <f t="shared" si="7"/>
        <v>479392.3192</v>
      </c>
      <c r="K394" s="77" t="str">
        <f t="shared" si="3"/>
        <v/>
      </c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</row>
    <row r="395" ht="15.75" customHeight="1">
      <c r="A395" s="68" t="s">
        <v>2470</v>
      </c>
      <c r="B395" s="69"/>
      <c r="C395" s="72">
        <f t="shared" si="4"/>
        <v>489392.3192</v>
      </c>
      <c r="D395" s="71">
        <v>0.01</v>
      </c>
      <c r="E395" s="72">
        <f t="shared" si="1"/>
        <v>4893.923192</v>
      </c>
      <c r="F395" s="72">
        <f t="shared" si="2"/>
        <v>494286.2424</v>
      </c>
      <c r="G395" s="79" t="str">
        <f t="shared" si="5"/>
        <v/>
      </c>
      <c r="H395" s="81"/>
      <c r="I395" s="75" t="str">
        <f t="shared" si="6"/>
        <v/>
      </c>
      <c r="J395" s="80">
        <f t="shared" si="7"/>
        <v>484286.2424</v>
      </c>
      <c r="K395" s="77" t="str">
        <f t="shared" si="3"/>
        <v/>
      </c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</row>
    <row r="396" ht="15.75" customHeight="1">
      <c r="A396" s="68" t="s">
        <v>2471</v>
      </c>
      <c r="B396" s="69"/>
      <c r="C396" s="72">
        <f t="shared" si="4"/>
        <v>494286.2424</v>
      </c>
      <c r="D396" s="71">
        <v>0.01</v>
      </c>
      <c r="E396" s="72">
        <f t="shared" si="1"/>
        <v>4942.862424</v>
      </c>
      <c r="F396" s="72">
        <f t="shared" si="2"/>
        <v>499229.1048</v>
      </c>
      <c r="G396" s="79" t="str">
        <f t="shared" si="5"/>
        <v/>
      </c>
      <c r="H396" s="81"/>
      <c r="I396" s="75" t="str">
        <f t="shared" si="6"/>
        <v/>
      </c>
      <c r="J396" s="80">
        <f t="shared" si="7"/>
        <v>489229.1048</v>
      </c>
      <c r="K396" s="77" t="str">
        <f t="shared" si="3"/>
        <v/>
      </c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</row>
    <row r="397" ht="15.75" customHeight="1">
      <c r="A397" s="68" t="s">
        <v>2472</v>
      </c>
      <c r="B397" s="69"/>
      <c r="C397" s="72">
        <f t="shared" si="4"/>
        <v>499229.1048</v>
      </c>
      <c r="D397" s="71">
        <v>0.01</v>
      </c>
      <c r="E397" s="72">
        <f t="shared" si="1"/>
        <v>4992.291048</v>
      </c>
      <c r="F397" s="72">
        <f t="shared" si="2"/>
        <v>504221.3959</v>
      </c>
      <c r="G397" s="79" t="str">
        <f t="shared" si="5"/>
        <v/>
      </c>
      <c r="H397" s="81"/>
      <c r="I397" s="75" t="str">
        <f t="shared" si="6"/>
        <v/>
      </c>
      <c r="J397" s="80">
        <f t="shared" si="7"/>
        <v>494221.3959</v>
      </c>
      <c r="K397" s="77" t="str">
        <f t="shared" si="3"/>
        <v/>
      </c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</row>
    <row r="398" ht="15.75" customHeight="1">
      <c r="A398" s="68" t="s">
        <v>2473</v>
      </c>
      <c r="B398" s="69"/>
      <c r="C398" s="72">
        <f t="shared" si="4"/>
        <v>504221.3959</v>
      </c>
      <c r="D398" s="71">
        <v>0.01</v>
      </c>
      <c r="E398" s="72">
        <f t="shared" si="1"/>
        <v>5042.213959</v>
      </c>
      <c r="F398" s="72">
        <f t="shared" si="2"/>
        <v>509263.6098</v>
      </c>
      <c r="G398" s="79" t="str">
        <f t="shared" si="5"/>
        <v/>
      </c>
      <c r="H398" s="81"/>
      <c r="I398" s="75" t="str">
        <f t="shared" si="6"/>
        <v/>
      </c>
      <c r="J398" s="80">
        <f t="shared" si="7"/>
        <v>499263.6098</v>
      </c>
      <c r="K398" s="77" t="str">
        <f t="shared" si="3"/>
        <v/>
      </c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</row>
    <row r="399" ht="15.75" customHeight="1">
      <c r="A399" s="68" t="s">
        <v>2474</v>
      </c>
      <c r="B399" s="69"/>
      <c r="C399" s="72">
        <f t="shared" si="4"/>
        <v>509263.6098</v>
      </c>
      <c r="D399" s="71">
        <v>0.01</v>
      </c>
      <c r="E399" s="72">
        <f t="shared" si="1"/>
        <v>5092.636098</v>
      </c>
      <c r="F399" s="72">
        <f t="shared" si="2"/>
        <v>514356.2459</v>
      </c>
      <c r="G399" s="79" t="str">
        <f t="shared" si="5"/>
        <v/>
      </c>
      <c r="H399" s="81"/>
      <c r="I399" s="75" t="str">
        <f t="shared" si="6"/>
        <v/>
      </c>
      <c r="J399" s="80">
        <f t="shared" si="7"/>
        <v>504356.2459</v>
      </c>
      <c r="K399" s="77" t="str">
        <f t="shared" si="3"/>
        <v/>
      </c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</row>
    <row r="400" ht="15.75" customHeight="1">
      <c r="A400" s="68" t="s">
        <v>2475</v>
      </c>
      <c r="B400" s="69"/>
      <c r="C400" s="72">
        <f t="shared" si="4"/>
        <v>514356.2459</v>
      </c>
      <c r="D400" s="71">
        <v>0.01</v>
      </c>
      <c r="E400" s="72">
        <f t="shared" si="1"/>
        <v>5143.562459</v>
      </c>
      <c r="F400" s="72">
        <f t="shared" si="2"/>
        <v>519499.8084</v>
      </c>
      <c r="G400" s="79" t="str">
        <f t="shared" si="5"/>
        <v/>
      </c>
      <c r="H400" s="81"/>
      <c r="I400" s="75" t="str">
        <f t="shared" si="6"/>
        <v/>
      </c>
      <c r="J400" s="80">
        <f t="shared" si="7"/>
        <v>509499.8084</v>
      </c>
      <c r="K400" s="77" t="str">
        <f t="shared" si="3"/>
        <v/>
      </c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</row>
    <row r="401" ht="15.75" customHeight="1">
      <c r="A401" s="68" t="s">
        <v>2476</v>
      </c>
      <c r="B401" s="69"/>
      <c r="C401" s="72">
        <f t="shared" si="4"/>
        <v>519499.8084</v>
      </c>
      <c r="D401" s="71">
        <v>0.01</v>
      </c>
      <c r="E401" s="72">
        <f t="shared" si="1"/>
        <v>5194.998084</v>
      </c>
      <c r="F401" s="72">
        <f t="shared" si="2"/>
        <v>524694.8065</v>
      </c>
      <c r="G401" s="79" t="str">
        <f t="shared" si="5"/>
        <v/>
      </c>
      <c r="H401" s="81"/>
      <c r="I401" s="75" t="str">
        <f t="shared" si="6"/>
        <v/>
      </c>
      <c r="J401" s="80">
        <f t="shared" si="7"/>
        <v>514694.8065</v>
      </c>
      <c r="K401" s="77" t="str">
        <f t="shared" si="3"/>
        <v/>
      </c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</row>
    <row r="402" ht="15.75" customHeight="1">
      <c r="A402" s="68" t="s">
        <v>2477</v>
      </c>
      <c r="B402" s="69"/>
      <c r="C402" s="72">
        <f t="shared" si="4"/>
        <v>524694.8065</v>
      </c>
      <c r="D402" s="71">
        <v>0.01</v>
      </c>
      <c r="E402" s="72">
        <f t="shared" si="1"/>
        <v>5246.948065</v>
      </c>
      <c r="F402" s="72">
        <f t="shared" si="2"/>
        <v>529941.7545</v>
      </c>
      <c r="G402" s="79" t="str">
        <f t="shared" si="5"/>
        <v/>
      </c>
      <c r="H402" s="81"/>
      <c r="I402" s="75" t="str">
        <f t="shared" si="6"/>
        <v/>
      </c>
      <c r="J402" s="80">
        <f t="shared" si="7"/>
        <v>519941.7545</v>
      </c>
      <c r="K402" s="77" t="str">
        <f t="shared" si="3"/>
        <v/>
      </c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</row>
    <row r="403" ht="15.75" customHeight="1">
      <c r="A403" s="68" t="s">
        <v>2478</v>
      </c>
      <c r="B403" s="69"/>
      <c r="C403" s="72">
        <f t="shared" si="4"/>
        <v>529941.7545</v>
      </c>
      <c r="D403" s="71">
        <v>0.01</v>
      </c>
      <c r="E403" s="72">
        <f t="shared" si="1"/>
        <v>5299.417545</v>
      </c>
      <c r="F403" s="72">
        <f t="shared" si="2"/>
        <v>535241.1721</v>
      </c>
      <c r="G403" s="79" t="str">
        <f t="shared" si="5"/>
        <v/>
      </c>
      <c r="H403" s="81"/>
      <c r="I403" s="75" t="str">
        <f t="shared" si="6"/>
        <v/>
      </c>
      <c r="J403" s="80">
        <f t="shared" si="7"/>
        <v>525241.1721</v>
      </c>
      <c r="K403" s="77" t="str">
        <f t="shared" si="3"/>
        <v/>
      </c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</row>
    <row r="404" ht="15.75" customHeight="1">
      <c r="A404" s="68" t="s">
        <v>2479</v>
      </c>
      <c r="B404" s="69"/>
      <c r="C404" s="72">
        <f t="shared" si="4"/>
        <v>535241.1721</v>
      </c>
      <c r="D404" s="71">
        <v>0.01</v>
      </c>
      <c r="E404" s="72">
        <f t="shared" si="1"/>
        <v>5352.411721</v>
      </c>
      <c r="F404" s="72">
        <f t="shared" si="2"/>
        <v>540593.5838</v>
      </c>
      <c r="G404" s="79" t="str">
        <f t="shared" si="5"/>
        <v/>
      </c>
      <c r="H404" s="81"/>
      <c r="I404" s="75" t="str">
        <f t="shared" si="6"/>
        <v/>
      </c>
      <c r="J404" s="80">
        <f t="shared" si="7"/>
        <v>530593.5838</v>
      </c>
      <c r="K404" s="77" t="str">
        <f t="shared" si="3"/>
        <v/>
      </c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</row>
    <row r="405" ht="15.75" customHeight="1">
      <c r="A405" s="68" t="s">
        <v>2480</v>
      </c>
      <c r="B405" s="69"/>
      <c r="C405" s="72">
        <f t="shared" si="4"/>
        <v>540593.5838</v>
      </c>
      <c r="D405" s="71">
        <v>0.01</v>
      </c>
      <c r="E405" s="72">
        <f t="shared" si="1"/>
        <v>5405.935838</v>
      </c>
      <c r="F405" s="72">
        <f t="shared" si="2"/>
        <v>545999.5196</v>
      </c>
      <c r="G405" s="79" t="str">
        <f t="shared" si="5"/>
        <v/>
      </c>
      <c r="H405" s="81"/>
      <c r="I405" s="75" t="str">
        <f t="shared" si="6"/>
        <v/>
      </c>
      <c r="J405" s="80">
        <f t="shared" si="7"/>
        <v>535999.5196</v>
      </c>
      <c r="K405" s="77" t="str">
        <f t="shared" si="3"/>
        <v/>
      </c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</row>
    <row r="406" ht="15.75" customHeight="1">
      <c r="A406" s="68" t="s">
        <v>2481</v>
      </c>
      <c r="B406" s="69"/>
      <c r="C406" s="72">
        <f t="shared" si="4"/>
        <v>545999.5196</v>
      </c>
      <c r="D406" s="71">
        <v>0.01</v>
      </c>
      <c r="E406" s="72">
        <f t="shared" si="1"/>
        <v>5459.995196</v>
      </c>
      <c r="F406" s="72">
        <f t="shared" si="2"/>
        <v>551459.5148</v>
      </c>
      <c r="G406" s="79" t="str">
        <f t="shared" si="5"/>
        <v/>
      </c>
      <c r="H406" s="81"/>
      <c r="I406" s="75" t="str">
        <f t="shared" si="6"/>
        <v/>
      </c>
      <c r="J406" s="80">
        <f t="shared" si="7"/>
        <v>541459.5148</v>
      </c>
      <c r="K406" s="77" t="str">
        <f t="shared" si="3"/>
        <v/>
      </c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</row>
    <row r="407" ht="15.75" customHeight="1">
      <c r="A407" s="68" t="s">
        <v>2482</v>
      </c>
      <c r="B407" s="69"/>
      <c r="C407" s="72">
        <f t="shared" si="4"/>
        <v>551459.5148</v>
      </c>
      <c r="D407" s="71">
        <v>0.01</v>
      </c>
      <c r="E407" s="72">
        <f t="shared" si="1"/>
        <v>5514.595148</v>
      </c>
      <c r="F407" s="72">
        <f t="shared" si="2"/>
        <v>556974.11</v>
      </c>
      <c r="G407" s="79" t="str">
        <f t="shared" si="5"/>
        <v/>
      </c>
      <c r="H407" s="81"/>
      <c r="I407" s="75" t="str">
        <f t="shared" si="6"/>
        <v/>
      </c>
      <c r="J407" s="80">
        <f t="shared" si="7"/>
        <v>546974.11</v>
      </c>
      <c r="K407" s="77" t="str">
        <f t="shared" si="3"/>
        <v/>
      </c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</row>
    <row r="408" ht="15.75" customHeight="1">
      <c r="A408" s="68" t="s">
        <v>2483</v>
      </c>
      <c r="B408" s="69"/>
      <c r="C408" s="72">
        <f t="shared" si="4"/>
        <v>556974.11</v>
      </c>
      <c r="D408" s="71">
        <v>0.01</v>
      </c>
      <c r="E408" s="72">
        <f t="shared" si="1"/>
        <v>5569.7411</v>
      </c>
      <c r="F408" s="72">
        <f t="shared" si="2"/>
        <v>562543.8511</v>
      </c>
      <c r="G408" s="79" t="str">
        <f t="shared" si="5"/>
        <v/>
      </c>
      <c r="H408" s="81"/>
      <c r="I408" s="75" t="str">
        <f t="shared" si="6"/>
        <v/>
      </c>
      <c r="J408" s="80">
        <f t="shared" si="7"/>
        <v>552543.8511</v>
      </c>
      <c r="K408" s="77" t="str">
        <f t="shared" si="3"/>
        <v/>
      </c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</row>
    <row r="409" ht="15.75" customHeight="1">
      <c r="A409" s="68" t="s">
        <v>2484</v>
      </c>
      <c r="B409" s="69"/>
      <c r="C409" s="72">
        <f t="shared" si="4"/>
        <v>562543.8511</v>
      </c>
      <c r="D409" s="71">
        <v>0.01</v>
      </c>
      <c r="E409" s="72">
        <f t="shared" si="1"/>
        <v>5625.438511</v>
      </c>
      <c r="F409" s="72">
        <f t="shared" si="2"/>
        <v>568169.2896</v>
      </c>
      <c r="G409" s="79" t="str">
        <f t="shared" si="5"/>
        <v/>
      </c>
      <c r="H409" s="81"/>
      <c r="I409" s="75" t="str">
        <f t="shared" si="6"/>
        <v/>
      </c>
      <c r="J409" s="80">
        <f t="shared" si="7"/>
        <v>558169.2896</v>
      </c>
      <c r="K409" s="77" t="str">
        <f t="shared" si="3"/>
        <v/>
      </c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</row>
    <row r="410" ht="15.75" customHeight="1">
      <c r="A410" s="68" t="s">
        <v>2485</v>
      </c>
      <c r="B410" s="69"/>
      <c r="C410" s="72">
        <f t="shared" si="4"/>
        <v>568169.2896</v>
      </c>
      <c r="D410" s="71">
        <v>0.01</v>
      </c>
      <c r="E410" s="72">
        <f t="shared" si="1"/>
        <v>5681.692896</v>
      </c>
      <c r="F410" s="72">
        <f t="shared" si="2"/>
        <v>573850.9825</v>
      </c>
      <c r="G410" s="79" t="str">
        <f t="shared" si="5"/>
        <v/>
      </c>
      <c r="H410" s="81"/>
      <c r="I410" s="75" t="str">
        <f t="shared" si="6"/>
        <v/>
      </c>
      <c r="J410" s="80">
        <f t="shared" si="7"/>
        <v>563850.9825</v>
      </c>
      <c r="K410" s="77" t="str">
        <f t="shared" si="3"/>
        <v/>
      </c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</row>
    <row r="411" ht="15.75" customHeight="1">
      <c r="A411" s="68" t="s">
        <v>2486</v>
      </c>
      <c r="B411" s="69"/>
      <c r="C411" s="72">
        <f t="shared" si="4"/>
        <v>573850.9825</v>
      </c>
      <c r="D411" s="71">
        <v>0.01</v>
      </c>
      <c r="E411" s="72">
        <f t="shared" si="1"/>
        <v>5738.509825</v>
      </c>
      <c r="F411" s="72">
        <f t="shared" si="2"/>
        <v>579589.4923</v>
      </c>
      <c r="G411" s="79" t="str">
        <f t="shared" si="5"/>
        <v/>
      </c>
      <c r="H411" s="81"/>
      <c r="I411" s="75" t="str">
        <f t="shared" si="6"/>
        <v/>
      </c>
      <c r="J411" s="80">
        <f t="shared" si="7"/>
        <v>569589.4923</v>
      </c>
      <c r="K411" s="77" t="str">
        <f t="shared" si="3"/>
        <v/>
      </c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</row>
    <row r="412" ht="15.75" customHeight="1">
      <c r="A412" s="68" t="s">
        <v>2487</v>
      </c>
      <c r="B412" s="69"/>
      <c r="C412" s="72">
        <f t="shared" si="4"/>
        <v>579589.4923</v>
      </c>
      <c r="D412" s="71">
        <v>0.01</v>
      </c>
      <c r="E412" s="72">
        <f t="shared" si="1"/>
        <v>5795.894923</v>
      </c>
      <c r="F412" s="72">
        <f t="shared" si="2"/>
        <v>585385.3872</v>
      </c>
      <c r="G412" s="79" t="str">
        <f t="shared" si="5"/>
        <v/>
      </c>
      <c r="H412" s="81"/>
      <c r="I412" s="75" t="str">
        <f t="shared" si="6"/>
        <v/>
      </c>
      <c r="J412" s="80">
        <f t="shared" si="7"/>
        <v>575385.3872</v>
      </c>
      <c r="K412" s="77" t="str">
        <f t="shared" si="3"/>
        <v/>
      </c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</row>
    <row r="413" ht="15.75" customHeight="1">
      <c r="A413" s="68" t="s">
        <v>2488</v>
      </c>
      <c r="B413" s="69"/>
      <c r="C413" s="72">
        <f t="shared" si="4"/>
        <v>585385.3872</v>
      </c>
      <c r="D413" s="71">
        <v>0.01</v>
      </c>
      <c r="E413" s="72">
        <f t="shared" si="1"/>
        <v>5853.853872</v>
      </c>
      <c r="F413" s="72">
        <f t="shared" si="2"/>
        <v>591239.2411</v>
      </c>
      <c r="G413" s="79" t="str">
        <f t="shared" si="5"/>
        <v/>
      </c>
      <c r="H413" s="81"/>
      <c r="I413" s="75" t="str">
        <f t="shared" si="6"/>
        <v/>
      </c>
      <c r="J413" s="80">
        <f t="shared" si="7"/>
        <v>581239.2411</v>
      </c>
      <c r="K413" s="77" t="str">
        <f t="shared" si="3"/>
        <v/>
      </c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</row>
    <row r="414" ht="15.75" customHeight="1">
      <c r="A414" s="68" t="s">
        <v>2489</v>
      </c>
      <c r="B414" s="69"/>
      <c r="C414" s="72">
        <f t="shared" si="4"/>
        <v>591239.2411</v>
      </c>
      <c r="D414" s="71">
        <v>0.01</v>
      </c>
      <c r="E414" s="72">
        <f t="shared" si="1"/>
        <v>5912.392411</v>
      </c>
      <c r="F414" s="72">
        <f t="shared" si="2"/>
        <v>597151.6335</v>
      </c>
      <c r="G414" s="79" t="str">
        <f t="shared" si="5"/>
        <v/>
      </c>
      <c r="H414" s="81"/>
      <c r="I414" s="75" t="str">
        <f t="shared" si="6"/>
        <v/>
      </c>
      <c r="J414" s="80">
        <f t="shared" si="7"/>
        <v>587151.6335</v>
      </c>
      <c r="K414" s="77" t="str">
        <f t="shared" si="3"/>
        <v/>
      </c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</row>
    <row r="415" ht="15.75" customHeight="1">
      <c r="A415" s="68" t="s">
        <v>2490</v>
      </c>
      <c r="B415" s="69"/>
      <c r="C415" s="72">
        <f t="shared" si="4"/>
        <v>597151.6335</v>
      </c>
      <c r="D415" s="71">
        <v>0.01</v>
      </c>
      <c r="E415" s="72">
        <f t="shared" si="1"/>
        <v>5971.516335</v>
      </c>
      <c r="F415" s="72">
        <f t="shared" si="2"/>
        <v>603123.1499</v>
      </c>
      <c r="G415" s="79" t="str">
        <f t="shared" si="5"/>
        <v/>
      </c>
      <c r="H415" s="81"/>
      <c r="I415" s="75" t="str">
        <f t="shared" si="6"/>
        <v/>
      </c>
      <c r="J415" s="80">
        <f t="shared" si="7"/>
        <v>593123.1499</v>
      </c>
      <c r="K415" s="77" t="str">
        <f t="shared" si="3"/>
        <v/>
      </c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</row>
    <row r="416" ht="15.75" customHeight="1">
      <c r="A416" s="68" t="s">
        <v>2491</v>
      </c>
      <c r="B416" s="69"/>
      <c r="C416" s="72">
        <f t="shared" si="4"/>
        <v>603123.1499</v>
      </c>
      <c r="D416" s="71">
        <v>0.01</v>
      </c>
      <c r="E416" s="72">
        <f t="shared" si="1"/>
        <v>6031.231499</v>
      </c>
      <c r="F416" s="72">
        <f t="shared" si="2"/>
        <v>609154.3814</v>
      </c>
      <c r="G416" s="79" t="str">
        <f t="shared" si="5"/>
        <v/>
      </c>
      <c r="H416" s="81"/>
      <c r="I416" s="75" t="str">
        <f t="shared" si="6"/>
        <v/>
      </c>
      <c r="J416" s="80">
        <f t="shared" si="7"/>
        <v>599154.3814</v>
      </c>
      <c r="K416" s="77" t="str">
        <f t="shared" si="3"/>
        <v/>
      </c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</row>
    <row r="417" ht="15.75" customHeight="1">
      <c r="A417" s="68" t="s">
        <v>2492</v>
      </c>
      <c r="B417" s="69"/>
      <c r="C417" s="72">
        <f t="shared" si="4"/>
        <v>609154.3814</v>
      </c>
      <c r="D417" s="71">
        <v>0.01</v>
      </c>
      <c r="E417" s="72">
        <f t="shared" si="1"/>
        <v>6091.543814</v>
      </c>
      <c r="F417" s="72">
        <f t="shared" si="2"/>
        <v>615245.9252</v>
      </c>
      <c r="G417" s="79" t="str">
        <f t="shared" si="5"/>
        <v/>
      </c>
      <c r="H417" s="81"/>
      <c r="I417" s="75" t="str">
        <f t="shared" si="6"/>
        <v/>
      </c>
      <c r="J417" s="80">
        <f t="shared" si="7"/>
        <v>605245.9252</v>
      </c>
      <c r="K417" s="77" t="str">
        <f t="shared" si="3"/>
        <v/>
      </c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</row>
    <row r="418" ht="15.75" customHeight="1">
      <c r="A418" s="68" t="s">
        <v>2493</v>
      </c>
      <c r="B418" s="69"/>
      <c r="C418" s="72">
        <f t="shared" si="4"/>
        <v>615245.9252</v>
      </c>
      <c r="D418" s="71">
        <v>0.01</v>
      </c>
      <c r="E418" s="72">
        <f t="shared" si="1"/>
        <v>6152.459252</v>
      </c>
      <c r="F418" s="72">
        <f t="shared" si="2"/>
        <v>621398.3844</v>
      </c>
      <c r="G418" s="79" t="str">
        <f t="shared" si="5"/>
        <v/>
      </c>
      <c r="H418" s="81"/>
      <c r="I418" s="75" t="str">
        <f t="shared" si="6"/>
        <v/>
      </c>
      <c r="J418" s="80">
        <f t="shared" si="7"/>
        <v>611398.3844</v>
      </c>
      <c r="K418" s="77" t="str">
        <f t="shared" si="3"/>
        <v/>
      </c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</row>
    <row r="419" ht="15.75" customHeight="1">
      <c r="A419" s="68" t="s">
        <v>2494</v>
      </c>
      <c r="B419" s="69"/>
      <c r="C419" s="72">
        <f t="shared" si="4"/>
        <v>621398.3844</v>
      </c>
      <c r="D419" s="71">
        <v>0.01</v>
      </c>
      <c r="E419" s="72">
        <f t="shared" si="1"/>
        <v>6213.983844</v>
      </c>
      <c r="F419" s="72">
        <f t="shared" si="2"/>
        <v>627612.3683</v>
      </c>
      <c r="G419" s="79" t="str">
        <f t="shared" si="5"/>
        <v/>
      </c>
      <c r="H419" s="81"/>
      <c r="I419" s="75" t="str">
        <f t="shared" si="6"/>
        <v/>
      </c>
      <c r="J419" s="80">
        <f t="shared" si="7"/>
        <v>617612.3683</v>
      </c>
      <c r="K419" s="77" t="str">
        <f t="shared" si="3"/>
        <v/>
      </c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</row>
    <row r="420" ht="15.75" customHeight="1">
      <c r="A420" s="68" t="s">
        <v>2495</v>
      </c>
      <c r="B420" s="69"/>
      <c r="C420" s="72">
        <f t="shared" si="4"/>
        <v>627612.3683</v>
      </c>
      <c r="D420" s="71">
        <v>0.01</v>
      </c>
      <c r="E420" s="72">
        <f t="shared" si="1"/>
        <v>6276.123683</v>
      </c>
      <c r="F420" s="72">
        <f t="shared" si="2"/>
        <v>633888.492</v>
      </c>
      <c r="G420" s="79" t="str">
        <f t="shared" si="5"/>
        <v/>
      </c>
      <c r="H420" s="81"/>
      <c r="I420" s="75" t="str">
        <f t="shared" si="6"/>
        <v/>
      </c>
      <c r="J420" s="80">
        <f t="shared" si="7"/>
        <v>623888.492</v>
      </c>
      <c r="K420" s="77" t="str">
        <f t="shared" si="3"/>
        <v/>
      </c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</row>
    <row r="421" ht="15.75" customHeight="1">
      <c r="A421" s="68" t="s">
        <v>2496</v>
      </c>
      <c r="B421" s="69"/>
      <c r="C421" s="72">
        <f t="shared" si="4"/>
        <v>633888.492</v>
      </c>
      <c r="D421" s="71">
        <v>0.01</v>
      </c>
      <c r="E421" s="72">
        <f t="shared" si="1"/>
        <v>6338.88492</v>
      </c>
      <c r="F421" s="72">
        <f t="shared" si="2"/>
        <v>640227.3769</v>
      </c>
      <c r="G421" s="79" t="str">
        <f t="shared" si="5"/>
        <v/>
      </c>
      <c r="H421" s="81"/>
      <c r="I421" s="75" t="str">
        <f t="shared" si="6"/>
        <v/>
      </c>
      <c r="J421" s="80">
        <f t="shared" si="7"/>
        <v>630227.3769</v>
      </c>
      <c r="K421" s="77" t="str">
        <f t="shared" si="3"/>
        <v/>
      </c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</row>
    <row r="422" ht="15.75" customHeight="1">
      <c r="A422" s="68" t="s">
        <v>2497</v>
      </c>
      <c r="B422" s="69"/>
      <c r="C422" s="72">
        <f t="shared" si="4"/>
        <v>640227.3769</v>
      </c>
      <c r="D422" s="71">
        <v>0.01</v>
      </c>
      <c r="E422" s="72">
        <f t="shared" si="1"/>
        <v>6402.273769</v>
      </c>
      <c r="F422" s="72">
        <f t="shared" si="2"/>
        <v>646629.6506</v>
      </c>
      <c r="G422" s="79" t="str">
        <f t="shared" si="5"/>
        <v/>
      </c>
      <c r="H422" s="81"/>
      <c r="I422" s="75" t="str">
        <f t="shared" si="6"/>
        <v/>
      </c>
      <c r="J422" s="80">
        <f t="shared" si="7"/>
        <v>636629.6506</v>
      </c>
      <c r="K422" s="77" t="str">
        <f t="shared" si="3"/>
        <v/>
      </c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</row>
    <row r="423" ht="15.75" customHeight="1">
      <c r="A423" s="68" t="s">
        <v>2498</v>
      </c>
      <c r="B423" s="69"/>
      <c r="C423" s="72">
        <f t="shared" si="4"/>
        <v>646629.6506</v>
      </c>
      <c r="D423" s="71">
        <v>0.01</v>
      </c>
      <c r="E423" s="72">
        <f t="shared" si="1"/>
        <v>6466.296506</v>
      </c>
      <c r="F423" s="72">
        <f t="shared" si="2"/>
        <v>653095.9471</v>
      </c>
      <c r="G423" s="79" t="str">
        <f t="shared" si="5"/>
        <v/>
      </c>
      <c r="H423" s="81"/>
      <c r="I423" s="75" t="str">
        <f t="shared" si="6"/>
        <v/>
      </c>
      <c r="J423" s="80">
        <f t="shared" si="7"/>
        <v>643095.9471</v>
      </c>
      <c r="K423" s="77" t="str">
        <f t="shared" si="3"/>
        <v/>
      </c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</row>
    <row r="424" ht="15.75" customHeight="1">
      <c r="A424" s="68" t="s">
        <v>2499</v>
      </c>
      <c r="B424" s="69"/>
      <c r="C424" s="72">
        <f t="shared" si="4"/>
        <v>653095.9471</v>
      </c>
      <c r="D424" s="71">
        <v>0.01</v>
      </c>
      <c r="E424" s="72">
        <f t="shared" si="1"/>
        <v>6530.959471</v>
      </c>
      <c r="F424" s="72">
        <f t="shared" si="2"/>
        <v>659626.9066</v>
      </c>
      <c r="G424" s="79" t="str">
        <f t="shared" si="5"/>
        <v/>
      </c>
      <c r="H424" s="81"/>
      <c r="I424" s="75" t="str">
        <f t="shared" si="6"/>
        <v/>
      </c>
      <c r="J424" s="80">
        <f t="shared" si="7"/>
        <v>649626.9066</v>
      </c>
      <c r="K424" s="77" t="str">
        <f t="shared" si="3"/>
        <v/>
      </c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</row>
    <row r="425" ht="15.75" customHeight="1">
      <c r="A425" s="68" t="s">
        <v>2500</v>
      </c>
      <c r="B425" s="69"/>
      <c r="C425" s="72">
        <f t="shared" si="4"/>
        <v>659626.9066</v>
      </c>
      <c r="D425" s="71">
        <v>0.01</v>
      </c>
      <c r="E425" s="72">
        <f t="shared" si="1"/>
        <v>6596.269066</v>
      </c>
      <c r="F425" s="72">
        <f t="shared" si="2"/>
        <v>666223.1757</v>
      </c>
      <c r="G425" s="79" t="str">
        <f t="shared" si="5"/>
        <v/>
      </c>
      <c r="H425" s="81"/>
      <c r="I425" s="75" t="str">
        <f t="shared" si="6"/>
        <v/>
      </c>
      <c r="J425" s="80">
        <f t="shared" si="7"/>
        <v>656223.1757</v>
      </c>
      <c r="K425" s="77" t="str">
        <f t="shared" si="3"/>
        <v/>
      </c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</row>
    <row r="426" ht="15.75" customHeight="1">
      <c r="A426" s="68" t="s">
        <v>2501</v>
      </c>
      <c r="B426" s="69"/>
      <c r="C426" s="72">
        <f t="shared" si="4"/>
        <v>666223.1757</v>
      </c>
      <c r="D426" s="71">
        <v>0.01</v>
      </c>
      <c r="E426" s="72">
        <f t="shared" si="1"/>
        <v>6662.231757</v>
      </c>
      <c r="F426" s="72">
        <f t="shared" si="2"/>
        <v>672885.4074</v>
      </c>
      <c r="G426" s="79" t="str">
        <f t="shared" si="5"/>
        <v/>
      </c>
      <c r="H426" s="81"/>
      <c r="I426" s="75" t="str">
        <f t="shared" si="6"/>
        <v/>
      </c>
      <c r="J426" s="80">
        <f t="shared" si="7"/>
        <v>662885.4074</v>
      </c>
      <c r="K426" s="77" t="str">
        <f t="shared" si="3"/>
        <v/>
      </c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</row>
    <row r="427" ht="15.75" customHeight="1">
      <c r="A427" s="68" t="s">
        <v>2502</v>
      </c>
      <c r="B427" s="69"/>
      <c r="C427" s="72">
        <f t="shared" si="4"/>
        <v>672885.4074</v>
      </c>
      <c r="D427" s="71">
        <v>0.01</v>
      </c>
      <c r="E427" s="72">
        <f t="shared" si="1"/>
        <v>6728.854074</v>
      </c>
      <c r="F427" s="72">
        <f t="shared" si="2"/>
        <v>679614.2615</v>
      </c>
      <c r="G427" s="79" t="str">
        <f t="shared" si="5"/>
        <v/>
      </c>
      <c r="H427" s="81"/>
      <c r="I427" s="75" t="str">
        <f t="shared" si="6"/>
        <v/>
      </c>
      <c r="J427" s="80">
        <f t="shared" si="7"/>
        <v>669614.2615</v>
      </c>
      <c r="K427" s="77" t="str">
        <f t="shared" si="3"/>
        <v/>
      </c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</row>
    <row r="428" ht="15.75" customHeight="1">
      <c r="A428" s="68" t="s">
        <v>2503</v>
      </c>
      <c r="B428" s="69"/>
      <c r="C428" s="72">
        <f t="shared" si="4"/>
        <v>679614.2615</v>
      </c>
      <c r="D428" s="71">
        <v>0.01</v>
      </c>
      <c r="E428" s="72">
        <f t="shared" si="1"/>
        <v>6796.142615</v>
      </c>
      <c r="F428" s="72">
        <f t="shared" si="2"/>
        <v>686410.4041</v>
      </c>
      <c r="G428" s="79" t="str">
        <f t="shared" si="5"/>
        <v/>
      </c>
      <c r="H428" s="81"/>
      <c r="I428" s="75" t="str">
        <f t="shared" si="6"/>
        <v/>
      </c>
      <c r="J428" s="80">
        <f t="shared" si="7"/>
        <v>676410.4041</v>
      </c>
      <c r="K428" s="77" t="str">
        <f t="shared" si="3"/>
        <v/>
      </c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</row>
    <row r="429" ht="15.75" customHeight="1">
      <c r="A429" s="68" t="s">
        <v>2504</v>
      </c>
      <c r="B429" s="69"/>
      <c r="C429" s="72">
        <f t="shared" si="4"/>
        <v>686410.4041</v>
      </c>
      <c r="D429" s="71">
        <v>0.01</v>
      </c>
      <c r="E429" s="72">
        <f t="shared" si="1"/>
        <v>6864.104041</v>
      </c>
      <c r="F429" s="72">
        <f t="shared" si="2"/>
        <v>693274.5082</v>
      </c>
      <c r="G429" s="79" t="str">
        <f t="shared" si="5"/>
        <v/>
      </c>
      <c r="H429" s="81"/>
      <c r="I429" s="75" t="str">
        <f t="shared" si="6"/>
        <v/>
      </c>
      <c r="J429" s="80">
        <f t="shared" si="7"/>
        <v>683274.5082</v>
      </c>
      <c r="K429" s="77" t="str">
        <f t="shared" si="3"/>
        <v/>
      </c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</row>
    <row r="430" ht="15.75" customHeight="1">
      <c r="A430" s="68" t="s">
        <v>2505</v>
      </c>
      <c r="B430" s="69"/>
      <c r="C430" s="72">
        <f t="shared" si="4"/>
        <v>693274.5082</v>
      </c>
      <c r="D430" s="71">
        <v>0.01</v>
      </c>
      <c r="E430" s="72">
        <f t="shared" si="1"/>
        <v>6932.745082</v>
      </c>
      <c r="F430" s="72">
        <f t="shared" si="2"/>
        <v>700207.2533</v>
      </c>
      <c r="G430" s="79" t="str">
        <f t="shared" si="5"/>
        <v/>
      </c>
      <c r="H430" s="81"/>
      <c r="I430" s="75" t="str">
        <f t="shared" si="6"/>
        <v/>
      </c>
      <c r="J430" s="80">
        <f t="shared" si="7"/>
        <v>690207.2533</v>
      </c>
      <c r="K430" s="77" t="str">
        <f t="shared" si="3"/>
        <v/>
      </c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</row>
    <row r="431" ht="15.75" customHeight="1">
      <c r="A431" s="68" t="s">
        <v>2506</v>
      </c>
      <c r="B431" s="69"/>
      <c r="C431" s="72">
        <f t="shared" si="4"/>
        <v>700207.2533</v>
      </c>
      <c r="D431" s="71">
        <v>0.01</v>
      </c>
      <c r="E431" s="72">
        <f t="shared" si="1"/>
        <v>7002.072533</v>
      </c>
      <c r="F431" s="72">
        <f t="shared" si="2"/>
        <v>707209.3258</v>
      </c>
      <c r="G431" s="79" t="str">
        <f t="shared" si="5"/>
        <v/>
      </c>
      <c r="H431" s="81"/>
      <c r="I431" s="75" t="str">
        <f t="shared" si="6"/>
        <v/>
      </c>
      <c r="J431" s="80">
        <f t="shared" si="7"/>
        <v>697209.3258</v>
      </c>
      <c r="K431" s="77" t="str">
        <f t="shared" si="3"/>
        <v/>
      </c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</row>
    <row r="432" ht="15.75" customHeight="1">
      <c r="A432" s="68" t="s">
        <v>2507</v>
      </c>
      <c r="B432" s="69"/>
      <c r="C432" s="72">
        <f t="shared" si="4"/>
        <v>707209.3258</v>
      </c>
      <c r="D432" s="71">
        <v>0.01</v>
      </c>
      <c r="E432" s="72">
        <f t="shared" si="1"/>
        <v>7072.093258</v>
      </c>
      <c r="F432" s="72">
        <f t="shared" si="2"/>
        <v>714281.419</v>
      </c>
      <c r="G432" s="79" t="str">
        <f t="shared" si="5"/>
        <v/>
      </c>
      <c r="H432" s="81"/>
      <c r="I432" s="75" t="str">
        <f t="shared" si="6"/>
        <v/>
      </c>
      <c r="J432" s="80">
        <f t="shared" si="7"/>
        <v>704281.419</v>
      </c>
      <c r="K432" s="77" t="str">
        <f t="shared" si="3"/>
        <v/>
      </c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</row>
    <row r="433" ht="15.75" customHeight="1">
      <c r="A433" s="68" t="s">
        <v>2508</v>
      </c>
      <c r="B433" s="69"/>
      <c r="C433" s="72">
        <f t="shared" si="4"/>
        <v>714281.419</v>
      </c>
      <c r="D433" s="71">
        <v>0.01</v>
      </c>
      <c r="E433" s="72">
        <f t="shared" si="1"/>
        <v>7142.81419</v>
      </c>
      <c r="F433" s="72">
        <f t="shared" si="2"/>
        <v>721424.2332</v>
      </c>
      <c r="G433" s="79" t="str">
        <f t="shared" si="5"/>
        <v/>
      </c>
      <c r="H433" s="81"/>
      <c r="I433" s="75" t="str">
        <f t="shared" si="6"/>
        <v/>
      </c>
      <c r="J433" s="80">
        <f t="shared" si="7"/>
        <v>711424.2332</v>
      </c>
      <c r="K433" s="77" t="str">
        <f t="shared" si="3"/>
        <v/>
      </c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</row>
    <row r="434" ht="15.75" customHeight="1">
      <c r="A434" s="68" t="s">
        <v>2509</v>
      </c>
      <c r="B434" s="69"/>
      <c r="C434" s="72">
        <f t="shared" si="4"/>
        <v>721424.2332</v>
      </c>
      <c r="D434" s="71">
        <v>0.01</v>
      </c>
      <c r="E434" s="72">
        <f t="shared" si="1"/>
        <v>7214.242332</v>
      </c>
      <c r="F434" s="72">
        <f t="shared" si="2"/>
        <v>728638.4756</v>
      </c>
      <c r="G434" s="79" t="str">
        <f t="shared" si="5"/>
        <v/>
      </c>
      <c r="H434" s="81"/>
      <c r="I434" s="75" t="str">
        <f t="shared" si="6"/>
        <v/>
      </c>
      <c r="J434" s="80">
        <f t="shared" si="7"/>
        <v>718638.4756</v>
      </c>
      <c r="K434" s="77" t="str">
        <f t="shared" si="3"/>
        <v/>
      </c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</row>
    <row r="435" ht="15.75" customHeight="1">
      <c r="A435" s="68" t="s">
        <v>2510</v>
      </c>
      <c r="B435" s="69"/>
      <c r="C435" s="72">
        <f t="shared" si="4"/>
        <v>728638.4756</v>
      </c>
      <c r="D435" s="71">
        <v>0.01</v>
      </c>
      <c r="E435" s="72">
        <f t="shared" si="1"/>
        <v>7286.384756</v>
      </c>
      <c r="F435" s="72">
        <f t="shared" si="2"/>
        <v>735924.8603</v>
      </c>
      <c r="G435" s="79" t="str">
        <f t="shared" si="5"/>
        <v/>
      </c>
      <c r="H435" s="81"/>
      <c r="I435" s="75" t="str">
        <f t="shared" si="6"/>
        <v/>
      </c>
      <c r="J435" s="80">
        <f t="shared" si="7"/>
        <v>725924.8603</v>
      </c>
      <c r="K435" s="77" t="str">
        <f t="shared" si="3"/>
        <v/>
      </c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</row>
    <row r="436" ht="15.75" customHeight="1">
      <c r="A436" s="68" t="s">
        <v>2511</v>
      </c>
      <c r="B436" s="69"/>
      <c r="C436" s="72">
        <f t="shared" si="4"/>
        <v>735924.8603</v>
      </c>
      <c r="D436" s="71">
        <v>0.01</v>
      </c>
      <c r="E436" s="72">
        <f t="shared" si="1"/>
        <v>7359.248603</v>
      </c>
      <c r="F436" s="72">
        <f t="shared" si="2"/>
        <v>743284.1089</v>
      </c>
      <c r="G436" s="79" t="str">
        <f t="shared" si="5"/>
        <v/>
      </c>
      <c r="H436" s="81"/>
      <c r="I436" s="75" t="str">
        <f t="shared" si="6"/>
        <v/>
      </c>
      <c r="J436" s="80">
        <f t="shared" si="7"/>
        <v>733284.1089</v>
      </c>
      <c r="K436" s="77" t="str">
        <f t="shared" si="3"/>
        <v/>
      </c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</row>
    <row r="437" ht="15.75" customHeight="1">
      <c r="A437" s="68" t="s">
        <v>2512</v>
      </c>
      <c r="B437" s="69"/>
      <c r="C437" s="72">
        <f t="shared" si="4"/>
        <v>743284.1089</v>
      </c>
      <c r="D437" s="71">
        <v>0.01</v>
      </c>
      <c r="E437" s="72">
        <f t="shared" si="1"/>
        <v>7432.841089</v>
      </c>
      <c r="F437" s="72">
        <f t="shared" si="2"/>
        <v>750716.95</v>
      </c>
      <c r="G437" s="79" t="str">
        <f t="shared" si="5"/>
        <v/>
      </c>
      <c r="H437" s="81"/>
      <c r="I437" s="75" t="str">
        <f t="shared" si="6"/>
        <v/>
      </c>
      <c r="J437" s="80">
        <f t="shared" si="7"/>
        <v>740716.95</v>
      </c>
      <c r="K437" s="77" t="str">
        <f t="shared" si="3"/>
        <v/>
      </c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</row>
    <row r="438" ht="15.75" customHeight="1">
      <c r="A438" s="68" t="s">
        <v>2513</v>
      </c>
      <c r="B438" s="69"/>
      <c r="C438" s="72">
        <f t="shared" si="4"/>
        <v>750716.95</v>
      </c>
      <c r="D438" s="71">
        <v>0.01</v>
      </c>
      <c r="E438" s="72">
        <f t="shared" si="1"/>
        <v>7507.1695</v>
      </c>
      <c r="F438" s="72">
        <f t="shared" si="2"/>
        <v>758224.1195</v>
      </c>
      <c r="G438" s="79" t="str">
        <f t="shared" si="5"/>
        <v/>
      </c>
      <c r="H438" s="81"/>
      <c r="I438" s="75" t="str">
        <f t="shared" si="6"/>
        <v/>
      </c>
      <c r="J438" s="80">
        <f t="shared" si="7"/>
        <v>748224.1195</v>
      </c>
      <c r="K438" s="77" t="str">
        <f t="shared" si="3"/>
        <v/>
      </c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</row>
    <row r="439" ht="15.75" customHeight="1">
      <c r="A439" s="68" t="s">
        <v>2514</v>
      </c>
      <c r="B439" s="69"/>
      <c r="C439" s="72">
        <f t="shared" si="4"/>
        <v>758224.1195</v>
      </c>
      <c r="D439" s="71">
        <v>0.01</v>
      </c>
      <c r="E439" s="72">
        <f t="shared" si="1"/>
        <v>7582.241195</v>
      </c>
      <c r="F439" s="72">
        <f t="shared" si="2"/>
        <v>765806.3607</v>
      </c>
      <c r="G439" s="79" t="str">
        <f t="shared" si="5"/>
        <v/>
      </c>
      <c r="H439" s="81"/>
      <c r="I439" s="75" t="str">
        <f t="shared" si="6"/>
        <v/>
      </c>
      <c r="J439" s="80">
        <f t="shared" si="7"/>
        <v>755806.3607</v>
      </c>
      <c r="K439" s="77" t="str">
        <f t="shared" si="3"/>
        <v/>
      </c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</row>
    <row r="440" ht="15.75" customHeight="1">
      <c r="A440" s="68" t="s">
        <v>2515</v>
      </c>
      <c r="B440" s="69"/>
      <c r="C440" s="72">
        <f t="shared" si="4"/>
        <v>765806.3607</v>
      </c>
      <c r="D440" s="71">
        <v>0.01</v>
      </c>
      <c r="E440" s="72">
        <f t="shared" si="1"/>
        <v>7658.063607</v>
      </c>
      <c r="F440" s="72">
        <f t="shared" si="2"/>
        <v>773464.4243</v>
      </c>
      <c r="G440" s="79" t="str">
        <f t="shared" si="5"/>
        <v/>
      </c>
      <c r="H440" s="81"/>
      <c r="I440" s="75" t="str">
        <f t="shared" si="6"/>
        <v/>
      </c>
      <c r="J440" s="80">
        <f t="shared" si="7"/>
        <v>763464.4243</v>
      </c>
      <c r="K440" s="77" t="str">
        <f t="shared" si="3"/>
        <v/>
      </c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</row>
    <row r="441" ht="15.75" customHeight="1">
      <c r="A441" s="68" t="s">
        <v>2516</v>
      </c>
      <c r="B441" s="69"/>
      <c r="C441" s="72">
        <f t="shared" si="4"/>
        <v>773464.4243</v>
      </c>
      <c r="D441" s="71">
        <v>0.01</v>
      </c>
      <c r="E441" s="72">
        <f t="shared" si="1"/>
        <v>7734.644243</v>
      </c>
      <c r="F441" s="72">
        <f t="shared" si="2"/>
        <v>781199.0686</v>
      </c>
      <c r="G441" s="79" t="str">
        <f t="shared" si="5"/>
        <v/>
      </c>
      <c r="H441" s="81"/>
      <c r="I441" s="75" t="str">
        <f t="shared" si="6"/>
        <v/>
      </c>
      <c r="J441" s="80">
        <f t="shared" si="7"/>
        <v>771199.0686</v>
      </c>
      <c r="K441" s="77" t="str">
        <f t="shared" si="3"/>
        <v/>
      </c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</row>
    <row r="442" ht="15.75" customHeight="1">
      <c r="A442" s="68" t="s">
        <v>2517</v>
      </c>
      <c r="B442" s="69"/>
      <c r="C442" s="72">
        <f t="shared" si="4"/>
        <v>781199.0686</v>
      </c>
      <c r="D442" s="71">
        <v>0.01</v>
      </c>
      <c r="E442" s="72">
        <f t="shared" si="1"/>
        <v>7811.990686</v>
      </c>
      <c r="F442" s="72">
        <f t="shared" si="2"/>
        <v>789011.0592</v>
      </c>
      <c r="G442" s="79" t="str">
        <f t="shared" si="5"/>
        <v/>
      </c>
      <c r="H442" s="81"/>
      <c r="I442" s="75" t="str">
        <f t="shared" si="6"/>
        <v/>
      </c>
      <c r="J442" s="80">
        <f t="shared" si="7"/>
        <v>779011.0592</v>
      </c>
      <c r="K442" s="77" t="str">
        <f t="shared" si="3"/>
        <v/>
      </c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</row>
    <row r="443" ht="15.75" customHeight="1">
      <c r="A443" s="68" t="s">
        <v>2518</v>
      </c>
      <c r="B443" s="69"/>
      <c r="C443" s="72">
        <f t="shared" si="4"/>
        <v>789011.0592</v>
      </c>
      <c r="D443" s="71">
        <v>0.01</v>
      </c>
      <c r="E443" s="72">
        <f t="shared" si="1"/>
        <v>7890.110592</v>
      </c>
      <c r="F443" s="72">
        <f t="shared" si="2"/>
        <v>796901.1698</v>
      </c>
      <c r="G443" s="79" t="str">
        <f t="shared" si="5"/>
        <v/>
      </c>
      <c r="H443" s="81"/>
      <c r="I443" s="75" t="str">
        <f t="shared" si="6"/>
        <v/>
      </c>
      <c r="J443" s="80">
        <f t="shared" si="7"/>
        <v>786901.1698</v>
      </c>
      <c r="K443" s="77" t="str">
        <f t="shared" si="3"/>
        <v/>
      </c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</row>
    <row r="444" ht="15.75" customHeight="1">
      <c r="A444" s="68" t="s">
        <v>2519</v>
      </c>
      <c r="B444" s="69"/>
      <c r="C444" s="72">
        <f t="shared" si="4"/>
        <v>796901.1698</v>
      </c>
      <c r="D444" s="71">
        <v>0.01</v>
      </c>
      <c r="E444" s="72">
        <f t="shared" si="1"/>
        <v>7969.011698</v>
      </c>
      <c r="F444" s="72">
        <f t="shared" si="2"/>
        <v>804870.1815</v>
      </c>
      <c r="G444" s="79" t="str">
        <f t="shared" si="5"/>
        <v/>
      </c>
      <c r="H444" s="81"/>
      <c r="I444" s="75" t="str">
        <f t="shared" si="6"/>
        <v/>
      </c>
      <c r="J444" s="80">
        <f t="shared" si="7"/>
        <v>794870.1815</v>
      </c>
      <c r="K444" s="77" t="str">
        <f t="shared" si="3"/>
        <v/>
      </c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</row>
    <row r="445" ht="15.75" customHeight="1">
      <c r="A445" s="68" t="s">
        <v>2520</v>
      </c>
      <c r="B445" s="69"/>
      <c r="C445" s="72">
        <f t="shared" si="4"/>
        <v>804870.1815</v>
      </c>
      <c r="D445" s="71">
        <v>0.01</v>
      </c>
      <c r="E445" s="72">
        <f t="shared" si="1"/>
        <v>8048.701815</v>
      </c>
      <c r="F445" s="72">
        <f t="shared" si="2"/>
        <v>812918.8834</v>
      </c>
      <c r="G445" s="79" t="str">
        <f t="shared" si="5"/>
        <v/>
      </c>
      <c r="H445" s="81"/>
      <c r="I445" s="75" t="str">
        <f t="shared" si="6"/>
        <v/>
      </c>
      <c r="J445" s="80">
        <f t="shared" si="7"/>
        <v>802918.8834</v>
      </c>
      <c r="K445" s="77" t="str">
        <f t="shared" si="3"/>
        <v/>
      </c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</row>
    <row r="446" ht="15.75" customHeight="1">
      <c r="A446" s="68" t="s">
        <v>2521</v>
      </c>
      <c r="B446" s="69"/>
      <c r="C446" s="72">
        <f t="shared" si="4"/>
        <v>812918.8834</v>
      </c>
      <c r="D446" s="71">
        <v>0.01</v>
      </c>
      <c r="E446" s="72">
        <f t="shared" si="1"/>
        <v>8129.188834</v>
      </c>
      <c r="F446" s="72">
        <f t="shared" si="2"/>
        <v>821048.0722</v>
      </c>
      <c r="G446" s="79" t="str">
        <f t="shared" si="5"/>
        <v/>
      </c>
      <c r="H446" s="81"/>
      <c r="I446" s="75" t="str">
        <f t="shared" si="6"/>
        <v/>
      </c>
      <c r="J446" s="80">
        <f t="shared" si="7"/>
        <v>811048.0722</v>
      </c>
      <c r="K446" s="77" t="str">
        <f t="shared" si="3"/>
        <v/>
      </c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</row>
    <row r="447" ht="15.75" customHeight="1">
      <c r="A447" s="68" t="s">
        <v>2522</v>
      </c>
      <c r="B447" s="69"/>
      <c r="C447" s="72">
        <f t="shared" si="4"/>
        <v>821048.0722</v>
      </c>
      <c r="D447" s="71">
        <v>0.01</v>
      </c>
      <c r="E447" s="72">
        <f t="shared" si="1"/>
        <v>8210.480722</v>
      </c>
      <c r="F447" s="72">
        <f t="shared" si="2"/>
        <v>829258.5529</v>
      </c>
      <c r="G447" s="79" t="str">
        <f t="shared" si="5"/>
        <v/>
      </c>
      <c r="H447" s="81"/>
      <c r="I447" s="75" t="str">
        <f t="shared" si="6"/>
        <v/>
      </c>
      <c r="J447" s="80">
        <f t="shared" si="7"/>
        <v>819258.5529</v>
      </c>
      <c r="K447" s="77" t="str">
        <f t="shared" si="3"/>
        <v/>
      </c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</row>
    <row r="448" ht="15.75" customHeight="1">
      <c r="A448" s="68" t="s">
        <v>2523</v>
      </c>
      <c r="B448" s="69"/>
      <c r="C448" s="72">
        <f t="shared" si="4"/>
        <v>829258.5529</v>
      </c>
      <c r="D448" s="71">
        <v>0.01</v>
      </c>
      <c r="E448" s="72">
        <f t="shared" si="1"/>
        <v>8292.585529</v>
      </c>
      <c r="F448" s="72">
        <f t="shared" si="2"/>
        <v>837551.1384</v>
      </c>
      <c r="G448" s="79" t="str">
        <f t="shared" si="5"/>
        <v/>
      </c>
      <c r="H448" s="81"/>
      <c r="I448" s="75" t="str">
        <f t="shared" si="6"/>
        <v/>
      </c>
      <c r="J448" s="80">
        <f t="shared" si="7"/>
        <v>827551.1384</v>
      </c>
      <c r="K448" s="77" t="str">
        <f t="shared" si="3"/>
        <v/>
      </c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</row>
    <row r="449" ht="15.75" customHeight="1">
      <c r="A449" s="68" t="s">
        <v>2524</v>
      </c>
      <c r="B449" s="69"/>
      <c r="C449" s="72">
        <f t="shared" si="4"/>
        <v>837551.1384</v>
      </c>
      <c r="D449" s="71">
        <v>0.01</v>
      </c>
      <c r="E449" s="72">
        <f t="shared" si="1"/>
        <v>8375.511384</v>
      </c>
      <c r="F449" s="72">
        <f t="shared" si="2"/>
        <v>845926.6498</v>
      </c>
      <c r="G449" s="79" t="str">
        <f t="shared" si="5"/>
        <v/>
      </c>
      <c r="H449" s="81"/>
      <c r="I449" s="75" t="str">
        <f t="shared" si="6"/>
        <v/>
      </c>
      <c r="J449" s="80">
        <f t="shared" si="7"/>
        <v>835926.6498</v>
      </c>
      <c r="K449" s="77" t="str">
        <f t="shared" si="3"/>
        <v/>
      </c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</row>
    <row r="450" ht="15.75" customHeight="1">
      <c r="A450" s="68" t="s">
        <v>2525</v>
      </c>
      <c r="B450" s="69"/>
      <c r="C450" s="72">
        <f t="shared" si="4"/>
        <v>845926.6498</v>
      </c>
      <c r="D450" s="71">
        <v>0.01</v>
      </c>
      <c r="E450" s="72">
        <f t="shared" si="1"/>
        <v>8459.266498</v>
      </c>
      <c r="F450" s="72">
        <f t="shared" si="2"/>
        <v>854385.9163</v>
      </c>
      <c r="G450" s="79" t="str">
        <f t="shared" si="5"/>
        <v/>
      </c>
      <c r="H450" s="81"/>
      <c r="I450" s="75" t="str">
        <f t="shared" si="6"/>
        <v/>
      </c>
      <c r="J450" s="80">
        <f t="shared" si="7"/>
        <v>844385.9163</v>
      </c>
      <c r="K450" s="77" t="str">
        <f t="shared" si="3"/>
        <v/>
      </c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</row>
    <row r="451" ht="15.75" customHeight="1">
      <c r="A451" s="68" t="s">
        <v>2526</v>
      </c>
      <c r="B451" s="69"/>
      <c r="C451" s="72">
        <f t="shared" si="4"/>
        <v>854385.9163</v>
      </c>
      <c r="D451" s="71">
        <v>0.01</v>
      </c>
      <c r="E451" s="72">
        <f t="shared" si="1"/>
        <v>8543.859163</v>
      </c>
      <c r="F451" s="72">
        <f t="shared" si="2"/>
        <v>862929.7755</v>
      </c>
      <c r="G451" s="79" t="str">
        <f t="shared" si="5"/>
        <v/>
      </c>
      <c r="H451" s="81"/>
      <c r="I451" s="75" t="str">
        <f t="shared" si="6"/>
        <v/>
      </c>
      <c r="J451" s="80">
        <f t="shared" si="7"/>
        <v>852929.7755</v>
      </c>
      <c r="K451" s="77" t="str">
        <f t="shared" si="3"/>
        <v/>
      </c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</row>
    <row r="452" ht="15.75" customHeight="1">
      <c r="A452" s="68" t="s">
        <v>2527</v>
      </c>
      <c r="B452" s="69"/>
      <c r="C452" s="72">
        <f t="shared" si="4"/>
        <v>862929.7755</v>
      </c>
      <c r="D452" s="71">
        <v>0.01</v>
      </c>
      <c r="E452" s="72">
        <f t="shared" si="1"/>
        <v>8629.297755</v>
      </c>
      <c r="F452" s="72">
        <f t="shared" si="2"/>
        <v>871559.0732</v>
      </c>
      <c r="G452" s="79" t="str">
        <f t="shared" si="5"/>
        <v/>
      </c>
      <c r="H452" s="81"/>
      <c r="I452" s="75" t="str">
        <f t="shared" si="6"/>
        <v/>
      </c>
      <c r="J452" s="80">
        <f t="shared" si="7"/>
        <v>861559.0732</v>
      </c>
      <c r="K452" s="77" t="str">
        <f t="shared" si="3"/>
        <v/>
      </c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</row>
    <row r="453" ht="15.75" customHeight="1">
      <c r="A453" s="68" t="s">
        <v>2528</v>
      </c>
      <c r="B453" s="69"/>
      <c r="C453" s="72">
        <f t="shared" si="4"/>
        <v>871559.0732</v>
      </c>
      <c r="D453" s="71">
        <v>0.01</v>
      </c>
      <c r="E453" s="72">
        <f t="shared" si="1"/>
        <v>8715.590732</v>
      </c>
      <c r="F453" s="72">
        <f t="shared" si="2"/>
        <v>880274.664</v>
      </c>
      <c r="G453" s="79" t="str">
        <f t="shared" si="5"/>
        <v/>
      </c>
      <c r="H453" s="81"/>
      <c r="I453" s="75" t="str">
        <f t="shared" si="6"/>
        <v/>
      </c>
      <c r="J453" s="80">
        <f t="shared" si="7"/>
        <v>870274.664</v>
      </c>
      <c r="K453" s="77" t="str">
        <f t="shared" si="3"/>
        <v/>
      </c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</row>
    <row r="454" ht="15.75" customHeight="1">
      <c r="A454" s="68" t="s">
        <v>2529</v>
      </c>
      <c r="B454" s="69"/>
      <c r="C454" s="72">
        <f t="shared" si="4"/>
        <v>880274.664</v>
      </c>
      <c r="D454" s="71">
        <v>0.01</v>
      </c>
      <c r="E454" s="72">
        <f t="shared" si="1"/>
        <v>8802.74664</v>
      </c>
      <c r="F454" s="72">
        <f t="shared" si="2"/>
        <v>889077.4106</v>
      </c>
      <c r="G454" s="79" t="str">
        <f t="shared" si="5"/>
        <v/>
      </c>
      <c r="H454" s="81"/>
      <c r="I454" s="75" t="str">
        <f t="shared" si="6"/>
        <v/>
      </c>
      <c r="J454" s="80">
        <f t="shared" si="7"/>
        <v>879077.4106</v>
      </c>
      <c r="K454" s="77" t="str">
        <f t="shared" si="3"/>
        <v/>
      </c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</row>
    <row r="455" ht="15.75" customHeight="1">
      <c r="A455" s="68" t="s">
        <v>2530</v>
      </c>
      <c r="B455" s="69"/>
      <c r="C455" s="72">
        <f t="shared" si="4"/>
        <v>889077.4106</v>
      </c>
      <c r="D455" s="71">
        <v>0.01</v>
      </c>
      <c r="E455" s="72">
        <f t="shared" si="1"/>
        <v>8890.774106</v>
      </c>
      <c r="F455" s="72">
        <f t="shared" si="2"/>
        <v>897968.1847</v>
      </c>
      <c r="G455" s="79" t="str">
        <f t="shared" si="5"/>
        <v/>
      </c>
      <c r="H455" s="81"/>
      <c r="I455" s="75" t="str">
        <f t="shared" si="6"/>
        <v/>
      </c>
      <c r="J455" s="80">
        <f t="shared" si="7"/>
        <v>887968.1847</v>
      </c>
      <c r="K455" s="77" t="str">
        <f t="shared" si="3"/>
        <v/>
      </c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</row>
    <row r="456" ht="15.75" customHeight="1">
      <c r="A456" s="68" t="s">
        <v>2531</v>
      </c>
      <c r="B456" s="69"/>
      <c r="C456" s="72">
        <f t="shared" si="4"/>
        <v>897968.1847</v>
      </c>
      <c r="D456" s="71">
        <v>0.01</v>
      </c>
      <c r="E456" s="72">
        <f t="shared" si="1"/>
        <v>8979.681847</v>
      </c>
      <c r="F456" s="72">
        <f t="shared" si="2"/>
        <v>906947.8666</v>
      </c>
      <c r="G456" s="79" t="str">
        <f t="shared" si="5"/>
        <v/>
      </c>
      <c r="H456" s="81"/>
      <c r="I456" s="75" t="str">
        <f t="shared" si="6"/>
        <v/>
      </c>
      <c r="J456" s="80">
        <f t="shared" si="7"/>
        <v>896947.8666</v>
      </c>
      <c r="K456" s="77" t="str">
        <f t="shared" si="3"/>
        <v/>
      </c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</row>
    <row r="457" ht="15.75" customHeight="1">
      <c r="A457" s="68" t="s">
        <v>2532</v>
      </c>
      <c r="B457" s="69"/>
      <c r="C457" s="72">
        <f t="shared" si="4"/>
        <v>906947.8666</v>
      </c>
      <c r="D457" s="71">
        <v>0.01</v>
      </c>
      <c r="E457" s="72">
        <f t="shared" si="1"/>
        <v>9069.478666</v>
      </c>
      <c r="F457" s="72">
        <f t="shared" si="2"/>
        <v>916017.3452</v>
      </c>
      <c r="G457" s="79" t="str">
        <f t="shared" si="5"/>
        <v/>
      </c>
      <c r="H457" s="81"/>
      <c r="I457" s="75" t="str">
        <f t="shared" si="6"/>
        <v/>
      </c>
      <c r="J457" s="80">
        <f t="shared" si="7"/>
        <v>906017.3452</v>
      </c>
      <c r="K457" s="77" t="str">
        <f t="shared" si="3"/>
        <v/>
      </c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</row>
    <row r="458" ht="15.75" customHeight="1">
      <c r="A458" s="68" t="s">
        <v>2533</v>
      </c>
      <c r="B458" s="69"/>
      <c r="C458" s="72">
        <f t="shared" si="4"/>
        <v>916017.3452</v>
      </c>
      <c r="D458" s="71">
        <v>0.01</v>
      </c>
      <c r="E458" s="72">
        <f t="shared" si="1"/>
        <v>9160.173452</v>
      </c>
      <c r="F458" s="72">
        <f t="shared" si="2"/>
        <v>925177.5187</v>
      </c>
      <c r="G458" s="79" t="str">
        <f t="shared" si="5"/>
        <v/>
      </c>
      <c r="H458" s="81"/>
      <c r="I458" s="75" t="str">
        <f t="shared" si="6"/>
        <v/>
      </c>
      <c r="J458" s="80">
        <f t="shared" si="7"/>
        <v>915177.5187</v>
      </c>
      <c r="K458" s="77" t="str">
        <f t="shared" si="3"/>
        <v/>
      </c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</row>
    <row r="459" ht="15.75" customHeight="1">
      <c r="A459" s="68" t="s">
        <v>2534</v>
      </c>
      <c r="B459" s="69"/>
      <c r="C459" s="72">
        <f t="shared" si="4"/>
        <v>925177.5187</v>
      </c>
      <c r="D459" s="71">
        <v>0.01</v>
      </c>
      <c r="E459" s="72">
        <f t="shared" si="1"/>
        <v>9251.775187</v>
      </c>
      <c r="F459" s="72">
        <f t="shared" si="2"/>
        <v>934429.2939</v>
      </c>
      <c r="G459" s="79" t="str">
        <f t="shared" si="5"/>
        <v/>
      </c>
      <c r="H459" s="81"/>
      <c r="I459" s="75" t="str">
        <f t="shared" si="6"/>
        <v/>
      </c>
      <c r="J459" s="80">
        <f t="shared" si="7"/>
        <v>924429.2939</v>
      </c>
      <c r="K459" s="77" t="str">
        <f t="shared" si="3"/>
        <v/>
      </c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</row>
    <row r="460" ht="15.75" customHeight="1">
      <c r="A460" s="68" t="s">
        <v>2535</v>
      </c>
      <c r="B460" s="69"/>
      <c r="C460" s="72">
        <f t="shared" si="4"/>
        <v>934429.2939</v>
      </c>
      <c r="D460" s="71">
        <v>0.01</v>
      </c>
      <c r="E460" s="72">
        <f t="shared" si="1"/>
        <v>9344.292939</v>
      </c>
      <c r="F460" s="72">
        <f t="shared" si="2"/>
        <v>943773.5868</v>
      </c>
      <c r="G460" s="79" t="str">
        <f t="shared" si="5"/>
        <v/>
      </c>
      <c r="H460" s="81"/>
      <c r="I460" s="75" t="str">
        <f t="shared" si="6"/>
        <v/>
      </c>
      <c r="J460" s="80">
        <f t="shared" si="7"/>
        <v>933773.5868</v>
      </c>
      <c r="K460" s="77" t="str">
        <f t="shared" si="3"/>
        <v/>
      </c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</row>
    <row r="461" ht="15.75" customHeight="1">
      <c r="A461" s="68" t="s">
        <v>2536</v>
      </c>
      <c r="B461" s="69"/>
      <c r="C461" s="72">
        <f t="shared" si="4"/>
        <v>943773.5868</v>
      </c>
      <c r="D461" s="71">
        <v>0.01</v>
      </c>
      <c r="E461" s="72">
        <f t="shared" si="1"/>
        <v>9437.735868</v>
      </c>
      <c r="F461" s="72">
        <f t="shared" si="2"/>
        <v>953211.3227</v>
      </c>
      <c r="G461" s="79" t="str">
        <f t="shared" si="5"/>
        <v/>
      </c>
      <c r="H461" s="81"/>
      <c r="I461" s="75" t="str">
        <f t="shared" si="6"/>
        <v/>
      </c>
      <c r="J461" s="80">
        <f t="shared" si="7"/>
        <v>943211.3227</v>
      </c>
      <c r="K461" s="77" t="str">
        <f t="shared" si="3"/>
        <v/>
      </c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</row>
    <row r="462" ht="15.75" customHeight="1">
      <c r="A462" s="68" t="s">
        <v>2537</v>
      </c>
      <c r="B462" s="69"/>
      <c r="C462" s="72">
        <f t="shared" si="4"/>
        <v>953211.3227</v>
      </c>
      <c r="D462" s="71">
        <v>0.01</v>
      </c>
      <c r="E462" s="72">
        <f t="shared" si="1"/>
        <v>9532.113227</v>
      </c>
      <c r="F462" s="72">
        <f t="shared" si="2"/>
        <v>962743.4359</v>
      </c>
      <c r="G462" s="79" t="str">
        <f t="shared" si="5"/>
        <v/>
      </c>
      <c r="H462" s="81"/>
      <c r="I462" s="75" t="str">
        <f t="shared" si="6"/>
        <v/>
      </c>
      <c r="J462" s="80">
        <f t="shared" si="7"/>
        <v>952743.4359</v>
      </c>
      <c r="K462" s="77" t="str">
        <f t="shared" si="3"/>
        <v/>
      </c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</row>
    <row r="463" ht="15.75" customHeight="1">
      <c r="A463" s="68" t="s">
        <v>2538</v>
      </c>
      <c r="B463" s="69"/>
      <c r="C463" s="72">
        <f t="shared" si="4"/>
        <v>962743.4359</v>
      </c>
      <c r="D463" s="71">
        <v>0.01</v>
      </c>
      <c r="E463" s="72">
        <f t="shared" si="1"/>
        <v>9627.434359</v>
      </c>
      <c r="F463" s="72">
        <f t="shared" si="2"/>
        <v>972370.8703</v>
      </c>
      <c r="G463" s="79" t="str">
        <f t="shared" si="5"/>
        <v/>
      </c>
      <c r="H463" s="81"/>
      <c r="I463" s="75" t="str">
        <f t="shared" si="6"/>
        <v/>
      </c>
      <c r="J463" s="80">
        <f t="shared" si="7"/>
        <v>962370.8703</v>
      </c>
      <c r="K463" s="77" t="str">
        <f t="shared" si="3"/>
        <v/>
      </c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</row>
    <row r="464" ht="15.75" customHeight="1">
      <c r="A464" s="68" t="s">
        <v>2539</v>
      </c>
      <c r="B464" s="69"/>
      <c r="C464" s="72">
        <f t="shared" si="4"/>
        <v>972370.8703</v>
      </c>
      <c r="D464" s="71">
        <v>0.01</v>
      </c>
      <c r="E464" s="72">
        <f t="shared" si="1"/>
        <v>9723.708703</v>
      </c>
      <c r="F464" s="72">
        <f t="shared" si="2"/>
        <v>982094.579</v>
      </c>
      <c r="G464" s="79" t="str">
        <f t="shared" si="5"/>
        <v/>
      </c>
      <c r="H464" s="81"/>
      <c r="I464" s="75" t="str">
        <f t="shared" si="6"/>
        <v/>
      </c>
      <c r="J464" s="80">
        <f t="shared" si="7"/>
        <v>972094.579</v>
      </c>
      <c r="K464" s="77" t="str">
        <f t="shared" si="3"/>
        <v/>
      </c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</row>
    <row r="465" ht="15.75" customHeight="1">
      <c r="A465" s="68" t="s">
        <v>2540</v>
      </c>
      <c r="B465" s="69"/>
      <c r="C465" s="72">
        <f t="shared" si="4"/>
        <v>982094.579</v>
      </c>
      <c r="D465" s="71">
        <v>0.01</v>
      </c>
      <c r="E465" s="72">
        <f t="shared" si="1"/>
        <v>9820.94579</v>
      </c>
      <c r="F465" s="72">
        <f t="shared" si="2"/>
        <v>991915.5248</v>
      </c>
      <c r="G465" s="79" t="str">
        <f t="shared" si="5"/>
        <v/>
      </c>
      <c r="H465" s="81"/>
      <c r="I465" s="75" t="str">
        <f t="shared" si="6"/>
        <v/>
      </c>
      <c r="J465" s="80">
        <f t="shared" si="7"/>
        <v>981915.5248</v>
      </c>
      <c r="K465" s="77" t="str">
        <f t="shared" si="3"/>
        <v/>
      </c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</row>
    <row r="466" ht="15.75" customHeight="1">
      <c r="A466" s="68" t="s">
        <v>2541</v>
      </c>
      <c r="B466" s="69"/>
      <c r="C466" s="72">
        <f t="shared" si="4"/>
        <v>991915.5248</v>
      </c>
      <c r="D466" s="71">
        <v>0.01</v>
      </c>
      <c r="E466" s="72">
        <f t="shared" si="1"/>
        <v>9919.155248</v>
      </c>
      <c r="F466" s="72">
        <f t="shared" si="2"/>
        <v>1001834.68</v>
      </c>
      <c r="G466" s="79" t="str">
        <f t="shared" si="5"/>
        <v/>
      </c>
      <c r="H466" s="81"/>
      <c r="I466" s="75" t="str">
        <f t="shared" si="6"/>
        <v/>
      </c>
      <c r="J466" s="80">
        <f t="shared" si="7"/>
        <v>991834.68</v>
      </c>
      <c r="K466" s="77" t="str">
        <f t="shared" si="3"/>
        <v/>
      </c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</row>
    <row r="467" ht="15.75" customHeight="1">
      <c r="A467" s="68" t="s">
        <v>2542</v>
      </c>
      <c r="B467" s="69"/>
      <c r="C467" s="72">
        <f t="shared" si="4"/>
        <v>1001834.68</v>
      </c>
      <c r="D467" s="71">
        <v>0.01</v>
      </c>
      <c r="E467" s="72">
        <f t="shared" si="1"/>
        <v>10018.3468</v>
      </c>
      <c r="F467" s="72">
        <f t="shared" si="2"/>
        <v>1011853.027</v>
      </c>
      <c r="G467" s="79" t="str">
        <f t="shared" si="5"/>
        <v/>
      </c>
      <c r="H467" s="81"/>
      <c r="I467" s="75" t="str">
        <f t="shared" si="6"/>
        <v/>
      </c>
      <c r="J467" s="80">
        <f t="shared" si="7"/>
        <v>1001853.027</v>
      </c>
      <c r="K467" s="77" t="str">
        <f t="shared" si="3"/>
        <v/>
      </c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</row>
    <row r="468" ht="15.75" customHeight="1">
      <c r="A468" s="68" t="s">
        <v>2543</v>
      </c>
      <c r="B468" s="69"/>
      <c r="C468" s="72">
        <f t="shared" si="4"/>
        <v>1011853.027</v>
      </c>
      <c r="D468" s="71">
        <v>0.01</v>
      </c>
      <c r="E468" s="72">
        <f t="shared" si="1"/>
        <v>10118.53027</v>
      </c>
      <c r="F468" s="72">
        <f t="shared" si="2"/>
        <v>1021971.557</v>
      </c>
      <c r="G468" s="79" t="str">
        <f t="shared" si="5"/>
        <v/>
      </c>
      <c r="H468" s="81"/>
      <c r="I468" s="75" t="str">
        <f t="shared" si="6"/>
        <v/>
      </c>
      <c r="J468" s="80">
        <f t="shared" si="7"/>
        <v>1011971.557</v>
      </c>
      <c r="K468" s="77" t="str">
        <f t="shared" si="3"/>
        <v/>
      </c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</row>
    <row r="469" ht="15.75" customHeight="1">
      <c r="A469" s="68" t="s">
        <v>2544</v>
      </c>
      <c r="B469" s="69"/>
      <c r="C469" s="72">
        <f t="shared" si="4"/>
        <v>1021971.557</v>
      </c>
      <c r="D469" s="71">
        <v>0.01</v>
      </c>
      <c r="E469" s="72">
        <f t="shared" si="1"/>
        <v>10219.71557</v>
      </c>
      <c r="F469" s="72">
        <f t="shared" si="2"/>
        <v>1032191.273</v>
      </c>
      <c r="G469" s="79" t="str">
        <f t="shared" si="5"/>
        <v/>
      </c>
      <c r="H469" s="81"/>
      <c r="I469" s="75" t="str">
        <f t="shared" si="6"/>
        <v/>
      </c>
      <c r="J469" s="80">
        <f t="shared" si="7"/>
        <v>1022191.273</v>
      </c>
      <c r="K469" s="77" t="str">
        <f t="shared" si="3"/>
        <v/>
      </c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</row>
    <row r="470" ht="15.75" customHeight="1">
      <c r="A470" s="68" t="s">
        <v>2545</v>
      </c>
      <c r="B470" s="69"/>
      <c r="C470" s="72">
        <f t="shared" si="4"/>
        <v>1032191.273</v>
      </c>
      <c r="D470" s="71">
        <v>0.01</v>
      </c>
      <c r="E470" s="72">
        <f t="shared" si="1"/>
        <v>10321.91273</v>
      </c>
      <c r="F470" s="72">
        <f t="shared" si="2"/>
        <v>1042513.185</v>
      </c>
      <c r="G470" s="79" t="str">
        <f t="shared" si="5"/>
        <v/>
      </c>
      <c r="H470" s="81"/>
      <c r="I470" s="75" t="str">
        <f t="shared" si="6"/>
        <v/>
      </c>
      <c r="J470" s="80">
        <f t="shared" si="7"/>
        <v>1032513.185</v>
      </c>
      <c r="K470" s="77" t="str">
        <f t="shared" si="3"/>
        <v/>
      </c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</row>
    <row r="471" ht="15.75" customHeight="1">
      <c r="A471" s="68" t="s">
        <v>2546</v>
      </c>
      <c r="B471" s="69"/>
      <c r="C471" s="72">
        <f t="shared" si="4"/>
        <v>1042513.185</v>
      </c>
      <c r="D471" s="71">
        <v>0.01</v>
      </c>
      <c r="E471" s="72">
        <f t="shared" si="1"/>
        <v>10425.13185</v>
      </c>
      <c r="F471" s="72">
        <f t="shared" si="2"/>
        <v>1052938.317</v>
      </c>
      <c r="G471" s="79" t="str">
        <f t="shared" si="5"/>
        <v/>
      </c>
      <c r="H471" s="81"/>
      <c r="I471" s="75" t="str">
        <f t="shared" si="6"/>
        <v/>
      </c>
      <c r="J471" s="80">
        <f t="shared" si="7"/>
        <v>1042938.317</v>
      </c>
      <c r="K471" s="77" t="str">
        <f t="shared" si="3"/>
        <v/>
      </c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</row>
    <row r="472" ht="15.75" customHeight="1">
      <c r="A472" s="68" t="s">
        <v>2547</v>
      </c>
      <c r="B472" s="69"/>
      <c r="C472" s="72">
        <f t="shared" si="4"/>
        <v>1052938.317</v>
      </c>
      <c r="D472" s="71">
        <v>0.01</v>
      </c>
      <c r="E472" s="72">
        <f t="shared" si="1"/>
        <v>10529.38317</v>
      </c>
      <c r="F472" s="72">
        <f t="shared" si="2"/>
        <v>1063467.7</v>
      </c>
      <c r="G472" s="79" t="str">
        <f t="shared" si="5"/>
        <v/>
      </c>
      <c r="H472" s="81"/>
      <c r="I472" s="75" t="str">
        <f t="shared" si="6"/>
        <v/>
      </c>
      <c r="J472" s="80">
        <f t="shared" si="7"/>
        <v>1053467.7</v>
      </c>
      <c r="K472" s="77" t="str">
        <f t="shared" si="3"/>
        <v/>
      </c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</row>
    <row r="473" ht="15.75" customHeight="1">
      <c r="A473" s="68" t="s">
        <v>2548</v>
      </c>
      <c r="B473" s="69"/>
      <c r="C473" s="72">
        <f t="shared" si="4"/>
        <v>1063467.7</v>
      </c>
      <c r="D473" s="71">
        <v>0.01</v>
      </c>
      <c r="E473" s="72">
        <f t="shared" si="1"/>
        <v>10634.677</v>
      </c>
      <c r="F473" s="72">
        <f t="shared" si="2"/>
        <v>1074102.377</v>
      </c>
      <c r="G473" s="79" t="str">
        <f t="shared" si="5"/>
        <v/>
      </c>
      <c r="H473" s="81"/>
      <c r="I473" s="75" t="str">
        <f t="shared" si="6"/>
        <v/>
      </c>
      <c r="J473" s="80">
        <f t="shared" si="7"/>
        <v>1064102.377</v>
      </c>
      <c r="K473" s="77" t="str">
        <f t="shared" si="3"/>
        <v/>
      </c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</row>
    <row r="474" ht="15.75" customHeight="1">
      <c r="A474" s="68" t="s">
        <v>2549</v>
      </c>
      <c r="B474" s="69"/>
      <c r="C474" s="72">
        <f t="shared" si="4"/>
        <v>1074102.377</v>
      </c>
      <c r="D474" s="71">
        <v>0.01</v>
      </c>
      <c r="E474" s="72">
        <f t="shared" si="1"/>
        <v>10741.02377</v>
      </c>
      <c r="F474" s="72">
        <f t="shared" si="2"/>
        <v>1084843.401</v>
      </c>
      <c r="G474" s="79" t="str">
        <f t="shared" si="5"/>
        <v/>
      </c>
      <c r="H474" s="81"/>
      <c r="I474" s="75" t="str">
        <f t="shared" si="6"/>
        <v/>
      </c>
      <c r="J474" s="80">
        <f t="shared" si="7"/>
        <v>1074843.401</v>
      </c>
      <c r="K474" s="77" t="str">
        <f t="shared" si="3"/>
        <v/>
      </c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</row>
    <row r="475" ht="15.75" customHeight="1">
      <c r="A475" s="68" t="s">
        <v>2550</v>
      </c>
      <c r="B475" s="69"/>
      <c r="C475" s="72">
        <f t="shared" si="4"/>
        <v>1084843.401</v>
      </c>
      <c r="D475" s="71">
        <v>0.01</v>
      </c>
      <c r="E475" s="72">
        <f t="shared" si="1"/>
        <v>10848.43401</v>
      </c>
      <c r="F475" s="72">
        <f t="shared" si="2"/>
        <v>1095691.835</v>
      </c>
      <c r="G475" s="79" t="str">
        <f t="shared" si="5"/>
        <v/>
      </c>
      <c r="H475" s="81"/>
      <c r="I475" s="75" t="str">
        <f t="shared" si="6"/>
        <v/>
      </c>
      <c r="J475" s="80">
        <f t="shared" si="7"/>
        <v>1085691.835</v>
      </c>
      <c r="K475" s="77" t="str">
        <f t="shared" si="3"/>
        <v/>
      </c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</row>
    <row r="476" ht="15.75" customHeight="1">
      <c r="A476" s="68" t="s">
        <v>2551</v>
      </c>
      <c r="B476" s="69"/>
      <c r="C476" s="72">
        <f t="shared" si="4"/>
        <v>1095691.835</v>
      </c>
      <c r="D476" s="71">
        <v>0.01</v>
      </c>
      <c r="E476" s="72">
        <f t="shared" si="1"/>
        <v>10956.91835</v>
      </c>
      <c r="F476" s="72">
        <f t="shared" si="2"/>
        <v>1106648.754</v>
      </c>
      <c r="G476" s="79" t="str">
        <f t="shared" si="5"/>
        <v/>
      </c>
      <c r="H476" s="81"/>
      <c r="I476" s="75" t="str">
        <f t="shared" si="6"/>
        <v/>
      </c>
      <c r="J476" s="80">
        <f t="shared" si="7"/>
        <v>1096648.754</v>
      </c>
      <c r="K476" s="77" t="str">
        <f t="shared" si="3"/>
        <v/>
      </c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</row>
    <row r="477" ht="15.75" customHeight="1">
      <c r="A477" s="68" t="s">
        <v>2552</v>
      </c>
      <c r="B477" s="69"/>
      <c r="C477" s="72">
        <f t="shared" si="4"/>
        <v>1106648.754</v>
      </c>
      <c r="D477" s="71">
        <v>0.01</v>
      </c>
      <c r="E477" s="72">
        <f t="shared" si="1"/>
        <v>11066.48754</v>
      </c>
      <c r="F477" s="72">
        <f t="shared" si="2"/>
        <v>1117715.241</v>
      </c>
      <c r="G477" s="79" t="str">
        <f t="shared" si="5"/>
        <v/>
      </c>
      <c r="H477" s="81"/>
      <c r="I477" s="75" t="str">
        <f t="shared" si="6"/>
        <v/>
      </c>
      <c r="J477" s="80">
        <f t="shared" si="7"/>
        <v>1107715.241</v>
      </c>
      <c r="K477" s="77" t="str">
        <f t="shared" si="3"/>
        <v/>
      </c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</row>
    <row r="478" ht="15.75" customHeight="1">
      <c r="A478" s="68" t="s">
        <v>2553</v>
      </c>
      <c r="B478" s="69"/>
      <c r="C478" s="72">
        <f t="shared" si="4"/>
        <v>1117715.241</v>
      </c>
      <c r="D478" s="71">
        <v>0.01</v>
      </c>
      <c r="E478" s="72">
        <f t="shared" si="1"/>
        <v>11177.15241</v>
      </c>
      <c r="F478" s="72">
        <f t="shared" si="2"/>
        <v>1128892.393</v>
      </c>
      <c r="G478" s="79" t="str">
        <f t="shared" si="5"/>
        <v/>
      </c>
      <c r="H478" s="81"/>
      <c r="I478" s="75" t="str">
        <f t="shared" si="6"/>
        <v/>
      </c>
      <c r="J478" s="80">
        <f t="shared" si="7"/>
        <v>1118892.393</v>
      </c>
      <c r="K478" s="77" t="str">
        <f t="shared" si="3"/>
        <v/>
      </c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</row>
    <row r="479" ht="15.75" customHeight="1">
      <c r="A479" s="68" t="s">
        <v>2554</v>
      </c>
      <c r="B479" s="69"/>
      <c r="C479" s="72">
        <f t="shared" si="4"/>
        <v>1128892.393</v>
      </c>
      <c r="D479" s="71">
        <v>0.01</v>
      </c>
      <c r="E479" s="72">
        <f t="shared" si="1"/>
        <v>11288.92393</v>
      </c>
      <c r="F479" s="72">
        <f t="shared" si="2"/>
        <v>1140181.317</v>
      </c>
      <c r="G479" s="79" t="str">
        <f t="shared" si="5"/>
        <v/>
      </c>
      <c r="H479" s="81"/>
      <c r="I479" s="75" t="str">
        <f t="shared" si="6"/>
        <v/>
      </c>
      <c r="J479" s="80">
        <f t="shared" si="7"/>
        <v>1130181.317</v>
      </c>
      <c r="K479" s="77" t="str">
        <f t="shared" si="3"/>
        <v/>
      </c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</row>
    <row r="480" ht="15.75" customHeight="1">
      <c r="A480" s="68" t="s">
        <v>2555</v>
      </c>
      <c r="B480" s="69"/>
      <c r="C480" s="72">
        <f t="shared" si="4"/>
        <v>1140181.317</v>
      </c>
      <c r="D480" s="71">
        <v>0.01</v>
      </c>
      <c r="E480" s="72">
        <f t="shared" si="1"/>
        <v>11401.81317</v>
      </c>
      <c r="F480" s="72">
        <f t="shared" si="2"/>
        <v>1151583.131</v>
      </c>
      <c r="G480" s="79" t="str">
        <f t="shared" si="5"/>
        <v/>
      </c>
      <c r="H480" s="81"/>
      <c r="I480" s="75" t="str">
        <f t="shared" si="6"/>
        <v/>
      </c>
      <c r="J480" s="80">
        <f t="shared" si="7"/>
        <v>1141583.131</v>
      </c>
      <c r="K480" s="77" t="str">
        <f t="shared" si="3"/>
        <v/>
      </c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</row>
    <row r="481" ht="15.75" customHeight="1">
      <c r="A481" s="68" t="s">
        <v>2556</v>
      </c>
      <c r="B481" s="69"/>
      <c r="C481" s="72">
        <f t="shared" si="4"/>
        <v>1151583.131</v>
      </c>
      <c r="D481" s="71">
        <v>0.01</v>
      </c>
      <c r="E481" s="72">
        <f t="shared" si="1"/>
        <v>11515.83131</v>
      </c>
      <c r="F481" s="72">
        <f t="shared" si="2"/>
        <v>1163098.962</v>
      </c>
      <c r="G481" s="79" t="str">
        <f t="shared" si="5"/>
        <v/>
      </c>
      <c r="H481" s="81"/>
      <c r="I481" s="75" t="str">
        <f t="shared" si="6"/>
        <v/>
      </c>
      <c r="J481" s="80">
        <f t="shared" si="7"/>
        <v>1153098.962</v>
      </c>
      <c r="K481" s="77" t="str">
        <f t="shared" si="3"/>
        <v/>
      </c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</row>
    <row r="482" ht="15.75" customHeight="1">
      <c r="A482" s="68" t="s">
        <v>2557</v>
      </c>
      <c r="B482" s="69"/>
      <c r="C482" s="72">
        <f t="shared" si="4"/>
        <v>1163098.962</v>
      </c>
      <c r="D482" s="71">
        <v>0.01</v>
      </c>
      <c r="E482" s="72">
        <f t="shared" si="1"/>
        <v>11630.98962</v>
      </c>
      <c r="F482" s="72">
        <f t="shared" si="2"/>
        <v>1174729.952</v>
      </c>
      <c r="G482" s="79" t="str">
        <f t="shared" si="5"/>
        <v/>
      </c>
      <c r="H482" s="81"/>
      <c r="I482" s="75" t="str">
        <f t="shared" si="6"/>
        <v/>
      </c>
      <c r="J482" s="80">
        <f t="shared" si="7"/>
        <v>1164729.952</v>
      </c>
      <c r="K482" s="77" t="str">
        <f t="shared" si="3"/>
        <v/>
      </c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</row>
    <row r="483" ht="15.75" customHeight="1">
      <c r="A483" s="68" t="s">
        <v>2558</v>
      </c>
      <c r="B483" s="69"/>
      <c r="C483" s="72">
        <f t="shared" si="4"/>
        <v>1174729.952</v>
      </c>
      <c r="D483" s="71">
        <v>0.01</v>
      </c>
      <c r="E483" s="72">
        <f t="shared" si="1"/>
        <v>11747.29952</v>
      </c>
      <c r="F483" s="72">
        <f t="shared" si="2"/>
        <v>1186477.251</v>
      </c>
      <c r="G483" s="79" t="str">
        <f t="shared" si="5"/>
        <v/>
      </c>
      <c r="H483" s="81"/>
      <c r="I483" s="75" t="str">
        <f t="shared" si="6"/>
        <v/>
      </c>
      <c r="J483" s="80">
        <f t="shared" si="7"/>
        <v>1176477.251</v>
      </c>
      <c r="K483" s="77" t="str">
        <f t="shared" si="3"/>
        <v/>
      </c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</row>
    <row r="484" ht="15.75" customHeight="1">
      <c r="A484" s="68" t="s">
        <v>2559</v>
      </c>
      <c r="B484" s="69"/>
      <c r="C484" s="72">
        <f t="shared" si="4"/>
        <v>1186477.251</v>
      </c>
      <c r="D484" s="71">
        <v>0.01</v>
      </c>
      <c r="E484" s="72">
        <f t="shared" si="1"/>
        <v>11864.77251</v>
      </c>
      <c r="F484" s="72">
        <f t="shared" si="2"/>
        <v>1198342.024</v>
      </c>
      <c r="G484" s="79" t="str">
        <f t="shared" si="5"/>
        <v/>
      </c>
      <c r="H484" s="81"/>
      <c r="I484" s="75" t="str">
        <f t="shared" si="6"/>
        <v/>
      </c>
      <c r="J484" s="80">
        <f t="shared" si="7"/>
        <v>1188342.024</v>
      </c>
      <c r="K484" s="77" t="str">
        <f t="shared" si="3"/>
        <v/>
      </c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</row>
    <row r="485" ht="15.75" customHeight="1">
      <c r="A485" s="68" t="s">
        <v>2560</v>
      </c>
      <c r="B485" s="69"/>
      <c r="C485" s="72">
        <f t="shared" si="4"/>
        <v>1198342.024</v>
      </c>
      <c r="D485" s="71">
        <v>0.01</v>
      </c>
      <c r="E485" s="72">
        <f t="shared" si="1"/>
        <v>11983.42024</v>
      </c>
      <c r="F485" s="72">
        <f t="shared" si="2"/>
        <v>1210325.444</v>
      </c>
      <c r="G485" s="79" t="str">
        <f t="shared" si="5"/>
        <v/>
      </c>
      <c r="H485" s="81"/>
      <c r="I485" s="75" t="str">
        <f t="shared" si="6"/>
        <v/>
      </c>
      <c r="J485" s="80">
        <f t="shared" si="7"/>
        <v>1200325.444</v>
      </c>
      <c r="K485" s="77" t="str">
        <f t="shared" si="3"/>
        <v/>
      </c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</row>
    <row r="486" ht="15.75" customHeight="1">
      <c r="A486" s="68" t="s">
        <v>2561</v>
      </c>
      <c r="B486" s="69"/>
      <c r="C486" s="72">
        <f t="shared" si="4"/>
        <v>1210325.444</v>
      </c>
      <c r="D486" s="71">
        <v>0.01</v>
      </c>
      <c r="E486" s="72">
        <f t="shared" si="1"/>
        <v>12103.25444</v>
      </c>
      <c r="F486" s="72">
        <f t="shared" si="2"/>
        <v>1222428.698</v>
      </c>
      <c r="G486" s="79" t="str">
        <f t="shared" si="5"/>
        <v/>
      </c>
      <c r="H486" s="81"/>
      <c r="I486" s="75" t="str">
        <f t="shared" si="6"/>
        <v/>
      </c>
      <c r="J486" s="80">
        <f t="shared" si="7"/>
        <v>1212428.698</v>
      </c>
      <c r="K486" s="77" t="str">
        <f t="shared" si="3"/>
        <v/>
      </c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</row>
    <row r="487" ht="15.75" customHeight="1">
      <c r="A487" s="68" t="s">
        <v>2562</v>
      </c>
      <c r="B487" s="69"/>
      <c r="C487" s="72">
        <f t="shared" si="4"/>
        <v>1222428.698</v>
      </c>
      <c r="D487" s="71">
        <v>0.01</v>
      </c>
      <c r="E487" s="72">
        <f t="shared" si="1"/>
        <v>12224.28698</v>
      </c>
      <c r="F487" s="72">
        <f t="shared" si="2"/>
        <v>1234652.985</v>
      </c>
      <c r="G487" s="79" t="str">
        <f t="shared" si="5"/>
        <v/>
      </c>
      <c r="H487" s="81"/>
      <c r="I487" s="75" t="str">
        <f t="shared" si="6"/>
        <v/>
      </c>
      <c r="J487" s="80">
        <f t="shared" si="7"/>
        <v>1224652.985</v>
      </c>
      <c r="K487" s="77" t="str">
        <f t="shared" si="3"/>
        <v/>
      </c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</row>
    <row r="488" ht="15.75" customHeight="1">
      <c r="A488" s="68" t="s">
        <v>2563</v>
      </c>
      <c r="B488" s="69"/>
      <c r="C488" s="72">
        <f t="shared" si="4"/>
        <v>1234652.985</v>
      </c>
      <c r="D488" s="71">
        <v>0.01</v>
      </c>
      <c r="E488" s="72">
        <f t="shared" si="1"/>
        <v>12346.52985</v>
      </c>
      <c r="F488" s="72">
        <f t="shared" si="2"/>
        <v>1246999.515</v>
      </c>
      <c r="G488" s="79" t="str">
        <f t="shared" si="5"/>
        <v/>
      </c>
      <c r="H488" s="81"/>
      <c r="I488" s="75" t="str">
        <f t="shared" si="6"/>
        <v/>
      </c>
      <c r="J488" s="80">
        <f t="shared" si="7"/>
        <v>1236999.515</v>
      </c>
      <c r="K488" s="77" t="str">
        <f t="shared" si="3"/>
        <v/>
      </c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</row>
    <row r="489" ht="15.75" customHeight="1">
      <c r="A489" s="68" t="s">
        <v>2564</v>
      </c>
      <c r="B489" s="69"/>
      <c r="C489" s="72">
        <f t="shared" si="4"/>
        <v>1246999.515</v>
      </c>
      <c r="D489" s="71">
        <v>0.01</v>
      </c>
      <c r="E489" s="72">
        <f t="shared" si="1"/>
        <v>12469.99515</v>
      </c>
      <c r="F489" s="72">
        <f t="shared" si="2"/>
        <v>1259469.51</v>
      </c>
      <c r="G489" s="79" t="str">
        <f t="shared" si="5"/>
        <v/>
      </c>
      <c r="H489" s="81"/>
      <c r="I489" s="75" t="str">
        <f t="shared" si="6"/>
        <v/>
      </c>
      <c r="J489" s="80">
        <f t="shared" si="7"/>
        <v>1249469.51</v>
      </c>
      <c r="K489" s="77" t="str">
        <f t="shared" si="3"/>
        <v/>
      </c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</row>
    <row r="490" ht="15.75" customHeight="1">
      <c r="A490" s="68" t="s">
        <v>2565</v>
      </c>
      <c r="B490" s="69"/>
      <c r="C490" s="72">
        <f t="shared" si="4"/>
        <v>1259469.51</v>
      </c>
      <c r="D490" s="71">
        <v>0.01</v>
      </c>
      <c r="E490" s="72">
        <f t="shared" si="1"/>
        <v>12594.6951</v>
      </c>
      <c r="F490" s="72">
        <f t="shared" si="2"/>
        <v>1272064.205</v>
      </c>
      <c r="G490" s="79" t="str">
        <f t="shared" si="5"/>
        <v/>
      </c>
      <c r="H490" s="81"/>
      <c r="I490" s="75" t="str">
        <f t="shared" si="6"/>
        <v/>
      </c>
      <c r="J490" s="80">
        <f t="shared" si="7"/>
        <v>1262064.205</v>
      </c>
      <c r="K490" s="77" t="str">
        <f t="shared" si="3"/>
        <v/>
      </c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</row>
    <row r="491" ht="15.75" customHeight="1">
      <c r="A491" s="68" t="s">
        <v>2566</v>
      </c>
      <c r="B491" s="69"/>
      <c r="C491" s="72">
        <f t="shared" si="4"/>
        <v>1272064.205</v>
      </c>
      <c r="D491" s="71">
        <v>0.01</v>
      </c>
      <c r="E491" s="72">
        <f t="shared" si="1"/>
        <v>12720.64205</v>
      </c>
      <c r="F491" s="72">
        <f t="shared" si="2"/>
        <v>1284784.847</v>
      </c>
      <c r="G491" s="79" t="str">
        <f t="shared" si="5"/>
        <v/>
      </c>
      <c r="H491" s="81"/>
      <c r="I491" s="75" t="str">
        <f t="shared" si="6"/>
        <v/>
      </c>
      <c r="J491" s="80">
        <f t="shared" si="7"/>
        <v>1274784.847</v>
      </c>
      <c r="K491" s="77" t="str">
        <f t="shared" si="3"/>
        <v/>
      </c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</row>
    <row r="492" ht="15.75" customHeight="1">
      <c r="A492" s="68" t="s">
        <v>2567</v>
      </c>
      <c r="B492" s="69"/>
      <c r="C492" s="72">
        <f t="shared" si="4"/>
        <v>1284784.847</v>
      </c>
      <c r="D492" s="71">
        <v>0.01</v>
      </c>
      <c r="E492" s="72">
        <f t="shared" si="1"/>
        <v>12847.84847</v>
      </c>
      <c r="F492" s="72">
        <f t="shared" si="2"/>
        <v>1297632.696</v>
      </c>
      <c r="G492" s="79" t="str">
        <f t="shared" si="5"/>
        <v/>
      </c>
      <c r="H492" s="81"/>
      <c r="I492" s="75" t="str">
        <f t="shared" si="6"/>
        <v/>
      </c>
      <c r="J492" s="80">
        <f t="shared" si="7"/>
        <v>1287632.696</v>
      </c>
      <c r="K492" s="77" t="str">
        <f t="shared" si="3"/>
        <v/>
      </c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</row>
    <row r="493" ht="15.75" customHeight="1">
      <c r="A493" s="68" t="s">
        <v>2568</v>
      </c>
      <c r="B493" s="69"/>
      <c r="C493" s="72">
        <f t="shared" si="4"/>
        <v>1297632.696</v>
      </c>
      <c r="D493" s="71">
        <v>0.01</v>
      </c>
      <c r="E493" s="72">
        <f t="shared" si="1"/>
        <v>12976.32696</v>
      </c>
      <c r="F493" s="72">
        <f t="shared" si="2"/>
        <v>1310609.023</v>
      </c>
      <c r="G493" s="79" t="str">
        <f t="shared" si="5"/>
        <v/>
      </c>
      <c r="H493" s="81"/>
      <c r="I493" s="75" t="str">
        <f t="shared" si="6"/>
        <v/>
      </c>
      <c r="J493" s="80">
        <f t="shared" si="7"/>
        <v>1300609.023</v>
      </c>
      <c r="K493" s="77" t="str">
        <f t="shared" si="3"/>
        <v/>
      </c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</row>
    <row r="494" ht="15.75" customHeight="1">
      <c r="A494" s="68" t="s">
        <v>2569</v>
      </c>
      <c r="B494" s="69"/>
      <c r="C494" s="72">
        <f t="shared" si="4"/>
        <v>1310609.023</v>
      </c>
      <c r="D494" s="71">
        <v>0.01</v>
      </c>
      <c r="E494" s="72">
        <f t="shared" si="1"/>
        <v>13106.09023</v>
      </c>
      <c r="F494" s="72">
        <f t="shared" si="2"/>
        <v>1323715.113</v>
      </c>
      <c r="G494" s="79" t="str">
        <f t="shared" si="5"/>
        <v/>
      </c>
      <c r="H494" s="81"/>
      <c r="I494" s="75" t="str">
        <f t="shared" si="6"/>
        <v/>
      </c>
      <c r="J494" s="80">
        <f t="shared" si="7"/>
        <v>1313715.113</v>
      </c>
      <c r="K494" s="77" t="str">
        <f t="shared" si="3"/>
        <v/>
      </c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</row>
    <row r="495" ht="15.75" customHeight="1">
      <c r="A495" s="68" t="s">
        <v>2570</v>
      </c>
      <c r="B495" s="69"/>
      <c r="C495" s="72">
        <f t="shared" si="4"/>
        <v>1323715.113</v>
      </c>
      <c r="D495" s="71">
        <v>0.01</v>
      </c>
      <c r="E495" s="72">
        <f t="shared" si="1"/>
        <v>13237.15113</v>
      </c>
      <c r="F495" s="72">
        <f t="shared" si="2"/>
        <v>1336952.264</v>
      </c>
      <c r="G495" s="79" t="str">
        <f t="shared" si="5"/>
        <v/>
      </c>
      <c r="H495" s="81"/>
      <c r="I495" s="75" t="str">
        <f t="shared" si="6"/>
        <v/>
      </c>
      <c r="J495" s="80">
        <f t="shared" si="7"/>
        <v>1326952.264</v>
      </c>
      <c r="K495" s="77" t="str">
        <f t="shared" si="3"/>
        <v/>
      </c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</row>
    <row r="496" ht="15.75" customHeight="1">
      <c r="A496" s="68" t="s">
        <v>2571</v>
      </c>
      <c r="B496" s="69"/>
      <c r="C496" s="72">
        <f t="shared" si="4"/>
        <v>1336952.264</v>
      </c>
      <c r="D496" s="71">
        <v>0.01</v>
      </c>
      <c r="E496" s="72">
        <f t="shared" si="1"/>
        <v>13369.52264</v>
      </c>
      <c r="F496" s="72">
        <f t="shared" si="2"/>
        <v>1350321.787</v>
      </c>
      <c r="G496" s="79" t="str">
        <f t="shared" si="5"/>
        <v/>
      </c>
      <c r="H496" s="81"/>
      <c r="I496" s="75" t="str">
        <f t="shared" si="6"/>
        <v/>
      </c>
      <c r="J496" s="80">
        <f t="shared" si="7"/>
        <v>1340321.787</v>
      </c>
      <c r="K496" s="77" t="str">
        <f t="shared" si="3"/>
        <v/>
      </c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</row>
    <row r="497" ht="15.75" customHeight="1">
      <c r="A497" s="68" t="s">
        <v>2572</v>
      </c>
      <c r="B497" s="69"/>
      <c r="C497" s="72">
        <f t="shared" si="4"/>
        <v>1350321.787</v>
      </c>
      <c r="D497" s="71">
        <v>0.01</v>
      </c>
      <c r="E497" s="72">
        <f t="shared" si="1"/>
        <v>13503.21787</v>
      </c>
      <c r="F497" s="72">
        <f t="shared" si="2"/>
        <v>1363825.005</v>
      </c>
      <c r="G497" s="79" t="str">
        <f t="shared" si="5"/>
        <v/>
      </c>
      <c r="H497" s="81"/>
      <c r="I497" s="75" t="str">
        <f t="shared" si="6"/>
        <v/>
      </c>
      <c r="J497" s="80">
        <f t="shared" si="7"/>
        <v>1353825.005</v>
      </c>
      <c r="K497" s="77" t="str">
        <f t="shared" si="3"/>
        <v/>
      </c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</row>
    <row r="498" ht="15.75" customHeight="1">
      <c r="A498" s="68" t="s">
        <v>2573</v>
      </c>
      <c r="B498" s="69"/>
      <c r="C498" s="72">
        <f t="shared" si="4"/>
        <v>1363825.005</v>
      </c>
      <c r="D498" s="71">
        <v>0.01</v>
      </c>
      <c r="E498" s="72">
        <f t="shared" si="1"/>
        <v>13638.25005</v>
      </c>
      <c r="F498" s="72">
        <f t="shared" si="2"/>
        <v>1377463.255</v>
      </c>
      <c r="G498" s="79" t="str">
        <f t="shared" si="5"/>
        <v/>
      </c>
      <c r="H498" s="81"/>
      <c r="I498" s="75" t="str">
        <f t="shared" si="6"/>
        <v/>
      </c>
      <c r="J498" s="80">
        <f t="shared" si="7"/>
        <v>1367463.255</v>
      </c>
      <c r="K498" s="77" t="str">
        <f t="shared" si="3"/>
        <v/>
      </c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</row>
    <row r="499" ht="15.75" customHeight="1">
      <c r="A499" s="68" t="s">
        <v>2574</v>
      </c>
      <c r="B499" s="69"/>
      <c r="C499" s="72">
        <f t="shared" si="4"/>
        <v>1377463.255</v>
      </c>
      <c r="D499" s="71">
        <v>0.01</v>
      </c>
      <c r="E499" s="72">
        <f t="shared" si="1"/>
        <v>13774.63255</v>
      </c>
      <c r="F499" s="72">
        <f t="shared" si="2"/>
        <v>1391237.887</v>
      </c>
      <c r="G499" s="79" t="str">
        <f t="shared" si="5"/>
        <v/>
      </c>
      <c r="H499" s="81"/>
      <c r="I499" s="75" t="str">
        <f t="shared" si="6"/>
        <v/>
      </c>
      <c r="J499" s="80">
        <f t="shared" si="7"/>
        <v>1381237.887</v>
      </c>
      <c r="K499" s="77" t="str">
        <f t="shared" si="3"/>
        <v/>
      </c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</row>
    <row r="500" ht="15.75" customHeight="1">
      <c r="A500" s="68" t="s">
        <v>2575</v>
      </c>
      <c r="B500" s="69"/>
      <c r="C500" s="72">
        <f t="shared" si="4"/>
        <v>1391237.887</v>
      </c>
      <c r="D500" s="71">
        <v>0.01</v>
      </c>
      <c r="E500" s="72">
        <f t="shared" si="1"/>
        <v>13912.37887</v>
      </c>
      <c r="F500" s="72">
        <f t="shared" si="2"/>
        <v>1405150.266</v>
      </c>
      <c r="G500" s="79" t="str">
        <f t="shared" si="5"/>
        <v/>
      </c>
      <c r="H500" s="81"/>
      <c r="I500" s="75" t="str">
        <f t="shared" si="6"/>
        <v/>
      </c>
      <c r="J500" s="80">
        <f t="shared" si="7"/>
        <v>1395150.266</v>
      </c>
      <c r="K500" s="77" t="str">
        <f t="shared" si="3"/>
        <v/>
      </c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</row>
    <row r="501" ht="15.75" customHeight="1">
      <c r="A501" s="68" t="s">
        <v>2576</v>
      </c>
      <c r="B501" s="69"/>
      <c r="C501" s="72">
        <f t="shared" si="4"/>
        <v>1405150.266</v>
      </c>
      <c r="D501" s="71">
        <v>0.01</v>
      </c>
      <c r="E501" s="72">
        <f t="shared" si="1"/>
        <v>14051.50266</v>
      </c>
      <c r="F501" s="72">
        <f t="shared" si="2"/>
        <v>1419201.769</v>
      </c>
      <c r="G501" s="79" t="str">
        <f t="shared" si="5"/>
        <v/>
      </c>
      <c r="H501" s="81"/>
      <c r="I501" s="75" t="str">
        <f t="shared" si="6"/>
        <v/>
      </c>
      <c r="J501" s="80">
        <f t="shared" si="7"/>
        <v>1409201.769</v>
      </c>
      <c r="K501" s="77" t="str">
        <f t="shared" si="3"/>
        <v/>
      </c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</row>
    <row r="502" ht="15.75" customHeight="1">
      <c r="A502" s="68" t="s">
        <v>2577</v>
      </c>
      <c r="B502" s="69"/>
      <c r="C502" s="72">
        <f t="shared" si="4"/>
        <v>1419201.769</v>
      </c>
      <c r="D502" s="71">
        <v>0.01</v>
      </c>
      <c r="E502" s="72">
        <f t="shared" si="1"/>
        <v>14192.01769</v>
      </c>
      <c r="F502" s="72">
        <f t="shared" si="2"/>
        <v>1433393.786</v>
      </c>
      <c r="G502" s="79" t="str">
        <f t="shared" si="5"/>
        <v/>
      </c>
      <c r="H502" s="81"/>
      <c r="I502" s="75" t="str">
        <f t="shared" si="6"/>
        <v/>
      </c>
      <c r="J502" s="80">
        <f t="shared" si="7"/>
        <v>1423393.786</v>
      </c>
      <c r="K502" s="77" t="str">
        <f t="shared" si="3"/>
        <v/>
      </c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</row>
    <row r="503" ht="15.75" customHeight="1">
      <c r="A503" s="68" t="s">
        <v>2578</v>
      </c>
      <c r="B503" s="69"/>
      <c r="C503" s="72">
        <f t="shared" si="4"/>
        <v>1433393.786</v>
      </c>
      <c r="D503" s="71">
        <v>0.01</v>
      </c>
      <c r="E503" s="72">
        <f t="shared" si="1"/>
        <v>14333.93786</v>
      </c>
      <c r="F503" s="72">
        <f t="shared" si="2"/>
        <v>1447727.724</v>
      </c>
      <c r="G503" s="79" t="str">
        <f t="shared" si="5"/>
        <v/>
      </c>
      <c r="H503" s="81"/>
      <c r="I503" s="75" t="str">
        <f t="shared" si="6"/>
        <v/>
      </c>
      <c r="J503" s="80">
        <f t="shared" si="7"/>
        <v>1437727.724</v>
      </c>
      <c r="K503" s="77" t="str">
        <f t="shared" si="3"/>
        <v/>
      </c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</row>
    <row r="504" ht="15.75" customHeight="1">
      <c r="A504" s="68" t="s">
        <v>2579</v>
      </c>
      <c r="B504" s="69"/>
      <c r="C504" s="72">
        <f t="shared" si="4"/>
        <v>1447727.724</v>
      </c>
      <c r="D504" s="71">
        <v>0.01</v>
      </c>
      <c r="E504" s="72">
        <f t="shared" si="1"/>
        <v>14477.27724</v>
      </c>
      <c r="F504" s="72">
        <f t="shared" si="2"/>
        <v>1462205.002</v>
      </c>
      <c r="G504" s="79" t="str">
        <f t="shared" si="5"/>
        <v/>
      </c>
      <c r="H504" s="81"/>
      <c r="I504" s="75" t="str">
        <f t="shared" si="6"/>
        <v/>
      </c>
      <c r="J504" s="80">
        <f t="shared" si="7"/>
        <v>1452205.002</v>
      </c>
      <c r="K504" s="77" t="str">
        <f t="shared" si="3"/>
        <v/>
      </c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</row>
    <row r="505" ht="15.75" customHeight="1">
      <c r="A505" s="68" t="s">
        <v>2580</v>
      </c>
      <c r="B505" s="69"/>
      <c r="C505" s="72">
        <f t="shared" si="4"/>
        <v>1462205.002</v>
      </c>
      <c r="D505" s="71">
        <v>0.01</v>
      </c>
      <c r="E505" s="72">
        <f t="shared" si="1"/>
        <v>14622.05002</v>
      </c>
      <c r="F505" s="72">
        <f t="shared" si="2"/>
        <v>1476827.052</v>
      </c>
      <c r="G505" s="79" t="str">
        <f t="shared" si="5"/>
        <v/>
      </c>
      <c r="H505" s="81"/>
      <c r="I505" s="75" t="str">
        <f t="shared" si="6"/>
        <v/>
      </c>
      <c r="J505" s="80">
        <f t="shared" si="7"/>
        <v>1466827.052</v>
      </c>
      <c r="K505" s="77" t="str">
        <f t="shared" si="3"/>
        <v/>
      </c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</row>
    <row r="506" ht="15.75" customHeight="1">
      <c r="A506" s="68" t="s">
        <v>2581</v>
      </c>
      <c r="B506" s="69"/>
      <c r="C506" s="72">
        <f t="shared" si="4"/>
        <v>1476827.052</v>
      </c>
      <c r="D506" s="71">
        <v>0.01</v>
      </c>
      <c r="E506" s="72">
        <f t="shared" si="1"/>
        <v>14768.27052</v>
      </c>
      <c r="F506" s="72">
        <f t="shared" si="2"/>
        <v>1491595.322</v>
      </c>
      <c r="G506" s="79" t="str">
        <f t="shared" si="5"/>
        <v/>
      </c>
      <c r="H506" s="81"/>
      <c r="I506" s="75" t="str">
        <f t="shared" si="6"/>
        <v/>
      </c>
      <c r="J506" s="80">
        <f t="shared" si="7"/>
        <v>1481595.322</v>
      </c>
      <c r="K506" s="77" t="str">
        <f t="shared" si="3"/>
        <v/>
      </c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</row>
    <row r="507" ht="15.75" customHeight="1">
      <c r="A507" s="68" t="s">
        <v>2582</v>
      </c>
      <c r="B507" s="69"/>
      <c r="C507" s="72">
        <f t="shared" si="4"/>
        <v>1491595.322</v>
      </c>
      <c r="D507" s="71">
        <v>0.01</v>
      </c>
      <c r="E507" s="72">
        <f t="shared" si="1"/>
        <v>14915.95322</v>
      </c>
      <c r="F507" s="72">
        <f t="shared" si="2"/>
        <v>1506511.275</v>
      </c>
      <c r="G507" s="79" t="str">
        <f t="shared" si="5"/>
        <v/>
      </c>
      <c r="H507" s="81"/>
      <c r="I507" s="75" t="str">
        <f t="shared" si="6"/>
        <v/>
      </c>
      <c r="J507" s="80">
        <f t="shared" si="7"/>
        <v>1496511.275</v>
      </c>
      <c r="K507" s="77" t="str">
        <f t="shared" si="3"/>
        <v/>
      </c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</row>
    <row r="508" ht="15.75" customHeight="1">
      <c r="A508" s="68" t="s">
        <v>2583</v>
      </c>
      <c r="B508" s="69"/>
      <c r="C508" s="72">
        <f t="shared" si="4"/>
        <v>1506511.275</v>
      </c>
      <c r="D508" s="71">
        <v>0.01</v>
      </c>
      <c r="E508" s="72">
        <f t="shared" si="1"/>
        <v>15065.11275</v>
      </c>
      <c r="F508" s="72">
        <f t="shared" si="2"/>
        <v>1521576.388</v>
      </c>
      <c r="G508" s="79" t="str">
        <f t="shared" si="5"/>
        <v/>
      </c>
      <c r="H508" s="81"/>
      <c r="I508" s="75" t="str">
        <f t="shared" si="6"/>
        <v/>
      </c>
      <c r="J508" s="80">
        <f t="shared" si="7"/>
        <v>1511576.388</v>
      </c>
      <c r="K508" s="77" t="str">
        <f t="shared" si="3"/>
        <v/>
      </c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</row>
    <row r="509" ht="15.75" customHeight="1">
      <c r="A509" s="68" t="s">
        <v>2584</v>
      </c>
      <c r="B509" s="69"/>
      <c r="C509" s="72">
        <f t="shared" si="4"/>
        <v>1521576.388</v>
      </c>
      <c r="D509" s="71">
        <v>0.01</v>
      </c>
      <c r="E509" s="72">
        <f t="shared" si="1"/>
        <v>15215.76388</v>
      </c>
      <c r="F509" s="72">
        <f t="shared" si="2"/>
        <v>1536792.152</v>
      </c>
      <c r="G509" s="79" t="str">
        <f t="shared" si="5"/>
        <v/>
      </c>
      <c r="H509" s="81"/>
      <c r="I509" s="75" t="str">
        <f t="shared" si="6"/>
        <v/>
      </c>
      <c r="J509" s="80">
        <f t="shared" si="7"/>
        <v>1526792.152</v>
      </c>
      <c r="K509" s="77" t="str">
        <f t="shared" si="3"/>
        <v/>
      </c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</row>
    <row r="510" ht="15.75" customHeight="1">
      <c r="A510" s="68" t="s">
        <v>2585</v>
      </c>
      <c r="B510" s="69"/>
      <c r="C510" s="72">
        <f t="shared" si="4"/>
        <v>1536792.152</v>
      </c>
      <c r="D510" s="71">
        <v>0.01</v>
      </c>
      <c r="E510" s="72">
        <f t="shared" si="1"/>
        <v>15367.92152</v>
      </c>
      <c r="F510" s="72">
        <f t="shared" si="2"/>
        <v>1552160.073</v>
      </c>
      <c r="G510" s="79" t="str">
        <f t="shared" si="5"/>
        <v/>
      </c>
      <c r="H510" s="81"/>
      <c r="I510" s="75" t="str">
        <f t="shared" si="6"/>
        <v/>
      </c>
      <c r="J510" s="80">
        <f t="shared" si="7"/>
        <v>1542160.073</v>
      </c>
      <c r="K510" s="77" t="str">
        <f t="shared" si="3"/>
        <v/>
      </c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</row>
    <row r="511" ht="15.75" customHeight="1">
      <c r="A511" s="68" t="s">
        <v>2586</v>
      </c>
      <c r="B511" s="69"/>
      <c r="C511" s="72">
        <f t="shared" si="4"/>
        <v>1552160.073</v>
      </c>
      <c r="D511" s="71">
        <v>0.01</v>
      </c>
      <c r="E511" s="72">
        <f t="shared" si="1"/>
        <v>15521.60073</v>
      </c>
      <c r="F511" s="72">
        <f t="shared" si="2"/>
        <v>1567681.674</v>
      </c>
      <c r="G511" s="79" t="str">
        <f t="shared" si="5"/>
        <v/>
      </c>
      <c r="H511" s="81"/>
      <c r="I511" s="75" t="str">
        <f t="shared" si="6"/>
        <v/>
      </c>
      <c r="J511" s="80">
        <f t="shared" si="7"/>
        <v>1557681.674</v>
      </c>
      <c r="K511" s="77" t="str">
        <f t="shared" si="3"/>
        <v/>
      </c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</row>
    <row r="512" ht="15.75" customHeight="1">
      <c r="A512" s="68" t="s">
        <v>2587</v>
      </c>
      <c r="B512" s="69"/>
      <c r="C512" s="72">
        <f t="shared" si="4"/>
        <v>1567681.674</v>
      </c>
      <c r="D512" s="71">
        <v>0.01</v>
      </c>
      <c r="E512" s="72">
        <f t="shared" si="1"/>
        <v>15676.81674</v>
      </c>
      <c r="F512" s="72">
        <f t="shared" si="2"/>
        <v>1583358.491</v>
      </c>
      <c r="G512" s="79" t="str">
        <f t="shared" si="5"/>
        <v/>
      </c>
      <c r="H512" s="81"/>
      <c r="I512" s="75" t="str">
        <f t="shared" si="6"/>
        <v/>
      </c>
      <c r="J512" s="80">
        <f t="shared" si="7"/>
        <v>1573358.491</v>
      </c>
      <c r="K512" s="77" t="str">
        <f t="shared" si="3"/>
        <v/>
      </c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</row>
    <row r="513" ht="15.75" customHeight="1">
      <c r="A513" s="68" t="s">
        <v>2588</v>
      </c>
      <c r="B513" s="69"/>
      <c r="C513" s="72">
        <f t="shared" si="4"/>
        <v>1583358.491</v>
      </c>
      <c r="D513" s="71">
        <v>0.01</v>
      </c>
      <c r="E513" s="72">
        <f t="shared" si="1"/>
        <v>15833.58491</v>
      </c>
      <c r="F513" s="72">
        <f t="shared" si="2"/>
        <v>1599192.076</v>
      </c>
      <c r="G513" s="79" t="str">
        <f t="shared" si="5"/>
        <v/>
      </c>
      <c r="H513" s="81"/>
      <c r="I513" s="75" t="str">
        <f t="shared" si="6"/>
        <v/>
      </c>
      <c r="J513" s="80">
        <f t="shared" si="7"/>
        <v>1589192.076</v>
      </c>
      <c r="K513" s="77" t="str">
        <f t="shared" si="3"/>
        <v/>
      </c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</row>
    <row r="514" ht="15.75" customHeight="1">
      <c r="A514" s="68" t="s">
        <v>2589</v>
      </c>
      <c r="B514" s="69"/>
      <c r="C514" s="72">
        <f t="shared" si="4"/>
        <v>1599192.076</v>
      </c>
      <c r="D514" s="71">
        <v>0.01</v>
      </c>
      <c r="E514" s="72">
        <f t="shared" si="1"/>
        <v>15991.92076</v>
      </c>
      <c r="F514" s="72">
        <f t="shared" si="2"/>
        <v>1615183.997</v>
      </c>
      <c r="G514" s="79" t="str">
        <f t="shared" si="5"/>
        <v/>
      </c>
      <c r="H514" s="81"/>
      <c r="I514" s="75" t="str">
        <f t="shared" si="6"/>
        <v/>
      </c>
      <c r="J514" s="80">
        <f t="shared" si="7"/>
        <v>1605183.997</v>
      </c>
      <c r="K514" s="77" t="str">
        <f t="shared" si="3"/>
        <v/>
      </c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</row>
    <row r="515" ht="15.75" customHeight="1">
      <c r="A515" s="68" t="s">
        <v>2590</v>
      </c>
      <c r="B515" s="69"/>
      <c r="C515" s="72">
        <f t="shared" si="4"/>
        <v>1615183.997</v>
      </c>
      <c r="D515" s="71">
        <v>0.01</v>
      </c>
      <c r="E515" s="72">
        <f t="shared" si="1"/>
        <v>16151.83997</v>
      </c>
      <c r="F515" s="72">
        <f t="shared" si="2"/>
        <v>1631335.837</v>
      </c>
      <c r="G515" s="79" t="str">
        <f t="shared" si="5"/>
        <v/>
      </c>
      <c r="H515" s="81"/>
      <c r="I515" s="75" t="str">
        <f t="shared" si="6"/>
        <v/>
      </c>
      <c r="J515" s="80">
        <f t="shared" si="7"/>
        <v>1621335.837</v>
      </c>
      <c r="K515" s="77" t="str">
        <f t="shared" si="3"/>
        <v/>
      </c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</row>
    <row r="516" ht="15.75" customHeight="1">
      <c r="A516" s="68" t="s">
        <v>2591</v>
      </c>
      <c r="B516" s="69"/>
      <c r="C516" s="72">
        <f t="shared" si="4"/>
        <v>1631335.837</v>
      </c>
      <c r="D516" s="71">
        <v>0.01</v>
      </c>
      <c r="E516" s="72">
        <f t="shared" si="1"/>
        <v>16313.35837</v>
      </c>
      <c r="F516" s="72">
        <f t="shared" si="2"/>
        <v>1647649.195</v>
      </c>
      <c r="G516" s="79" t="str">
        <f t="shared" si="5"/>
        <v/>
      </c>
      <c r="H516" s="81"/>
      <c r="I516" s="75" t="str">
        <f t="shared" si="6"/>
        <v/>
      </c>
      <c r="J516" s="80">
        <f t="shared" si="7"/>
        <v>1637649.195</v>
      </c>
      <c r="K516" s="77" t="str">
        <f t="shared" si="3"/>
        <v/>
      </c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</row>
    <row r="517" ht="15.75" customHeight="1">
      <c r="A517" s="68" t="s">
        <v>2592</v>
      </c>
      <c r="B517" s="69"/>
      <c r="C517" s="72">
        <f t="shared" si="4"/>
        <v>1647649.195</v>
      </c>
      <c r="D517" s="71">
        <v>0.01</v>
      </c>
      <c r="E517" s="72">
        <f t="shared" si="1"/>
        <v>16476.49195</v>
      </c>
      <c r="F517" s="72">
        <f t="shared" si="2"/>
        <v>1664125.687</v>
      </c>
      <c r="G517" s="79" t="str">
        <f t="shared" si="5"/>
        <v/>
      </c>
      <c r="H517" s="81"/>
      <c r="I517" s="75" t="str">
        <f t="shared" si="6"/>
        <v/>
      </c>
      <c r="J517" s="80">
        <f t="shared" si="7"/>
        <v>1654125.687</v>
      </c>
      <c r="K517" s="77" t="str">
        <f t="shared" si="3"/>
        <v/>
      </c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</row>
    <row r="518" ht="15.75" customHeight="1">
      <c r="A518" s="68" t="s">
        <v>2593</v>
      </c>
      <c r="B518" s="69"/>
      <c r="C518" s="72">
        <f t="shared" si="4"/>
        <v>1664125.687</v>
      </c>
      <c r="D518" s="71">
        <v>0.01</v>
      </c>
      <c r="E518" s="72">
        <f t="shared" si="1"/>
        <v>16641.25687</v>
      </c>
      <c r="F518" s="72">
        <f t="shared" si="2"/>
        <v>1680766.944</v>
      </c>
      <c r="G518" s="79" t="str">
        <f t="shared" si="5"/>
        <v/>
      </c>
      <c r="H518" s="81"/>
      <c r="I518" s="75" t="str">
        <f t="shared" si="6"/>
        <v/>
      </c>
      <c r="J518" s="80">
        <f t="shared" si="7"/>
        <v>1670766.944</v>
      </c>
      <c r="K518" s="77" t="str">
        <f t="shared" si="3"/>
        <v/>
      </c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</row>
    <row r="519" ht="15.75" customHeight="1">
      <c r="A519" s="68" t="s">
        <v>2594</v>
      </c>
      <c r="B519" s="69"/>
      <c r="C519" s="72">
        <f t="shared" si="4"/>
        <v>1680766.944</v>
      </c>
      <c r="D519" s="71">
        <v>0.01</v>
      </c>
      <c r="E519" s="72">
        <f t="shared" si="1"/>
        <v>16807.66944</v>
      </c>
      <c r="F519" s="72">
        <f t="shared" si="2"/>
        <v>1697574.613</v>
      </c>
      <c r="G519" s="79" t="str">
        <f t="shared" si="5"/>
        <v/>
      </c>
      <c r="H519" s="81"/>
      <c r="I519" s="75" t="str">
        <f t="shared" si="6"/>
        <v/>
      </c>
      <c r="J519" s="80">
        <f t="shared" si="7"/>
        <v>1687574.613</v>
      </c>
      <c r="K519" s="77" t="str">
        <f t="shared" si="3"/>
        <v/>
      </c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</row>
    <row r="520" ht="15.75" customHeight="1">
      <c r="A520" s="68" t="s">
        <v>2595</v>
      </c>
      <c r="B520" s="69"/>
      <c r="C520" s="72">
        <f t="shared" si="4"/>
        <v>1697574.613</v>
      </c>
      <c r="D520" s="71">
        <v>0.01</v>
      </c>
      <c r="E520" s="72">
        <f t="shared" si="1"/>
        <v>16975.74613</v>
      </c>
      <c r="F520" s="72">
        <f t="shared" si="2"/>
        <v>1714550.359</v>
      </c>
      <c r="G520" s="79" t="str">
        <f t="shared" si="5"/>
        <v/>
      </c>
      <c r="H520" s="81"/>
      <c r="I520" s="75" t="str">
        <f t="shared" si="6"/>
        <v/>
      </c>
      <c r="J520" s="80">
        <f t="shared" si="7"/>
        <v>1704550.359</v>
      </c>
      <c r="K520" s="77" t="str">
        <f t="shared" si="3"/>
        <v/>
      </c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</row>
    <row r="521" ht="15.75" customHeight="1">
      <c r="A521" s="68" t="s">
        <v>2596</v>
      </c>
      <c r="B521" s="69"/>
      <c r="C521" s="72">
        <f t="shared" si="4"/>
        <v>1714550.359</v>
      </c>
      <c r="D521" s="71">
        <v>0.01</v>
      </c>
      <c r="E521" s="72">
        <f t="shared" si="1"/>
        <v>17145.50359</v>
      </c>
      <c r="F521" s="72">
        <f t="shared" si="2"/>
        <v>1731695.863</v>
      </c>
      <c r="G521" s="79" t="str">
        <f t="shared" si="5"/>
        <v/>
      </c>
      <c r="H521" s="81"/>
      <c r="I521" s="75" t="str">
        <f t="shared" si="6"/>
        <v/>
      </c>
      <c r="J521" s="80">
        <f t="shared" si="7"/>
        <v>1721695.863</v>
      </c>
      <c r="K521" s="77" t="str">
        <f t="shared" si="3"/>
        <v/>
      </c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</row>
    <row r="522" ht="15.75" customHeight="1">
      <c r="A522" s="68" t="s">
        <v>2597</v>
      </c>
      <c r="B522" s="69"/>
      <c r="C522" s="72">
        <f t="shared" si="4"/>
        <v>1731695.863</v>
      </c>
      <c r="D522" s="71">
        <v>0.01</v>
      </c>
      <c r="E522" s="72">
        <f t="shared" si="1"/>
        <v>17316.95863</v>
      </c>
      <c r="F522" s="72">
        <f t="shared" si="2"/>
        <v>1749012.822</v>
      </c>
      <c r="G522" s="79" t="str">
        <f t="shared" si="5"/>
        <v/>
      </c>
      <c r="H522" s="81"/>
      <c r="I522" s="75" t="str">
        <f t="shared" si="6"/>
        <v/>
      </c>
      <c r="J522" s="80">
        <f t="shared" si="7"/>
        <v>1739012.822</v>
      </c>
      <c r="K522" s="77" t="str">
        <f t="shared" si="3"/>
        <v/>
      </c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</row>
    <row r="523" ht="15.75" customHeight="1">
      <c r="A523" s="68" t="s">
        <v>2598</v>
      </c>
      <c r="B523" s="69"/>
      <c r="C523" s="72">
        <f t="shared" si="4"/>
        <v>1749012.822</v>
      </c>
      <c r="D523" s="71">
        <v>0.01</v>
      </c>
      <c r="E523" s="72">
        <f t="shared" si="1"/>
        <v>17490.12822</v>
      </c>
      <c r="F523" s="72">
        <f t="shared" si="2"/>
        <v>1766502.95</v>
      </c>
      <c r="G523" s="79" t="str">
        <f t="shared" si="5"/>
        <v/>
      </c>
      <c r="H523" s="81"/>
      <c r="I523" s="75" t="str">
        <f t="shared" si="6"/>
        <v/>
      </c>
      <c r="J523" s="80">
        <f t="shared" si="7"/>
        <v>1756502.95</v>
      </c>
      <c r="K523" s="77" t="str">
        <f t="shared" si="3"/>
        <v/>
      </c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</row>
    <row r="524" ht="15.75" customHeight="1">
      <c r="A524" s="68" t="s">
        <v>2599</v>
      </c>
      <c r="B524" s="69"/>
      <c r="C524" s="72">
        <f t="shared" si="4"/>
        <v>1766502.95</v>
      </c>
      <c r="D524" s="71">
        <v>0.01</v>
      </c>
      <c r="E524" s="72">
        <f t="shared" si="1"/>
        <v>17665.0295</v>
      </c>
      <c r="F524" s="72">
        <f t="shared" si="2"/>
        <v>1784167.979</v>
      </c>
      <c r="G524" s="79" t="str">
        <f t="shared" si="5"/>
        <v/>
      </c>
      <c r="H524" s="81"/>
      <c r="I524" s="75" t="str">
        <f t="shared" si="6"/>
        <v/>
      </c>
      <c r="J524" s="80">
        <f t="shared" si="7"/>
        <v>1774167.979</v>
      </c>
      <c r="K524" s="77" t="str">
        <f t="shared" si="3"/>
        <v/>
      </c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</row>
    <row r="525" ht="15.75" customHeight="1">
      <c r="A525" s="68" t="s">
        <v>2600</v>
      </c>
      <c r="B525" s="69"/>
      <c r="C525" s="72">
        <f t="shared" si="4"/>
        <v>1784167.979</v>
      </c>
      <c r="D525" s="71">
        <v>0.01</v>
      </c>
      <c r="E525" s="72">
        <f t="shared" si="1"/>
        <v>17841.67979</v>
      </c>
      <c r="F525" s="72">
        <f t="shared" si="2"/>
        <v>1802009.659</v>
      </c>
      <c r="G525" s="79" t="str">
        <f t="shared" si="5"/>
        <v/>
      </c>
      <c r="H525" s="81"/>
      <c r="I525" s="75" t="str">
        <f t="shared" si="6"/>
        <v/>
      </c>
      <c r="J525" s="80">
        <f t="shared" si="7"/>
        <v>1792009.659</v>
      </c>
      <c r="K525" s="77" t="str">
        <f t="shared" si="3"/>
        <v/>
      </c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</row>
    <row r="526" ht="15.75" customHeight="1">
      <c r="A526" s="68" t="s">
        <v>2601</v>
      </c>
      <c r="B526" s="69"/>
      <c r="C526" s="72">
        <f t="shared" si="4"/>
        <v>1802009.659</v>
      </c>
      <c r="D526" s="71">
        <v>0.01</v>
      </c>
      <c r="E526" s="72">
        <f t="shared" si="1"/>
        <v>18020.09659</v>
      </c>
      <c r="F526" s="72">
        <f t="shared" si="2"/>
        <v>1820029.756</v>
      </c>
      <c r="G526" s="79" t="str">
        <f t="shared" si="5"/>
        <v/>
      </c>
      <c r="H526" s="81"/>
      <c r="I526" s="75" t="str">
        <f t="shared" si="6"/>
        <v/>
      </c>
      <c r="J526" s="80">
        <f t="shared" si="7"/>
        <v>1810029.756</v>
      </c>
      <c r="K526" s="77" t="str">
        <f t="shared" si="3"/>
        <v/>
      </c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</row>
    <row r="527" ht="15.75" customHeight="1">
      <c r="A527" s="68" t="s">
        <v>2602</v>
      </c>
      <c r="B527" s="69"/>
      <c r="C527" s="72">
        <f t="shared" si="4"/>
        <v>1820029.756</v>
      </c>
      <c r="D527" s="71">
        <v>0.01</v>
      </c>
      <c r="E527" s="72">
        <f t="shared" si="1"/>
        <v>18200.29756</v>
      </c>
      <c r="F527" s="72">
        <f t="shared" si="2"/>
        <v>1838230.053</v>
      </c>
      <c r="G527" s="79" t="str">
        <f t="shared" si="5"/>
        <v/>
      </c>
      <c r="H527" s="81"/>
      <c r="I527" s="75" t="str">
        <f t="shared" si="6"/>
        <v/>
      </c>
      <c r="J527" s="80">
        <f t="shared" si="7"/>
        <v>1828230.053</v>
      </c>
      <c r="K527" s="77" t="str">
        <f t="shared" si="3"/>
        <v/>
      </c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</row>
    <row r="528" ht="15.75" customHeight="1">
      <c r="A528" s="68" t="s">
        <v>2603</v>
      </c>
      <c r="B528" s="69"/>
      <c r="C528" s="72">
        <f t="shared" si="4"/>
        <v>1838230.053</v>
      </c>
      <c r="D528" s="71">
        <v>0.01</v>
      </c>
      <c r="E528" s="72">
        <f t="shared" si="1"/>
        <v>18382.30053</v>
      </c>
      <c r="F528" s="72">
        <f t="shared" si="2"/>
        <v>1856612.354</v>
      </c>
      <c r="G528" s="79" t="str">
        <f t="shared" si="5"/>
        <v/>
      </c>
      <c r="H528" s="81"/>
      <c r="I528" s="75" t="str">
        <f t="shared" si="6"/>
        <v/>
      </c>
      <c r="J528" s="80">
        <f t="shared" si="7"/>
        <v>1846612.354</v>
      </c>
      <c r="K528" s="77" t="str">
        <f t="shared" si="3"/>
        <v/>
      </c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</row>
    <row r="529" ht="15.75" customHeight="1">
      <c r="A529" s="68" t="s">
        <v>2604</v>
      </c>
      <c r="B529" s="69"/>
      <c r="C529" s="72">
        <f t="shared" si="4"/>
        <v>1856612.354</v>
      </c>
      <c r="D529" s="71">
        <v>0.01</v>
      </c>
      <c r="E529" s="72">
        <f t="shared" si="1"/>
        <v>18566.12354</v>
      </c>
      <c r="F529" s="72">
        <f t="shared" si="2"/>
        <v>1875178.477</v>
      </c>
      <c r="G529" s="79" t="str">
        <f t="shared" si="5"/>
        <v/>
      </c>
      <c r="H529" s="81"/>
      <c r="I529" s="75" t="str">
        <f t="shared" si="6"/>
        <v/>
      </c>
      <c r="J529" s="80">
        <f t="shared" si="7"/>
        <v>1865178.477</v>
      </c>
      <c r="K529" s="77" t="str">
        <f t="shared" si="3"/>
        <v/>
      </c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</row>
    <row r="530" ht="15.75" customHeight="1">
      <c r="A530" s="68" t="s">
        <v>2605</v>
      </c>
      <c r="B530" s="69"/>
      <c r="C530" s="72">
        <f t="shared" si="4"/>
        <v>1875178.477</v>
      </c>
      <c r="D530" s="71">
        <v>0.01</v>
      </c>
      <c r="E530" s="72">
        <f t="shared" si="1"/>
        <v>18751.78477</v>
      </c>
      <c r="F530" s="72">
        <f t="shared" si="2"/>
        <v>1893930.262</v>
      </c>
      <c r="G530" s="79" t="str">
        <f t="shared" si="5"/>
        <v/>
      </c>
      <c r="H530" s="81"/>
      <c r="I530" s="75" t="str">
        <f t="shared" si="6"/>
        <v/>
      </c>
      <c r="J530" s="80">
        <f t="shared" si="7"/>
        <v>1883930.262</v>
      </c>
      <c r="K530" s="77" t="str">
        <f t="shared" si="3"/>
        <v/>
      </c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</row>
    <row r="531" ht="15.75" customHeight="1">
      <c r="A531" s="68" t="s">
        <v>2606</v>
      </c>
      <c r="B531" s="69"/>
      <c r="C531" s="72">
        <f t="shared" si="4"/>
        <v>1893930.262</v>
      </c>
      <c r="D531" s="71">
        <v>0.01</v>
      </c>
      <c r="E531" s="72">
        <f t="shared" si="1"/>
        <v>18939.30262</v>
      </c>
      <c r="F531" s="72">
        <f t="shared" si="2"/>
        <v>1912869.565</v>
      </c>
      <c r="G531" s="79" t="str">
        <f t="shared" si="5"/>
        <v/>
      </c>
      <c r="H531" s="81"/>
      <c r="I531" s="75" t="str">
        <f t="shared" si="6"/>
        <v/>
      </c>
      <c r="J531" s="80">
        <f t="shared" si="7"/>
        <v>1902869.565</v>
      </c>
      <c r="K531" s="77" t="str">
        <f t="shared" si="3"/>
        <v/>
      </c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</row>
    <row r="532" ht="15.75" customHeight="1">
      <c r="A532" s="68" t="s">
        <v>2607</v>
      </c>
      <c r="B532" s="69"/>
      <c r="C532" s="72">
        <f t="shared" si="4"/>
        <v>1912869.565</v>
      </c>
      <c r="D532" s="71">
        <v>0.01</v>
      </c>
      <c r="E532" s="72">
        <f t="shared" si="1"/>
        <v>19128.69565</v>
      </c>
      <c r="F532" s="72">
        <f t="shared" si="2"/>
        <v>1931998.26</v>
      </c>
      <c r="G532" s="79" t="str">
        <f t="shared" si="5"/>
        <v/>
      </c>
      <c r="H532" s="81"/>
      <c r="I532" s="75" t="str">
        <f t="shared" si="6"/>
        <v/>
      </c>
      <c r="J532" s="80">
        <f t="shared" si="7"/>
        <v>1921998.26</v>
      </c>
      <c r="K532" s="77" t="str">
        <f t="shared" si="3"/>
        <v/>
      </c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</row>
    <row r="533" ht="15.75" customHeight="1">
      <c r="A533" s="68" t="s">
        <v>2608</v>
      </c>
      <c r="B533" s="69"/>
      <c r="C533" s="72">
        <f t="shared" si="4"/>
        <v>1931998.26</v>
      </c>
      <c r="D533" s="71">
        <v>0.01</v>
      </c>
      <c r="E533" s="72">
        <f t="shared" si="1"/>
        <v>19319.9826</v>
      </c>
      <c r="F533" s="72">
        <f t="shared" si="2"/>
        <v>1951318.243</v>
      </c>
      <c r="G533" s="79" t="str">
        <f t="shared" si="5"/>
        <v/>
      </c>
      <c r="H533" s="81"/>
      <c r="I533" s="75" t="str">
        <f t="shared" si="6"/>
        <v/>
      </c>
      <c r="J533" s="80">
        <f t="shared" si="7"/>
        <v>1941318.243</v>
      </c>
      <c r="K533" s="77" t="str">
        <f t="shared" si="3"/>
        <v/>
      </c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</row>
    <row r="534" ht="15.75" customHeight="1">
      <c r="A534" s="68" t="s">
        <v>2609</v>
      </c>
      <c r="B534" s="69"/>
      <c r="C534" s="72">
        <f t="shared" si="4"/>
        <v>1951318.243</v>
      </c>
      <c r="D534" s="71">
        <v>0.01</v>
      </c>
      <c r="E534" s="72">
        <f t="shared" si="1"/>
        <v>19513.18243</v>
      </c>
      <c r="F534" s="72">
        <f t="shared" si="2"/>
        <v>1970831.425</v>
      </c>
      <c r="G534" s="79" t="str">
        <f t="shared" si="5"/>
        <v/>
      </c>
      <c r="H534" s="81"/>
      <c r="I534" s="75" t="str">
        <f t="shared" si="6"/>
        <v/>
      </c>
      <c r="J534" s="80">
        <f t="shared" si="7"/>
        <v>1960831.425</v>
      </c>
      <c r="K534" s="77" t="str">
        <f t="shared" si="3"/>
        <v/>
      </c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</row>
    <row r="535" ht="15.75" customHeight="1">
      <c r="A535" s="68" t="s">
        <v>2610</v>
      </c>
      <c r="B535" s="69"/>
      <c r="C535" s="72">
        <f t="shared" si="4"/>
        <v>1970831.425</v>
      </c>
      <c r="D535" s="71">
        <v>0.01</v>
      </c>
      <c r="E535" s="72">
        <f t="shared" si="1"/>
        <v>19708.31425</v>
      </c>
      <c r="F535" s="72">
        <f t="shared" si="2"/>
        <v>1990539.74</v>
      </c>
      <c r="G535" s="79" t="str">
        <f t="shared" si="5"/>
        <v/>
      </c>
      <c r="H535" s="81"/>
      <c r="I535" s="75" t="str">
        <f t="shared" si="6"/>
        <v/>
      </c>
      <c r="J535" s="80">
        <f t="shared" si="7"/>
        <v>1980539.74</v>
      </c>
      <c r="K535" s="77" t="str">
        <f t="shared" si="3"/>
        <v/>
      </c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</row>
    <row r="536" ht="15.75" customHeight="1">
      <c r="A536" s="68" t="s">
        <v>2611</v>
      </c>
      <c r="B536" s="69"/>
      <c r="C536" s="72">
        <f t="shared" si="4"/>
        <v>1990539.74</v>
      </c>
      <c r="D536" s="71">
        <v>0.01</v>
      </c>
      <c r="E536" s="72">
        <f t="shared" si="1"/>
        <v>19905.3974</v>
      </c>
      <c r="F536" s="72">
        <f t="shared" si="2"/>
        <v>2010445.137</v>
      </c>
      <c r="G536" s="79" t="str">
        <f t="shared" si="5"/>
        <v/>
      </c>
      <c r="H536" s="81"/>
      <c r="I536" s="75" t="str">
        <f t="shared" si="6"/>
        <v/>
      </c>
      <c r="J536" s="80">
        <f t="shared" si="7"/>
        <v>2000445.137</v>
      </c>
      <c r="K536" s="77" t="str">
        <f t="shared" si="3"/>
        <v/>
      </c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</row>
    <row r="537" ht="15.75" customHeight="1">
      <c r="A537" s="68" t="s">
        <v>2612</v>
      </c>
      <c r="B537" s="69"/>
      <c r="C537" s="72">
        <f t="shared" si="4"/>
        <v>2010445.137</v>
      </c>
      <c r="D537" s="71">
        <v>0.01</v>
      </c>
      <c r="E537" s="72">
        <f t="shared" si="1"/>
        <v>20104.45137</v>
      </c>
      <c r="F537" s="72">
        <f t="shared" si="2"/>
        <v>2030549.588</v>
      </c>
      <c r="G537" s="79" t="str">
        <f t="shared" si="5"/>
        <v/>
      </c>
      <c r="H537" s="81"/>
      <c r="I537" s="75" t="str">
        <f t="shared" si="6"/>
        <v/>
      </c>
      <c r="J537" s="80">
        <f t="shared" si="7"/>
        <v>2020549.588</v>
      </c>
      <c r="K537" s="77" t="str">
        <f t="shared" si="3"/>
        <v/>
      </c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</row>
    <row r="538" ht="15.75" customHeight="1">
      <c r="A538" s="68" t="s">
        <v>2613</v>
      </c>
      <c r="B538" s="69"/>
      <c r="C538" s="72">
        <f t="shared" si="4"/>
        <v>2030549.588</v>
      </c>
      <c r="D538" s="71">
        <v>0.01</v>
      </c>
      <c r="E538" s="72">
        <f t="shared" si="1"/>
        <v>20305.49588</v>
      </c>
      <c r="F538" s="72">
        <f t="shared" si="2"/>
        <v>2050855.084</v>
      </c>
      <c r="G538" s="79" t="str">
        <f t="shared" si="5"/>
        <v/>
      </c>
      <c r="H538" s="81"/>
      <c r="I538" s="75" t="str">
        <f t="shared" si="6"/>
        <v/>
      </c>
      <c r="J538" s="80">
        <f t="shared" si="7"/>
        <v>2040855.084</v>
      </c>
      <c r="K538" s="77" t="str">
        <f t="shared" si="3"/>
        <v/>
      </c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</row>
    <row r="539" ht="15.75" customHeight="1">
      <c r="A539" s="68" t="s">
        <v>2614</v>
      </c>
      <c r="B539" s="69"/>
      <c r="C539" s="72">
        <f t="shared" si="4"/>
        <v>2050855.084</v>
      </c>
      <c r="D539" s="71">
        <v>0.01</v>
      </c>
      <c r="E539" s="72">
        <f t="shared" si="1"/>
        <v>20508.55084</v>
      </c>
      <c r="F539" s="72">
        <f t="shared" si="2"/>
        <v>2071363.635</v>
      </c>
      <c r="G539" s="79" t="str">
        <f t="shared" si="5"/>
        <v/>
      </c>
      <c r="H539" s="81"/>
      <c r="I539" s="75" t="str">
        <f t="shared" si="6"/>
        <v/>
      </c>
      <c r="J539" s="80">
        <f t="shared" si="7"/>
        <v>2061363.635</v>
      </c>
      <c r="K539" s="77" t="str">
        <f t="shared" si="3"/>
        <v/>
      </c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</row>
    <row r="540" ht="15.75" customHeight="1">
      <c r="A540" s="68" t="s">
        <v>2615</v>
      </c>
      <c r="B540" s="69"/>
      <c r="C540" s="72">
        <f t="shared" si="4"/>
        <v>2071363.635</v>
      </c>
      <c r="D540" s="71">
        <v>0.01</v>
      </c>
      <c r="E540" s="72">
        <f t="shared" si="1"/>
        <v>20713.63635</v>
      </c>
      <c r="F540" s="72">
        <f t="shared" si="2"/>
        <v>2092077.271</v>
      </c>
      <c r="G540" s="79" t="str">
        <f t="shared" si="5"/>
        <v/>
      </c>
      <c r="H540" s="81"/>
      <c r="I540" s="75" t="str">
        <f t="shared" si="6"/>
        <v/>
      </c>
      <c r="J540" s="80">
        <f t="shared" si="7"/>
        <v>2082077.271</v>
      </c>
      <c r="K540" s="77" t="str">
        <f t="shared" si="3"/>
        <v/>
      </c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</row>
    <row r="541" ht="15.75" customHeight="1">
      <c r="A541" s="68" t="s">
        <v>2616</v>
      </c>
      <c r="B541" s="69"/>
      <c r="C541" s="72">
        <f t="shared" si="4"/>
        <v>2092077.271</v>
      </c>
      <c r="D541" s="71">
        <v>0.01</v>
      </c>
      <c r="E541" s="72">
        <f t="shared" si="1"/>
        <v>20920.77271</v>
      </c>
      <c r="F541" s="72">
        <f t="shared" si="2"/>
        <v>2112998.044</v>
      </c>
      <c r="G541" s="79" t="str">
        <f t="shared" si="5"/>
        <v/>
      </c>
      <c r="H541" s="81"/>
      <c r="I541" s="75" t="str">
        <f t="shared" si="6"/>
        <v/>
      </c>
      <c r="J541" s="80">
        <f t="shared" si="7"/>
        <v>2102998.044</v>
      </c>
      <c r="K541" s="77" t="str">
        <f t="shared" si="3"/>
        <v/>
      </c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</row>
    <row r="542" ht="15.75" customHeight="1">
      <c r="A542" s="68" t="s">
        <v>2617</v>
      </c>
      <c r="B542" s="69"/>
      <c r="C542" s="72">
        <f t="shared" si="4"/>
        <v>2112998.044</v>
      </c>
      <c r="D542" s="71">
        <v>0.01</v>
      </c>
      <c r="E542" s="72">
        <f t="shared" si="1"/>
        <v>21129.98044</v>
      </c>
      <c r="F542" s="72">
        <f t="shared" si="2"/>
        <v>2134128.025</v>
      </c>
      <c r="G542" s="79" t="str">
        <f t="shared" si="5"/>
        <v/>
      </c>
      <c r="H542" s="81"/>
      <c r="I542" s="75" t="str">
        <f t="shared" si="6"/>
        <v/>
      </c>
      <c r="J542" s="80">
        <f t="shared" si="7"/>
        <v>2124128.025</v>
      </c>
      <c r="K542" s="77" t="str">
        <f t="shared" si="3"/>
        <v/>
      </c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</row>
    <row r="543" ht="15.75" customHeight="1">
      <c r="A543" s="68" t="s">
        <v>2618</v>
      </c>
      <c r="B543" s="69"/>
      <c r="C543" s="72">
        <f t="shared" si="4"/>
        <v>2134128.025</v>
      </c>
      <c r="D543" s="71">
        <v>0.01</v>
      </c>
      <c r="E543" s="72">
        <f t="shared" si="1"/>
        <v>21341.28025</v>
      </c>
      <c r="F543" s="72">
        <f t="shared" si="2"/>
        <v>2155469.305</v>
      </c>
      <c r="G543" s="79" t="str">
        <f t="shared" si="5"/>
        <v/>
      </c>
      <c r="H543" s="81"/>
      <c r="I543" s="75" t="str">
        <f t="shared" si="6"/>
        <v/>
      </c>
      <c r="J543" s="80">
        <f t="shared" si="7"/>
        <v>2145469.305</v>
      </c>
      <c r="K543" s="77" t="str">
        <f t="shared" si="3"/>
        <v/>
      </c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</row>
    <row r="544" ht="15.75" customHeight="1">
      <c r="A544" s="68" t="s">
        <v>2619</v>
      </c>
      <c r="B544" s="69"/>
      <c r="C544" s="72">
        <f t="shared" si="4"/>
        <v>2155469.305</v>
      </c>
      <c r="D544" s="71">
        <v>0.01</v>
      </c>
      <c r="E544" s="72">
        <f t="shared" si="1"/>
        <v>21554.69305</v>
      </c>
      <c r="F544" s="72">
        <f t="shared" si="2"/>
        <v>2177023.998</v>
      </c>
      <c r="G544" s="79" t="str">
        <f t="shared" si="5"/>
        <v/>
      </c>
      <c r="H544" s="81"/>
      <c r="I544" s="75" t="str">
        <f t="shared" si="6"/>
        <v/>
      </c>
      <c r="J544" s="80">
        <f t="shared" si="7"/>
        <v>2167023.998</v>
      </c>
      <c r="K544" s="77" t="str">
        <f t="shared" si="3"/>
        <v/>
      </c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</row>
    <row r="545" ht="15.75" customHeight="1">
      <c r="A545" s="68" t="s">
        <v>2620</v>
      </c>
      <c r="B545" s="69"/>
      <c r="C545" s="72">
        <f t="shared" si="4"/>
        <v>2177023.998</v>
      </c>
      <c r="D545" s="71">
        <v>0.01</v>
      </c>
      <c r="E545" s="72">
        <f t="shared" si="1"/>
        <v>21770.23998</v>
      </c>
      <c r="F545" s="72">
        <f t="shared" si="2"/>
        <v>2198794.238</v>
      </c>
      <c r="G545" s="79" t="str">
        <f t="shared" si="5"/>
        <v/>
      </c>
      <c r="H545" s="81"/>
      <c r="I545" s="75" t="str">
        <f t="shared" si="6"/>
        <v/>
      </c>
      <c r="J545" s="80">
        <f t="shared" si="7"/>
        <v>2188794.238</v>
      </c>
      <c r="K545" s="77" t="str">
        <f t="shared" si="3"/>
        <v/>
      </c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</row>
    <row r="546" ht="15.75" customHeight="1">
      <c r="A546" s="68" t="s">
        <v>2621</v>
      </c>
      <c r="B546" s="69"/>
      <c r="C546" s="72">
        <f t="shared" si="4"/>
        <v>2198794.238</v>
      </c>
      <c r="D546" s="71">
        <v>0.01</v>
      </c>
      <c r="E546" s="72">
        <f t="shared" si="1"/>
        <v>21987.94238</v>
      </c>
      <c r="F546" s="72">
        <f t="shared" si="2"/>
        <v>2220782.18</v>
      </c>
      <c r="G546" s="79" t="str">
        <f t="shared" si="5"/>
        <v/>
      </c>
      <c r="H546" s="81"/>
      <c r="I546" s="75" t="str">
        <f t="shared" si="6"/>
        <v/>
      </c>
      <c r="J546" s="80">
        <f t="shared" si="7"/>
        <v>2210782.18</v>
      </c>
      <c r="K546" s="77" t="str">
        <f t="shared" si="3"/>
        <v/>
      </c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</row>
    <row r="547" ht="15.75" customHeight="1">
      <c r="A547" s="68" t="s">
        <v>2622</v>
      </c>
      <c r="B547" s="69"/>
      <c r="C547" s="72">
        <f t="shared" si="4"/>
        <v>2220782.18</v>
      </c>
      <c r="D547" s="71">
        <v>0.01</v>
      </c>
      <c r="E547" s="72">
        <f t="shared" si="1"/>
        <v>22207.8218</v>
      </c>
      <c r="F547" s="72">
        <f t="shared" si="2"/>
        <v>2242990.002</v>
      </c>
      <c r="G547" s="79" t="str">
        <f t="shared" si="5"/>
        <v/>
      </c>
      <c r="H547" s="81"/>
      <c r="I547" s="75" t="str">
        <f t="shared" si="6"/>
        <v/>
      </c>
      <c r="J547" s="80">
        <f t="shared" si="7"/>
        <v>2232990.002</v>
      </c>
      <c r="K547" s="77" t="str">
        <f t="shared" si="3"/>
        <v/>
      </c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</row>
    <row r="548" ht="15.75" customHeight="1">
      <c r="A548" s="68" t="s">
        <v>2623</v>
      </c>
      <c r="B548" s="69"/>
      <c r="C548" s="72">
        <f t="shared" si="4"/>
        <v>2242990.002</v>
      </c>
      <c r="D548" s="71">
        <v>0.01</v>
      </c>
      <c r="E548" s="72">
        <f t="shared" si="1"/>
        <v>22429.90002</v>
      </c>
      <c r="F548" s="72">
        <f t="shared" si="2"/>
        <v>2265419.902</v>
      </c>
      <c r="G548" s="79" t="str">
        <f t="shared" si="5"/>
        <v/>
      </c>
      <c r="H548" s="81"/>
      <c r="I548" s="75" t="str">
        <f t="shared" si="6"/>
        <v/>
      </c>
      <c r="J548" s="80">
        <f t="shared" si="7"/>
        <v>2255419.902</v>
      </c>
      <c r="K548" s="77" t="str">
        <f t="shared" si="3"/>
        <v/>
      </c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</row>
    <row r="549" ht="15.75" customHeight="1">
      <c r="A549" s="68" t="s">
        <v>2624</v>
      </c>
      <c r="B549" s="69"/>
      <c r="C549" s="72">
        <f t="shared" si="4"/>
        <v>2265419.902</v>
      </c>
      <c r="D549" s="71">
        <v>0.01</v>
      </c>
      <c r="E549" s="72">
        <f t="shared" si="1"/>
        <v>22654.19902</v>
      </c>
      <c r="F549" s="72">
        <f t="shared" si="2"/>
        <v>2288074.101</v>
      </c>
      <c r="G549" s="79" t="str">
        <f t="shared" si="5"/>
        <v/>
      </c>
      <c r="H549" s="81"/>
      <c r="I549" s="75" t="str">
        <f t="shared" si="6"/>
        <v/>
      </c>
      <c r="J549" s="80">
        <f t="shared" si="7"/>
        <v>2278074.101</v>
      </c>
      <c r="K549" s="77" t="str">
        <f t="shared" si="3"/>
        <v/>
      </c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</row>
    <row r="550" ht="15.75" customHeight="1">
      <c r="A550" s="68" t="s">
        <v>2625</v>
      </c>
      <c r="B550" s="69"/>
      <c r="C550" s="72">
        <f t="shared" si="4"/>
        <v>2288074.101</v>
      </c>
      <c r="D550" s="71">
        <v>0.01</v>
      </c>
      <c r="E550" s="72">
        <f t="shared" si="1"/>
        <v>22880.74101</v>
      </c>
      <c r="F550" s="72">
        <f t="shared" si="2"/>
        <v>2310954.842</v>
      </c>
      <c r="G550" s="79" t="str">
        <f t="shared" si="5"/>
        <v/>
      </c>
      <c r="H550" s="81"/>
      <c r="I550" s="75" t="str">
        <f t="shared" si="6"/>
        <v/>
      </c>
      <c r="J550" s="80">
        <f t="shared" si="7"/>
        <v>2300954.842</v>
      </c>
      <c r="K550" s="77" t="str">
        <f t="shared" si="3"/>
        <v/>
      </c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</row>
    <row r="551" ht="15.75" customHeight="1">
      <c r="A551" s="68" t="s">
        <v>2626</v>
      </c>
      <c r="B551" s="69"/>
      <c r="C551" s="72">
        <f t="shared" si="4"/>
        <v>2310954.842</v>
      </c>
      <c r="D551" s="71">
        <v>0.01</v>
      </c>
      <c r="E551" s="72">
        <f t="shared" si="1"/>
        <v>23109.54842</v>
      </c>
      <c r="F551" s="72">
        <f t="shared" si="2"/>
        <v>2334064.391</v>
      </c>
      <c r="G551" s="79" t="str">
        <f t="shared" si="5"/>
        <v/>
      </c>
      <c r="H551" s="81"/>
      <c r="I551" s="75" t="str">
        <f t="shared" si="6"/>
        <v/>
      </c>
      <c r="J551" s="80">
        <f t="shared" si="7"/>
        <v>2324064.391</v>
      </c>
      <c r="K551" s="77" t="str">
        <f t="shared" si="3"/>
        <v/>
      </c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</row>
    <row r="552" ht="15.75" customHeight="1">
      <c r="A552" s="68" t="s">
        <v>2627</v>
      </c>
      <c r="B552" s="69"/>
      <c r="C552" s="72">
        <f t="shared" si="4"/>
        <v>2334064.391</v>
      </c>
      <c r="D552" s="71">
        <v>0.01</v>
      </c>
      <c r="E552" s="72">
        <f t="shared" si="1"/>
        <v>23340.64391</v>
      </c>
      <c r="F552" s="72">
        <f t="shared" si="2"/>
        <v>2357405.034</v>
      </c>
      <c r="G552" s="79" t="str">
        <f t="shared" si="5"/>
        <v/>
      </c>
      <c r="H552" s="81"/>
      <c r="I552" s="75" t="str">
        <f t="shared" si="6"/>
        <v/>
      </c>
      <c r="J552" s="80">
        <f t="shared" si="7"/>
        <v>2347405.034</v>
      </c>
      <c r="K552" s="77" t="str">
        <f t="shared" si="3"/>
        <v/>
      </c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</row>
    <row r="553" ht="15.75" customHeight="1">
      <c r="A553" s="68" t="s">
        <v>2628</v>
      </c>
      <c r="B553" s="69"/>
      <c r="C553" s="72">
        <f t="shared" si="4"/>
        <v>2357405.034</v>
      </c>
      <c r="D553" s="71">
        <v>0.01</v>
      </c>
      <c r="E553" s="72">
        <f t="shared" si="1"/>
        <v>23574.05034</v>
      </c>
      <c r="F553" s="72">
        <f t="shared" si="2"/>
        <v>2380979.085</v>
      </c>
      <c r="G553" s="79" t="str">
        <f t="shared" si="5"/>
        <v/>
      </c>
      <c r="H553" s="81"/>
      <c r="I553" s="75" t="str">
        <f t="shared" si="6"/>
        <v/>
      </c>
      <c r="J553" s="80">
        <f t="shared" si="7"/>
        <v>2370979.085</v>
      </c>
      <c r="K553" s="77" t="str">
        <f t="shared" si="3"/>
        <v/>
      </c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</row>
    <row r="554" ht="15.75" customHeight="1">
      <c r="A554" s="68" t="s">
        <v>2629</v>
      </c>
      <c r="B554" s="69"/>
      <c r="C554" s="72">
        <f t="shared" si="4"/>
        <v>2380979.085</v>
      </c>
      <c r="D554" s="71">
        <v>0.01</v>
      </c>
      <c r="E554" s="72">
        <f t="shared" si="1"/>
        <v>23809.79085</v>
      </c>
      <c r="F554" s="72">
        <f t="shared" si="2"/>
        <v>2404788.876</v>
      </c>
      <c r="G554" s="79" t="str">
        <f t="shared" si="5"/>
        <v/>
      </c>
      <c r="H554" s="81"/>
      <c r="I554" s="75" t="str">
        <f t="shared" si="6"/>
        <v/>
      </c>
      <c r="J554" s="80">
        <f t="shared" si="7"/>
        <v>2394788.876</v>
      </c>
      <c r="K554" s="77" t="str">
        <f t="shared" si="3"/>
        <v/>
      </c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</row>
    <row r="555" ht="15.75" customHeight="1">
      <c r="A555" s="68" t="s">
        <v>2630</v>
      </c>
      <c r="B555" s="69"/>
      <c r="C555" s="72">
        <f t="shared" si="4"/>
        <v>2404788.876</v>
      </c>
      <c r="D555" s="71">
        <v>0.01</v>
      </c>
      <c r="E555" s="72">
        <f t="shared" si="1"/>
        <v>24047.88876</v>
      </c>
      <c r="F555" s="72">
        <f t="shared" si="2"/>
        <v>2428836.764</v>
      </c>
      <c r="G555" s="79" t="str">
        <f t="shared" si="5"/>
        <v/>
      </c>
      <c r="H555" s="81"/>
      <c r="I555" s="75" t="str">
        <f t="shared" si="6"/>
        <v/>
      </c>
      <c r="J555" s="80">
        <f t="shared" si="7"/>
        <v>2418836.764</v>
      </c>
      <c r="K555" s="77" t="str">
        <f t="shared" si="3"/>
        <v/>
      </c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</row>
    <row r="556" ht="15.75" customHeight="1">
      <c r="A556" s="68" t="s">
        <v>2631</v>
      </c>
      <c r="B556" s="69"/>
      <c r="C556" s="72">
        <f t="shared" si="4"/>
        <v>2428836.764</v>
      </c>
      <c r="D556" s="71">
        <v>0.01</v>
      </c>
      <c r="E556" s="72">
        <f t="shared" si="1"/>
        <v>24288.36764</v>
      </c>
      <c r="F556" s="72">
        <f t="shared" si="2"/>
        <v>2453125.132</v>
      </c>
      <c r="G556" s="79" t="str">
        <f t="shared" si="5"/>
        <v/>
      </c>
      <c r="H556" s="81"/>
      <c r="I556" s="75" t="str">
        <f t="shared" si="6"/>
        <v/>
      </c>
      <c r="J556" s="80">
        <f t="shared" si="7"/>
        <v>2443125.132</v>
      </c>
      <c r="K556" s="77" t="str">
        <f t="shared" si="3"/>
        <v/>
      </c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</row>
    <row r="557" ht="15.75" customHeight="1">
      <c r="A557" s="68" t="s">
        <v>2632</v>
      </c>
      <c r="B557" s="69"/>
      <c r="C557" s="72">
        <f t="shared" si="4"/>
        <v>2453125.132</v>
      </c>
      <c r="D557" s="71">
        <v>0.01</v>
      </c>
      <c r="E557" s="72">
        <f t="shared" si="1"/>
        <v>24531.25132</v>
      </c>
      <c r="F557" s="72">
        <f t="shared" si="2"/>
        <v>2477656.383</v>
      </c>
      <c r="G557" s="79" t="str">
        <f t="shared" si="5"/>
        <v/>
      </c>
      <c r="H557" s="81"/>
      <c r="I557" s="75" t="str">
        <f t="shared" si="6"/>
        <v/>
      </c>
      <c r="J557" s="80">
        <f t="shared" si="7"/>
        <v>2467656.383</v>
      </c>
      <c r="K557" s="77" t="str">
        <f t="shared" si="3"/>
        <v/>
      </c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</row>
    <row r="558" ht="15.75" customHeight="1">
      <c r="A558" s="68" t="s">
        <v>2633</v>
      </c>
      <c r="B558" s="69"/>
      <c r="C558" s="72">
        <f t="shared" si="4"/>
        <v>2477656.383</v>
      </c>
      <c r="D558" s="71">
        <v>0.01</v>
      </c>
      <c r="E558" s="72">
        <f t="shared" si="1"/>
        <v>24776.56383</v>
      </c>
      <c r="F558" s="72">
        <f t="shared" si="2"/>
        <v>2502432.947</v>
      </c>
      <c r="G558" s="79" t="str">
        <f t="shared" si="5"/>
        <v/>
      </c>
      <c r="H558" s="81"/>
      <c r="I558" s="75" t="str">
        <f t="shared" si="6"/>
        <v/>
      </c>
      <c r="J558" s="80">
        <f t="shared" si="7"/>
        <v>2492432.947</v>
      </c>
      <c r="K558" s="77" t="str">
        <f t="shared" si="3"/>
        <v/>
      </c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</row>
    <row r="559" ht="15.75" customHeight="1">
      <c r="A559" s="68" t="s">
        <v>2634</v>
      </c>
      <c r="B559" s="69"/>
      <c r="C559" s="72">
        <f t="shared" si="4"/>
        <v>2502432.947</v>
      </c>
      <c r="D559" s="71">
        <v>0.01</v>
      </c>
      <c r="E559" s="72">
        <f t="shared" si="1"/>
        <v>25024.32947</v>
      </c>
      <c r="F559" s="72">
        <f t="shared" si="2"/>
        <v>2527457.277</v>
      </c>
      <c r="G559" s="79" t="str">
        <f t="shared" si="5"/>
        <v/>
      </c>
      <c r="H559" s="81"/>
      <c r="I559" s="75" t="str">
        <f t="shared" si="6"/>
        <v/>
      </c>
      <c r="J559" s="80">
        <f t="shared" si="7"/>
        <v>2517457.277</v>
      </c>
      <c r="K559" s="77" t="str">
        <f t="shared" si="3"/>
        <v/>
      </c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</row>
    <row r="560" ht="15.75" customHeight="1">
      <c r="A560" s="68" t="s">
        <v>2635</v>
      </c>
      <c r="B560" s="69"/>
      <c r="C560" s="72">
        <f t="shared" si="4"/>
        <v>2527457.277</v>
      </c>
      <c r="D560" s="71">
        <v>0.01</v>
      </c>
      <c r="E560" s="72">
        <f t="shared" si="1"/>
        <v>25274.57277</v>
      </c>
      <c r="F560" s="72">
        <f t="shared" si="2"/>
        <v>2552731.849</v>
      </c>
      <c r="G560" s="79" t="str">
        <f t="shared" si="5"/>
        <v/>
      </c>
      <c r="H560" s="81"/>
      <c r="I560" s="75" t="str">
        <f t="shared" si="6"/>
        <v/>
      </c>
      <c r="J560" s="80">
        <f t="shared" si="7"/>
        <v>2542731.849</v>
      </c>
      <c r="K560" s="77" t="str">
        <f t="shared" si="3"/>
        <v/>
      </c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</row>
    <row r="561" ht="15.75" customHeight="1">
      <c r="A561" s="68" t="s">
        <v>2636</v>
      </c>
      <c r="B561" s="69"/>
      <c r="C561" s="72">
        <f t="shared" si="4"/>
        <v>2552731.849</v>
      </c>
      <c r="D561" s="71">
        <v>0.01</v>
      </c>
      <c r="E561" s="72">
        <f t="shared" si="1"/>
        <v>25527.31849</v>
      </c>
      <c r="F561" s="72">
        <f t="shared" si="2"/>
        <v>2578259.168</v>
      </c>
      <c r="G561" s="79" t="str">
        <f t="shared" si="5"/>
        <v/>
      </c>
      <c r="H561" s="81"/>
      <c r="I561" s="75" t="str">
        <f t="shared" si="6"/>
        <v/>
      </c>
      <c r="J561" s="80">
        <f t="shared" si="7"/>
        <v>2568259.168</v>
      </c>
      <c r="K561" s="77" t="str">
        <f t="shared" si="3"/>
        <v/>
      </c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</row>
    <row r="562" ht="15.75" customHeight="1">
      <c r="A562" s="68" t="s">
        <v>2637</v>
      </c>
      <c r="B562" s="69"/>
      <c r="C562" s="72">
        <f t="shared" si="4"/>
        <v>2578259.168</v>
      </c>
      <c r="D562" s="71">
        <v>0.01</v>
      </c>
      <c r="E562" s="72">
        <f t="shared" si="1"/>
        <v>25782.59168</v>
      </c>
      <c r="F562" s="72">
        <f t="shared" si="2"/>
        <v>2604041.76</v>
      </c>
      <c r="G562" s="79" t="str">
        <f t="shared" si="5"/>
        <v/>
      </c>
      <c r="H562" s="81"/>
      <c r="I562" s="75" t="str">
        <f t="shared" si="6"/>
        <v/>
      </c>
      <c r="J562" s="80">
        <f t="shared" si="7"/>
        <v>2594041.76</v>
      </c>
      <c r="K562" s="77" t="str">
        <f t="shared" si="3"/>
        <v/>
      </c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</row>
    <row r="563" ht="15.75" customHeight="1">
      <c r="A563" s="68" t="s">
        <v>2638</v>
      </c>
      <c r="B563" s="69"/>
      <c r="C563" s="72">
        <f t="shared" si="4"/>
        <v>2604041.76</v>
      </c>
      <c r="D563" s="71">
        <v>0.01</v>
      </c>
      <c r="E563" s="72">
        <f t="shared" si="1"/>
        <v>26040.4176</v>
      </c>
      <c r="F563" s="72">
        <f t="shared" si="2"/>
        <v>2630082.177</v>
      </c>
      <c r="G563" s="79" t="str">
        <f t="shared" si="5"/>
        <v/>
      </c>
      <c r="H563" s="81"/>
      <c r="I563" s="75" t="str">
        <f t="shared" si="6"/>
        <v/>
      </c>
      <c r="J563" s="80">
        <f t="shared" si="7"/>
        <v>2620082.177</v>
      </c>
      <c r="K563" s="77" t="str">
        <f t="shared" si="3"/>
        <v/>
      </c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</row>
    <row r="564" ht="15.75" customHeight="1">
      <c r="A564" s="68" t="s">
        <v>2639</v>
      </c>
      <c r="B564" s="69"/>
      <c r="C564" s="72">
        <f t="shared" si="4"/>
        <v>2630082.177</v>
      </c>
      <c r="D564" s="71">
        <v>0.01</v>
      </c>
      <c r="E564" s="72">
        <f t="shared" si="1"/>
        <v>26300.82177</v>
      </c>
      <c r="F564" s="72">
        <f t="shared" si="2"/>
        <v>2656382.999</v>
      </c>
      <c r="G564" s="79" t="str">
        <f t="shared" si="5"/>
        <v/>
      </c>
      <c r="H564" s="81"/>
      <c r="I564" s="75" t="str">
        <f t="shared" si="6"/>
        <v/>
      </c>
      <c r="J564" s="80">
        <f t="shared" si="7"/>
        <v>2646382.999</v>
      </c>
      <c r="K564" s="77" t="str">
        <f t="shared" si="3"/>
        <v/>
      </c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</row>
    <row r="565" ht="15.75" customHeight="1">
      <c r="A565" s="68" t="s">
        <v>2640</v>
      </c>
      <c r="B565" s="69"/>
      <c r="C565" s="72">
        <f t="shared" si="4"/>
        <v>2656382.999</v>
      </c>
      <c r="D565" s="71">
        <v>0.01</v>
      </c>
      <c r="E565" s="72">
        <f t="shared" si="1"/>
        <v>26563.82999</v>
      </c>
      <c r="F565" s="72">
        <f t="shared" si="2"/>
        <v>2682946.829</v>
      </c>
      <c r="G565" s="79" t="str">
        <f t="shared" si="5"/>
        <v/>
      </c>
      <c r="H565" s="81"/>
      <c r="I565" s="75" t="str">
        <f t="shared" si="6"/>
        <v/>
      </c>
      <c r="J565" s="80">
        <f t="shared" si="7"/>
        <v>2672946.829</v>
      </c>
      <c r="K565" s="77" t="str">
        <f t="shared" si="3"/>
        <v/>
      </c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</row>
    <row r="566" ht="15.75" customHeight="1">
      <c r="A566" s="68" t="s">
        <v>2641</v>
      </c>
      <c r="B566" s="69"/>
      <c r="C566" s="72">
        <f t="shared" si="4"/>
        <v>2682946.829</v>
      </c>
      <c r="D566" s="71">
        <v>0.01</v>
      </c>
      <c r="E566" s="72">
        <f t="shared" si="1"/>
        <v>26829.46829</v>
      </c>
      <c r="F566" s="72">
        <f t="shared" si="2"/>
        <v>2709776.297</v>
      </c>
      <c r="G566" s="79" t="str">
        <f t="shared" si="5"/>
        <v/>
      </c>
      <c r="H566" s="81"/>
      <c r="I566" s="75" t="str">
        <f t="shared" si="6"/>
        <v/>
      </c>
      <c r="J566" s="80">
        <f t="shared" si="7"/>
        <v>2699776.297</v>
      </c>
      <c r="K566" s="77" t="str">
        <f t="shared" si="3"/>
        <v/>
      </c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</row>
    <row r="567" ht="15.75" customHeight="1">
      <c r="A567" s="68" t="s">
        <v>2642</v>
      </c>
      <c r="B567" s="69"/>
      <c r="C567" s="72">
        <f t="shared" si="4"/>
        <v>2709776.297</v>
      </c>
      <c r="D567" s="71">
        <v>0.01</v>
      </c>
      <c r="E567" s="72">
        <f t="shared" si="1"/>
        <v>27097.76297</v>
      </c>
      <c r="F567" s="72">
        <f t="shared" si="2"/>
        <v>2736874.06</v>
      </c>
      <c r="G567" s="79" t="str">
        <f t="shared" si="5"/>
        <v/>
      </c>
      <c r="H567" s="81"/>
      <c r="I567" s="75" t="str">
        <f t="shared" si="6"/>
        <v/>
      </c>
      <c r="J567" s="80">
        <f t="shared" si="7"/>
        <v>2726874.06</v>
      </c>
      <c r="K567" s="77" t="str">
        <f t="shared" si="3"/>
        <v/>
      </c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</row>
    <row r="568" ht="15.75" customHeight="1">
      <c r="A568" s="68" t="s">
        <v>2643</v>
      </c>
      <c r="B568" s="69"/>
      <c r="C568" s="72">
        <f t="shared" si="4"/>
        <v>2736874.06</v>
      </c>
      <c r="D568" s="71">
        <v>0.01</v>
      </c>
      <c r="E568" s="72">
        <f t="shared" si="1"/>
        <v>27368.7406</v>
      </c>
      <c r="F568" s="72">
        <f t="shared" si="2"/>
        <v>2764242.801</v>
      </c>
      <c r="G568" s="79" t="str">
        <f t="shared" si="5"/>
        <v/>
      </c>
      <c r="H568" s="81"/>
      <c r="I568" s="75" t="str">
        <f t="shared" si="6"/>
        <v/>
      </c>
      <c r="J568" s="80">
        <f t="shared" si="7"/>
        <v>2754242.801</v>
      </c>
      <c r="K568" s="77" t="str">
        <f t="shared" si="3"/>
        <v/>
      </c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</row>
    <row r="569" ht="15.75" customHeight="1">
      <c r="A569" s="68" t="s">
        <v>2644</v>
      </c>
      <c r="B569" s="69"/>
      <c r="C569" s="72">
        <f t="shared" si="4"/>
        <v>2764242.801</v>
      </c>
      <c r="D569" s="71">
        <v>0.01</v>
      </c>
      <c r="E569" s="72">
        <f t="shared" si="1"/>
        <v>27642.42801</v>
      </c>
      <c r="F569" s="72">
        <f t="shared" si="2"/>
        <v>2791885.229</v>
      </c>
      <c r="G569" s="79" t="str">
        <f t="shared" si="5"/>
        <v/>
      </c>
      <c r="H569" s="81"/>
      <c r="I569" s="75" t="str">
        <f t="shared" si="6"/>
        <v/>
      </c>
      <c r="J569" s="80">
        <f t="shared" si="7"/>
        <v>2781885.229</v>
      </c>
      <c r="K569" s="77" t="str">
        <f t="shared" si="3"/>
        <v/>
      </c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</row>
    <row r="570" ht="15.75" customHeight="1">
      <c r="A570" s="68" t="s">
        <v>2645</v>
      </c>
      <c r="B570" s="69"/>
      <c r="C570" s="72">
        <f t="shared" si="4"/>
        <v>2791885.229</v>
      </c>
      <c r="D570" s="71">
        <v>0.01</v>
      </c>
      <c r="E570" s="72">
        <f t="shared" si="1"/>
        <v>27918.85229</v>
      </c>
      <c r="F570" s="72">
        <f t="shared" si="2"/>
        <v>2819804.081</v>
      </c>
      <c r="G570" s="79" t="str">
        <f t="shared" si="5"/>
        <v/>
      </c>
      <c r="H570" s="81"/>
      <c r="I570" s="75" t="str">
        <f t="shared" si="6"/>
        <v/>
      </c>
      <c r="J570" s="80">
        <f t="shared" si="7"/>
        <v>2809804.081</v>
      </c>
      <c r="K570" s="77" t="str">
        <f t="shared" si="3"/>
        <v/>
      </c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</row>
    <row r="571" ht="15.75" customHeight="1">
      <c r="A571" s="68" t="s">
        <v>2646</v>
      </c>
      <c r="B571" s="69"/>
      <c r="C571" s="72">
        <f t="shared" si="4"/>
        <v>2819804.081</v>
      </c>
      <c r="D571" s="71">
        <v>0.01</v>
      </c>
      <c r="E571" s="72">
        <f t="shared" si="1"/>
        <v>28198.04081</v>
      </c>
      <c r="F571" s="72">
        <f t="shared" si="2"/>
        <v>2848002.122</v>
      </c>
      <c r="G571" s="79" t="str">
        <f t="shared" si="5"/>
        <v/>
      </c>
      <c r="H571" s="81"/>
      <c r="I571" s="75" t="str">
        <f t="shared" si="6"/>
        <v/>
      </c>
      <c r="J571" s="80">
        <f t="shared" si="7"/>
        <v>2838002.122</v>
      </c>
      <c r="K571" s="77" t="str">
        <f t="shared" si="3"/>
        <v/>
      </c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</row>
    <row r="572" ht="15.75" customHeight="1">
      <c r="A572" s="68" t="s">
        <v>2647</v>
      </c>
      <c r="B572" s="69"/>
      <c r="C572" s="72">
        <f t="shared" si="4"/>
        <v>2848002.122</v>
      </c>
      <c r="D572" s="71">
        <v>0.01</v>
      </c>
      <c r="E572" s="72">
        <f t="shared" si="1"/>
        <v>28480.02122</v>
      </c>
      <c r="F572" s="72">
        <f t="shared" si="2"/>
        <v>2876482.143</v>
      </c>
      <c r="G572" s="79" t="str">
        <f t="shared" si="5"/>
        <v/>
      </c>
      <c r="H572" s="81"/>
      <c r="I572" s="75" t="str">
        <f t="shared" si="6"/>
        <v/>
      </c>
      <c r="J572" s="80">
        <f t="shared" si="7"/>
        <v>2866482.143</v>
      </c>
      <c r="K572" s="77" t="str">
        <f t="shared" si="3"/>
        <v/>
      </c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</row>
    <row r="573" ht="15.75" customHeight="1">
      <c r="A573" s="68" t="s">
        <v>2648</v>
      </c>
      <c r="B573" s="69"/>
      <c r="C573" s="72">
        <f t="shared" si="4"/>
        <v>2876482.143</v>
      </c>
      <c r="D573" s="71">
        <v>0.01</v>
      </c>
      <c r="E573" s="72">
        <f t="shared" si="1"/>
        <v>28764.82143</v>
      </c>
      <c r="F573" s="72">
        <f t="shared" si="2"/>
        <v>2905246.965</v>
      </c>
      <c r="G573" s="79" t="str">
        <f t="shared" si="5"/>
        <v/>
      </c>
      <c r="H573" s="81"/>
      <c r="I573" s="75" t="str">
        <f t="shared" si="6"/>
        <v/>
      </c>
      <c r="J573" s="80">
        <f t="shared" si="7"/>
        <v>2895246.965</v>
      </c>
      <c r="K573" s="77" t="str">
        <f t="shared" si="3"/>
        <v/>
      </c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</row>
    <row r="574" ht="15.75" customHeight="1">
      <c r="A574" s="68" t="s">
        <v>2649</v>
      </c>
      <c r="B574" s="69"/>
      <c r="C574" s="72">
        <f t="shared" si="4"/>
        <v>2905246.965</v>
      </c>
      <c r="D574" s="71">
        <v>0.01</v>
      </c>
      <c r="E574" s="72">
        <f t="shared" si="1"/>
        <v>29052.46965</v>
      </c>
      <c r="F574" s="72">
        <f t="shared" si="2"/>
        <v>2934299.434</v>
      </c>
      <c r="G574" s="79" t="str">
        <f t="shared" si="5"/>
        <v/>
      </c>
      <c r="H574" s="81"/>
      <c r="I574" s="75" t="str">
        <f t="shared" si="6"/>
        <v/>
      </c>
      <c r="J574" s="80">
        <f t="shared" si="7"/>
        <v>2924299.434</v>
      </c>
      <c r="K574" s="77" t="str">
        <f t="shared" si="3"/>
        <v/>
      </c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</row>
    <row r="575" ht="15.75" customHeight="1">
      <c r="A575" s="68" t="s">
        <v>2650</v>
      </c>
      <c r="B575" s="69"/>
      <c r="C575" s="72">
        <f t="shared" si="4"/>
        <v>2934299.434</v>
      </c>
      <c r="D575" s="71">
        <v>0.01</v>
      </c>
      <c r="E575" s="72">
        <f t="shared" si="1"/>
        <v>29342.99434</v>
      </c>
      <c r="F575" s="72">
        <f t="shared" si="2"/>
        <v>2963642.429</v>
      </c>
      <c r="G575" s="79" t="str">
        <f t="shared" si="5"/>
        <v/>
      </c>
      <c r="H575" s="81"/>
      <c r="I575" s="75" t="str">
        <f t="shared" si="6"/>
        <v/>
      </c>
      <c r="J575" s="80">
        <f t="shared" si="7"/>
        <v>2953642.429</v>
      </c>
      <c r="K575" s="77" t="str">
        <f t="shared" si="3"/>
        <v/>
      </c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</row>
    <row r="576" ht="15.75" customHeight="1">
      <c r="A576" s="68" t="s">
        <v>2651</v>
      </c>
      <c r="B576" s="69"/>
      <c r="C576" s="72">
        <f t="shared" si="4"/>
        <v>2963642.429</v>
      </c>
      <c r="D576" s="71">
        <v>0.01</v>
      </c>
      <c r="E576" s="72">
        <f t="shared" si="1"/>
        <v>29636.42429</v>
      </c>
      <c r="F576" s="72">
        <f t="shared" si="2"/>
        <v>2993278.853</v>
      </c>
      <c r="G576" s="79" t="str">
        <f t="shared" si="5"/>
        <v/>
      </c>
      <c r="H576" s="81"/>
      <c r="I576" s="75" t="str">
        <f t="shared" si="6"/>
        <v/>
      </c>
      <c r="J576" s="80">
        <f t="shared" si="7"/>
        <v>2983278.853</v>
      </c>
      <c r="K576" s="77" t="str">
        <f t="shared" si="3"/>
        <v/>
      </c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</row>
    <row r="577" ht="15.75" customHeight="1">
      <c r="A577" s="68" t="s">
        <v>2652</v>
      </c>
      <c r="B577" s="69"/>
      <c r="C577" s="72">
        <f t="shared" si="4"/>
        <v>2993278.853</v>
      </c>
      <c r="D577" s="71">
        <v>0.01</v>
      </c>
      <c r="E577" s="72">
        <f t="shared" si="1"/>
        <v>29932.78853</v>
      </c>
      <c r="F577" s="72">
        <f t="shared" si="2"/>
        <v>3023211.641</v>
      </c>
      <c r="G577" s="79" t="str">
        <f t="shared" si="5"/>
        <v/>
      </c>
      <c r="H577" s="81"/>
      <c r="I577" s="75" t="str">
        <f t="shared" si="6"/>
        <v/>
      </c>
      <c r="J577" s="80">
        <f t="shared" si="7"/>
        <v>3013211.641</v>
      </c>
      <c r="K577" s="77" t="str">
        <f t="shared" si="3"/>
        <v/>
      </c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</row>
    <row r="578" ht="15.75" customHeight="1">
      <c r="A578" s="68" t="s">
        <v>2653</v>
      </c>
      <c r="B578" s="69"/>
      <c r="C578" s="72">
        <f t="shared" si="4"/>
        <v>3023211.641</v>
      </c>
      <c r="D578" s="71">
        <v>0.01</v>
      </c>
      <c r="E578" s="72">
        <f t="shared" si="1"/>
        <v>30232.11641</v>
      </c>
      <c r="F578" s="72">
        <f t="shared" si="2"/>
        <v>3053443.758</v>
      </c>
      <c r="G578" s="79" t="str">
        <f t="shared" si="5"/>
        <v/>
      </c>
      <c r="H578" s="81"/>
      <c r="I578" s="75" t="str">
        <f t="shared" si="6"/>
        <v/>
      </c>
      <c r="J578" s="80">
        <f t="shared" si="7"/>
        <v>3043443.758</v>
      </c>
      <c r="K578" s="77" t="str">
        <f t="shared" si="3"/>
        <v/>
      </c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</row>
    <row r="579" ht="15.75" customHeight="1">
      <c r="A579" s="68" t="s">
        <v>2654</v>
      </c>
      <c r="B579" s="69"/>
      <c r="C579" s="72">
        <f t="shared" si="4"/>
        <v>3053443.758</v>
      </c>
      <c r="D579" s="71">
        <v>0.01</v>
      </c>
      <c r="E579" s="72">
        <f t="shared" si="1"/>
        <v>30534.43758</v>
      </c>
      <c r="F579" s="72">
        <f t="shared" si="2"/>
        <v>3083978.195</v>
      </c>
      <c r="G579" s="79" t="str">
        <f t="shared" si="5"/>
        <v/>
      </c>
      <c r="H579" s="81"/>
      <c r="I579" s="75" t="str">
        <f t="shared" si="6"/>
        <v/>
      </c>
      <c r="J579" s="80">
        <f t="shared" si="7"/>
        <v>3073978.195</v>
      </c>
      <c r="K579" s="77" t="str">
        <f t="shared" si="3"/>
        <v/>
      </c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</row>
    <row r="580" ht="15.75" customHeight="1">
      <c r="A580" s="68" t="s">
        <v>2655</v>
      </c>
      <c r="B580" s="69"/>
      <c r="C580" s="72">
        <f t="shared" si="4"/>
        <v>3083978.195</v>
      </c>
      <c r="D580" s="71">
        <v>0.01</v>
      </c>
      <c r="E580" s="72">
        <f t="shared" si="1"/>
        <v>30839.78195</v>
      </c>
      <c r="F580" s="72">
        <f t="shared" si="2"/>
        <v>3114817.977</v>
      </c>
      <c r="G580" s="79" t="str">
        <f t="shared" si="5"/>
        <v/>
      </c>
      <c r="H580" s="81"/>
      <c r="I580" s="75" t="str">
        <f t="shared" si="6"/>
        <v/>
      </c>
      <c r="J580" s="80">
        <f t="shared" si="7"/>
        <v>3104817.977</v>
      </c>
      <c r="K580" s="77" t="str">
        <f t="shared" si="3"/>
        <v/>
      </c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</row>
    <row r="581" ht="15.75" customHeight="1">
      <c r="A581" s="68" t="s">
        <v>2656</v>
      </c>
      <c r="B581" s="69"/>
      <c r="C581" s="72">
        <f t="shared" si="4"/>
        <v>3114817.977</v>
      </c>
      <c r="D581" s="71">
        <v>0.01</v>
      </c>
      <c r="E581" s="72">
        <f t="shared" si="1"/>
        <v>31148.17977</v>
      </c>
      <c r="F581" s="72">
        <f t="shared" si="2"/>
        <v>3145966.157</v>
      </c>
      <c r="G581" s="79" t="str">
        <f t="shared" si="5"/>
        <v/>
      </c>
      <c r="H581" s="81"/>
      <c r="I581" s="75" t="str">
        <f t="shared" si="6"/>
        <v/>
      </c>
      <c r="J581" s="80">
        <f t="shared" si="7"/>
        <v>3135966.157</v>
      </c>
      <c r="K581" s="77" t="str">
        <f t="shared" si="3"/>
        <v/>
      </c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</row>
    <row r="582" ht="15.75" customHeight="1">
      <c r="A582" s="68" t="s">
        <v>2657</v>
      </c>
      <c r="B582" s="69"/>
      <c r="C582" s="72">
        <f t="shared" si="4"/>
        <v>3145966.157</v>
      </c>
      <c r="D582" s="71">
        <v>0.01</v>
      </c>
      <c r="E582" s="72">
        <f t="shared" si="1"/>
        <v>31459.66157</v>
      </c>
      <c r="F582" s="72">
        <f t="shared" si="2"/>
        <v>3177425.819</v>
      </c>
      <c r="G582" s="79" t="str">
        <f t="shared" si="5"/>
        <v/>
      </c>
      <c r="H582" s="81"/>
      <c r="I582" s="75" t="str">
        <f t="shared" si="6"/>
        <v/>
      </c>
      <c r="J582" s="80">
        <f t="shared" si="7"/>
        <v>3167425.819</v>
      </c>
      <c r="K582" s="77" t="str">
        <f t="shared" si="3"/>
        <v/>
      </c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</row>
    <row r="583" ht="15.75" customHeight="1">
      <c r="A583" s="68" t="s">
        <v>2658</v>
      </c>
      <c r="B583" s="69"/>
      <c r="C583" s="72">
        <f t="shared" si="4"/>
        <v>3177425.819</v>
      </c>
      <c r="D583" s="71">
        <v>0.01</v>
      </c>
      <c r="E583" s="72">
        <f t="shared" si="1"/>
        <v>31774.25819</v>
      </c>
      <c r="F583" s="72">
        <f t="shared" si="2"/>
        <v>3209200.077</v>
      </c>
      <c r="G583" s="79" t="str">
        <f t="shared" si="5"/>
        <v/>
      </c>
      <c r="H583" s="81"/>
      <c r="I583" s="75" t="str">
        <f t="shared" si="6"/>
        <v/>
      </c>
      <c r="J583" s="80">
        <f t="shared" si="7"/>
        <v>3199200.077</v>
      </c>
      <c r="K583" s="77" t="str">
        <f t="shared" si="3"/>
        <v/>
      </c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</row>
    <row r="584" ht="15.75" customHeight="1">
      <c r="A584" s="68" t="s">
        <v>2659</v>
      </c>
      <c r="B584" s="69"/>
      <c r="C584" s="72">
        <f t="shared" si="4"/>
        <v>3209200.077</v>
      </c>
      <c r="D584" s="71">
        <v>0.01</v>
      </c>
      <c r="E584" s="72">
        <f t="shared" si="1"/>
        <v>32092.00077</v>
      </c>
      <c r="F584" s="72">
        <f t="shared" si="2"/>
        <v>3241292.078</v>
      </c>
      <c r="G584" s="79" t="str">
        <f t="shared" si="5"/>
        <v/>
      </c>
      <c r="H584" s="81"/>
      <c r="I584" s="75" t="str">
        <f t="shared" si="6"/>
        <v/>
      </c>
      <c r="J584" s="80">
        <f t="shared" si="7"/>
        <v>3231292.078</v>
      </c>
      <c r="K584" s="77" t="str">
        <f t="shared" si="3"/>
        <v/>
      </c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</row>
    <row r="585" ht="15.75" customHeight="1">
      <c r="A585" s="68" t="s">
        <v>2660</v>
      </c>
      <c r="B585" s="69"/>
      <c r="C585" s="72">
        <f t="shared" si="4"/>
        <v>3241292.078</v>
      </c>
      <c r="D585" s="71">
        <v>0.01</v>
      </c>
      <c r="E585" s="72">
        <f t="shared" si="1"/>
        <v>32412.92078</v>
      </c>
      <c r="F585" s="72">
        <f t="shared" si="2"/>
        <v>3273704.998</v>
      </c>
      <c r="G585" s="79" t="str">
        <f t="shared" si="5"/>
        <v/>
      </c>
      <c r="H585" s="81"/>
      <c r="I585" s="75" t="str">
        <f t="shared" si="6"/>
        <v/>
      </c>
      <c r="J585" s="80">
        <f t="shared" si="7"/>
        <v>3263704.998</v>
      </c>
      <c r="K585" s="77" t="str">
        <f t="shared" si="3"/>
        <v/>
      </c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</row>
    <row r="586" ht="15.75" customHeight="1">
      <c r="A586" s="68" t="s">
        <v>2661</v>
      </c>
      <c r="B586" s="69"/>
      <c r="C586" s="72">
        <f t="shared" si="4"/>
        <v>3273704.998</v>
      </c>
      <c r="D586" s="71">
        <v>0.01</v>
      </c>
      <c r="E586" s="72">
        <f t="shared" si="1"/>
        <v>32737.04998</v>
      </c>
      <c r="F586" s="72">
        <f t="shared" si="2"/>
        <v>3306442.048</v>
      </c>
      <c r="G586" s="79" t="str">
        <f t="shared" si="5"/>
        <v/>
      </c>
      <c r="H586" s="81"/>
      <c r="I586" s="75" t="str">
        <f t="shared" si="6"/>
        <v/>
      </c>
      <c r="J586" s="80">
        <f t="shared" si="7"/>
        <v>3296442.048</v>
      </c>
      <c r="K586" s="77" t="str">
        <f t="shared" si="3"/>
        <v/>
      </c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</row>
    <row r="587" ht="15.75" customHeight="1">
      <c r="A587" s="68" t="s">
        <v>2662</v>
      </c>
      <c r="B587" s="69"/>
      <c r="C587" s="72">
        <f t="shared" si="4"/>
        <v>3306442.048</v>
      </c>
      <c r="D587" s="71">
        <v>0.01</v>
      </c>
      <c r="E587" s="72">
        <f t="shared" si="1"/>
        <v>33064.42048</v>
      </c>
      <c r="F587" s="72">
        <f t="shared" si="2"/>
        <v>3339506.469</v>
      </c>
      <c r="G587" s="79" t="str">
        <f t="shared" si="5"/>
        <v/>
      </c>
      <c r="H587" s="81"/>
      <c r="I587" s="75" t="str">
        <f t="shared" si="6"/>
        <v/>
      </c>
      <c r="J587" s="80">
        <f t="shared" si="7"/>
        <v>3329506.469</v>
      </c>
      <c r="K587" s="77" t="str">
        <f t="shared" si="3"/>
        <v/>
      </c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</row>
    <row r="588" ht="15.75" customHeight="1">
      <c r="A588" s="68" t="s">
        <v>2663</v>
      </c>
      <c r="B588" s="69"/>
      <c r="C588" s="72">
        <f t="shared" si="4"/>
        <v>3339506.469</v>
      </c>
      <c r="D588" s="71">
        <v>0.01</v>
      </c>
      <c r="E588" s="72">
        <f t="shared" si="1"/>
        <v>33395.06469</v>
      </c>
      <c r="F588" s="72">
        <f t="shared" si="2"/>
        <v>3372901.534</v>
      </c>
      <c r="G588" s="79" t="str">
        <f t="shared" si="5"/>
        <v/>
      </c>
      <c r="H588" s="81"/>
      <c r="I588" s="75" t="str">
        <f t="shared" si="6"/>
        <v/>
      </c>
      <c r="J588" s="80">
        <f t="shared" si="7"/>
        <v>3362901.534</v>
      </c>
      <c r="K588" s="77" t="str">
        <f t="shared" si="3"/>
        <v/>
      </c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</row>
    <row r="589" ht="15.75" customHeight="1">
      <c r="A589" s="68" t="s">
        <v>2664</v>
      </c>
      <c r="B589" s="69"/>
      <c r="C589" s="72">
        <f t="shared" si="4"/>
        <v>3372901.534</v>
      </c>
      <c r="D589" s="71">
        <v>0.01</v>
      </c>
      <c r="E589" s="72">
        <f t="shared" si="1"/>
        <v>33729.01534</v>
      </c>
      <c r="F589" s="72">
        <f t="shared" si="2"/>
        <v>3406630.549</v>
      </c>
      <c r="G589" s="79" t="str">
        <f t="shared" si="5"/>
        <v/>
      </c>
      <c r="H589" s="81"/>
      <c r="I589" s="75" t="str">
        <f t="shared" si="6"/>
        <v/>
      </c>
      <c r="J589" s="80">
        <f t="shared" si="7"/>
        <v>3396630.549</v>
      </c>
      <c r="K589" s="77" t="str">
        <f t="shared" si="3"/>
        <v/>
      </c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</row>
    <row r="590" ht="15.75" customHeight="1">
      <c r="A590" s="68" t="s">
        <v>2665</v>
      </c>
      <c r="B590" s="69"/>
      <c r="C590" s="72">
        <f t="shared" si="4"/>
        <v>3406630.549</v>
      </c>
      <c r="D590" s="71">
        <v>0.01</v>
      </c>
      <c r="E590" s="72">
        <f t="shared" si="1"/>
        <v>34066.30549</v>
      </c>
      <c r="F590" s="72">
        <f t="shared" si="2"/>
        <v>3440696.854</v>
      </c>
      <c r="G590" s="79" t="str">
        <f t="shared" si="5"/>
        <v/>
      </c>
      <c r="H590" s="81"/>
      <c r="I590" s="75" t="str">
        <f t="shared" si="6"/>
        <v/>
      </c>
      <c r="J590" s="80">
        <f t="shared" si="7"/>
        <v>3430696.854</v>
      </c>
      <c r="K590" s="77" t="str">
        <f t="shared" si="3"/>
        <v/>
      </c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</row>
    <row r="591" ht="15.75" customHeight="1">
      <c r="A591" s="68" t="s">
        <v>2666</v>
      </c>
      <c r="B591" s="69"/>
      <c r="C591" s="72">
        <f t="shared" si="4"/>
        <v>3440696.854</v>
      </c>
      <c r="D591" s="71">
        <v>0.01</v>
      </c>
      <c r="E591" s="72">
        <f t="shared" si="1"/>
        <v>34406.96854</v>
      </c>
      <c r="F591" s="72">
        <f t="shared" si="2"/>
        <v>3475103.823</v>
      </c>
      <c r="G591" s="79" t="str">
        <f t="shared" si="5"/>
        <v/>
      </c>
      <c r="H591" s="81"/>
      <c r="I591" s="75" t="str">
        <f t="shared" si="6"/>
        <v/>
      </c>
      <c r="J591" s="80">
        <f t="shared" si="7"/>
        <v>3465103.823</v>
      </c>
      <c r="K591" s="77" t="str">
        <f t="shared" si="3"/>
        <v/>
      </c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</row>
    <row r="592" ht="15.75" customHeight="1">
      <c r="A592" s="68" t="s">
        <v>2667</v>
      </c>
      <c r="B592" s="69"/>
      <c r="C592" s="72">
        <f t="shared" si="4"/>
        <v>3475103.823</v>
      </c>
      <c r="D592" s="71">
        <v>0.01</v>
      </c>
      <c r="E592" s="72">
        <f t="shared" si="1"/>
        <v>34751.03823</v>
      </c>
      <c r="F592" s="72">
        <f t="shared" si="2"/>
        <v>3509854.861</v>
      </c>
      <c r="G592" s="79" t="str">
        <f t="shared" si="5"/>
        <v/>
      </c>
      <c r="H592" s="81"/>
      <c r="I592" s="75" t="str">
        <f t="shared" si="6"/>
        <v/>
      </c>
      <c r="J592" s="80">
        <f t="shared" si="7"/>
        <v>3499854.861</v>
      </c>
      <c r="K592" s="77" t="str">
        <f t="shared" si="3"/>
        <v/>
      </c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</row>
    <row r="593" ht="15.75" customHeight="1">
      <c r="A593" s="68" t="s">
        <v>2668</v>
      </c>
      <c r="B593" s="69"/>
      <c r="C593" s="72">
        <f t="shared" si="4"/>
        <v>3509854.861</v>
      </c>
      <c r="D593" s="71">
        <v>0.01</v>
      </c>
      <c r="E593" s="72">
        <f t="shared" si="1"/>
        <v>35098.54861</v>
      </c>
      <c r="F593" s="72">
        <f t="shared" si="2"/>
        <v>3544953.41</v>
      </c>
      <c r="G593" s="79" t="str">
        <f t="shared" si="5"/>
        <v/>
      </c>
      <c r="H593" s="81"/>
      <c r="I593" s="75" t="str">
        <f t="shared" si="6"/>
        <v/>
      </c>
      <c r="J593" s="80">
        <f t="shared" si="7"/>
        <v>3534953.41</v>
      </c>
      <c r="K593" s="77" t="str">
        <f t="shared" si="3"/>
        <v/>
      </c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</row>
    <row r="594" ht="15.75" customHeight="1">
      <c r="A594" s="68" t="s">
        <v>2669</v>
      </c>
      <c r="B594" s="69"/>
      <c r="C594" s="72">
        <f t="shared" si="4"/>
        <v>3544953.41</v>
      </c>
      <c r="D594" s="71">
        <v>0.01</v>
      </c>
      <c r="E594" s="72">
        <f t="shared" si="1"/>
        <v>35449.5341</v>
      </c>
      <c r="F594" s="72">
        <f t="shared" si="2"/>
        <v>3580402.944</v>
      </c>
      <c r="G594" s="79" t="str">
        <f t="shared" si="5"/>
        <v/>
      </c>
      <c r="H594" s="81"/>
      <c r="I594" s="75" t="str">
        <f t="shared" si="6"/>
        <v/>
      </c>
      <c r="J594" s="80">
        <f t="shared" si="7"/>
        <v>3570402.944</v>
      </c>
      <c r="K594" s="77" t="str">
        <f t="shared" si="3"/>
        <v/>
      </c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</row>
    <row r="595" ht="15.75" customHeight="1">
      <c r="A595" s="68" t="s">
        <v>2670</v>
      </c>
      <c r="B595" s="69"/>
      <c r="C595" s="72">
        <f t="shared" si="4"/>
        <v>3580402.944</v>
      </c>
      <c r="D595" s="71">
        <v>0.01</v>
      </c>
      <c r="E595" s="72">
        <f t="shared" si="1"/>
        <v>35804.02944</v>
      </c>
      <c r="F595" s="72">
        <f t="shared" si="2"/>
        <v>3616206.973</v>
      </c>
      <c r="G595" s="79" t="str">
        <f t="shared" si="5"/>
        <v/>
      </c>
      <c r="H595" s="81"/>
      <c r="I595" s="75" t="str">
        <f t="shared" si="6"/>
        <v/>
      </c>
      <c r="J595" s="80">
        <f t="shared" si="7"/>
        <v>3606206.973</v>
      </c>
      <c r="K595" s="77" t="str">
        <f t="shared" si="3"/>
        <v/>
      </c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</row>
    <row r="596" ht="15.75" customHeight="1">
      <c r="A596" s="68" t="s">
        <v>2671</v>
      </c>
      <c r="B596" s="69"/>
      <c r="C596" s="72">
        <f t="shared" si="4"/>
        <v>3616206.973</v>
      </c>
      <c r="D596" s="71">
        <v>0.01</v>
      </c>
      <c r="E596" s="72">
        <f t="shared" si="1"/>
        <v>36162.06973</v>
      </c>
      <c r="F596" s="72">
        <f t="shared" si="2"/>
        <v>3652369.043</v>
      </c>
      <c r="G596" s="79" t="str">
        <f t="shared" si="5"/>
        <v/>
      </c>
      <c r="H596" s="81"/>
      <c r="I596" s="75" t="str">
        <f t="shared" si="6"/>
        <v/>
      </c>
      <c r="J596" s="80">
        <f t="shared" si="7"/>
        <v>3642369.043</v>
      </c>
      <c r="K596" s="77" t="str">
        <f t="shared" si="3"/>
        <v/>
      </c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</row>
    <row r="597" ht="15.75" customHeight="1">
      <c r="A597" s="68" t="s">
        <v>2672</v>
      </c>
      <c r="B597" s="69"/>
      <c r="C597" s="72">
        <f t="shared" si="4"/>
        <v>3652369.043</v>
      </c>
      <c r="D597" s="71">
        <v>0.01</v>
      </c>
      <c r="E597" s="72">
        <f t="shared" si="1"/>
        <v>36523.69043</v>
      </c>
      <c r="F597" s="72">
        <f t="shared" si="2"/>
        <v>3688892.733</v>
      </c>
      <c r="G597" s="79" t="str">
        <f t="shared" si="5"/>
        <v/>
      </c>
      <c r="H597" s="81"/>
      <c r="I597" s="75" t="str">
        <f t="shared" si="6"/>
        <v/>
      </c>
      <c r="J597" s="80">
        <f t="shared" si="7"/>
        <v>3678892.733</v>
      </c>
      <c r="K597" s="77" t="str">
        <f t="shared" si="3"/>
        <v/>
      </c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</row>
    <row r="598" ht="15.75" customHeight="1">
      <c r="A598" s="68" t="s">
        <v>2673</v>
      </c>
      <c r="B598" s="69"/>
      <c r="C598" s="72">
        <f t="shared" si="4"/>
        <v>3688892.733</v>
      </c>
      <c r="D598" s="71">
        <v>0.01</v>
      </c>
      <c r="E598" s="72">
        <f t="shared" si="1"/>
        <v>36888.92733</v>
      </c>
      <c r="F598" s="72">
        <f t="shared" si="2"/>
        <v>3725781.661</v>
      </c>
      <c r="G598" s="79" t="str">
        <f t="shared" si="5"/>
        <v/>
      </c>
      <c r="H598" s="81"/>
      <c r="I598" s="75" t="str">
        <f t="shared" si="6"/>
        <v/>
      </c>
      <c r="J598" s="80">
        <f t="shared" si="7"/>
        <v>3715781.661</v>
      </c>
      <c r="K598" s="77" t="str">
        <f t="shared" si="3"/>
        <v/>
      </c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</row>
    <row r="599" ht="15.75" customHeight="1">
      <c r="A599" s="68" t="s">
        <v>2674</v>
      </c>
      <c r="B599" s="69"/>
      <c r="C599" s="72">
        <f t="shared" si="4"/>
        <v>3725781.661</v>
      </c>
      <c r="D599" s="71">
        <v>0.01</v>
      </c>
      <c r="E599" s="72">
        <f t="shared" si="1"/>
        <v>37257.81661</v>
      </c>
      <c r="F599" s="72">
        <f t="shared" si="2"/>
        <v>3763039.477</v>
      </c>
      <c r="G599" s="79" t="str">
        <f t="shared" si="5"/>
        <v/>
      </c>
      <c r="H599" s="81"/>
      <c r="I599" s="75" t="str">
        <f t="shared" si="6"/>
        <v/>
      </c>
      <c r="J599" s="80">
        <f t="shared" si="7"/>
        <v>3753039.477</v>
      </c>
      <c r="K599" s="77" t="str">
        <f t="shared" si="3"/>
        <v/>
      </c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</row>
    <row r="600" ht="15.75" customHeight="1">
      <c r="A600" s="68" t="s">
        <v>2675</v>
      </c>
      <c r="B600" s="69"/>
      <c r="C600" s="72">
        <f t="shared" si="4"/>
        <v>3763039.477</v>
      </c>
      <c r="D600" s="71">
        <v>0.01</v>
      </c>
      <c r="E600" s="72">
        <f t="shared" si="1"/>
        <v>37630.39477</v>
      </c>
      <c r="F600" s="72">
        <f t="shared" si="2"/>
        <v>3800669.872</v>
      </c>
      <c r="G600" s="79" t="str">
        <f t="shared" si="5"/>
        <v/>
      </c>
      <c r="H600" s="81"/>
      <c r="I600" s="75" t="str">
        <f t="shared" si="6"/>
        <v/>
      </c>
      <c r="J600" s="80">
        <f t="shared" si="7"/>
        <v>3790669.872</v>
      </c>
      <c r="K600" s="77" t="str">
        <f t="shared" si="3"/>
        <v/>
      </c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</row>
    <row r="601" ht="15.75" customHeight="1">
      <c r="A601" s="68" t="s">
        <v>2676</v>
      </c>
      <c r="B601" s="69"/>
      <c r="C601" s="72">
        <f t="shared" si="4"/>
        <v>3800669.872</v>
      </c>
      <c r="D601" s="71">
        <v>0.01</v>
      </c>
      <c r="E601" s="72">
        <f t="shared" si="1"/>
        <v>38006.69872</v>
      </c>
      <c r="F601" s="72">
        <f t="shared" si="2"/>
        <v>3838676.571</v>
      </c>
      <c r="G601" s="79" t="str">
        <f t="shared" si="5"/>
        <v/>
      </c>
      <c r="H601" s="81"/>
      <c r="I601" s="75" t="str">
        <f t="shared" si="6"/>
        <v/>
      </c>
      <c r="J601" s="80">
        <f t="shared" si="7"/>
        <v>3828676.571</v>
      </c>
      <c r="K601" s="77" t="str">
        <f t="shared" si="3"/>
        <v/>
      </c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</row>
    <row r="602" ht="15.75" customHeight="1">
      <c r="A602" s="68" t="s">
        <v>2677</v>
      </c>
      <c r="B602" s="69"/>
      <c r="C602" s="72">
        <f t="shared" si="4"/>
        <v>3838676.571</v>
      </c>
      <c r="D602" s="71">
        <v>0.01</v>
      </c>
      <c r="E602" s="72">
        <f t="shared" si="1"/>
        <v>38386.76571</v>
      </c>
      <c r="F602" s="72">
        <f t="shared" si="2"/>
        <v>3877063.337</v>
      </c>
      <c r="G602" s="79" t="str">
        <f t="shared" si="5"/>
        <v/>
      </c>
      <c r="H602" s="81"/>
      <c r="I602" s="75" t="str">
        <f t="shared" si="6"/>
        <v/>
      </c>
      <c r="J602" s="80">
        <f t="shared" si="7"/>
        <v>3867063.337</v>
      </c>
      <c r="K602" s="77" t="str">
        <f t="shared" si="3"/>
        <v/>
      </c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</row>
    <row r="603" ht="15.75" customHeight="1">
      <c r="A603" s="68" t="s">
        <v>2678</v>
      </c>
      <c r="B603" s="69"/>
      <c r="C603" s="72">
        <f t="shared" si="4"/>
        <v>3877063.337</v>
      </c>
      <c r="D603" s="71">
        <v>0.01</v>
      </c>
      <c r="E603" s="72">
        <f t="shared" si="1"/>
        <v>38770.63337</v>
      </c>
      <c r="F603" s="72">
        <f t="shared" si="2"/>
        <v>3915833.97</v>
      </c>
      <c r="G603" s="79" t="str">
        <f t="shared" si="5"/>
        <v/>
      </c>
      <c r="H603" s="81"/>
      <c r="I603" s="75" t="str">
        <f t="shared" si="6"/>
        <v/>
      </c>
      <c r="J603" s="80">
        <f t="shared" si="7"/>
        <v>3905833.97</v>
      </c>
      <c r="K603" s="77" t="str">
        <f t="shared" si="3"/>
        <v/>
      </c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</row>
    <row r="604" ht="15.75" customHeight="1">
      <c r="A604" s="68" t="s">
        <v>2679</v>
      </c>
      <c r="B604" s="69"/>
      <c r="C604" s="72">
        <f t="shared" si="4"/>
        <v>3915833.97</v>
      </c>
      <c r="D604" s="71">
        <v>0.01</v>
      </c>
      <c r="E604" s="72">
        <f t="shared" si="1"/>
        <v>39158.3397</v>
      </c>
      <c r="F604" s="72">
        <f t="shared" si="2"/>
        <v>3954992.31</v>
      </c>
      <c r="G604" s="79" t="str">
        <f t="shared" si="5"/>
        <v/>
      </c>
      <c r="H604" s="81"/>
      <c r="I604" s="75" t="str">
        <f t="shared" si="6"/>
        <v/>
      </c>
      <c r="J604" s="80">
        <f t="shared" si="7"/>
        <v>3944992.31</v>
      </c>
      <c r="K604" s="77" t="str">
        <f t="shared" si="3"/>
        <v/>
      </c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</row>
    <row r="605" ht="15.75" customHeight="1">
      <c r="A605" s="68" t="s">
        <v>2680</v>
      </c>
      <c r="B605" s="69"/>
      <c r="C605" s="72">
        <f t="shared" si="4"/>
        <v>3954992.31</v>
      </c>
      <c r="D605" s="71">
        <v>0.01</v>
      </c>
      <c r="E605" s="72">
        <f t="shared" si="1"/>
        <v>39549.9231</v>
      </c>
      <c r="F605" s="72">
        <f t="shared" si="2"/>
        <v>3994542.233</v>
      </c>
      <c r="G605" s="79" t="str">
        <f t="shared" si="5"/>
        <v/>
      </c>
      <c r="H605" s="81"/>
      <c r="I605" s="75" t="str">
        <f t="shared" si="6"/>
        <v/>
      </c>
      <c r="J605" s="80">
        <f t="shared" si="7"/>
        <v>3984542.233</v>
      </c>
      <c r="K605" s="77" t="str">
        <f t="shared" si="3"/>
        <v/>
      </c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</row>
    <row r="606" ht="15.75" customHeight="1">
      <c r="A606" s="68" t="s">
        <v>2681</v>
      </c>
      <c r="B606" s="69"/>
      <c r="C606" s="72">
        <f t="shared" si="4"/>
        <v>3994542.233</v>
      </c>
      <c r="D606" s="71">
        <v>0.01</v>
      </c>
      <c r="E606" s="72">
        <f t="shared" si="1"/>
        <v>39945.42233</v>
      </c>
      <c r="F606" s="72">
        <f t="shared" si="2"/>
        <v>4034487.655</v>
      </c>
      <c r="G606" s="79" t="str">
        <f t="shared" si="5"/>
        <v/>
      </c>
      <c r="H606" s="81"/>
      <c r="I606" s="75" t="str">
        <f t="shared" si="6"/>
        <v/>
      </c>
      <c r="J606" s="80">
        <f t="shared" si="7"/>
        <v>4024487.655</v>
      </c>
      <c r="K606" s="77" t="str">
        <f t="shared" si="3"/>
        <v/>
      </c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</row>
    <row r="607" ht="15.75" customHeight="1">
      <c r="A607" s="68" t="s">
        <v>2682</v>
      </c>
      <c r="B607" s="69"/>
      <c r="C607" s="72">
        <f t="shared" si="4"/>
        <v>4034487.655</v>
      </c>
      <c r="D607" s="71">
        <v>0.01</v>
      </c>
      <c r="E607" s="72">
        <f t="shared" si="1"/>
        <v>40344.87655</v>
      </c>
      <c r="F607" s="72">
        <f t="shared" si="2"/>
        <v>4074832.532</v>
      </c>
      <c r="G607" s="79" t="str">
        <f t="shared" si="5"/>
        <v/>
      </c>
      <c r="H607" s="81"/>
      <c r="I607" s="75" t="str">
        <f t="shared" si="6"/>
        <v/>
      </c>
      <c r="J607" s="80">
        <f t="shared" si="7"/>
        <v>4064832.532</v>
      </c>
      <c r="K607" s="77" t="str">
        <f t="shared" si="3"/>
        <v/>
      </c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</row>
    <row r="608" ht="15.75" customHeight="1">
      <c r="A608" s="68" t="s">
        <v>2683</v>
      </c>
      <c r="B608" s="69"/>
      <c r="C608" s="72">
        <f t="shared" si="4"/>
        <v>4074832.532</v>
      </c>
      <c r="D608" s="71">
        <v>0.01</v>
      </c>
      <c r="E608" s="72">
        <f t="shared" si="1"/>
        <v>40748.32532</v>
      </c>
      <c r="F608" s="72">
        <f t="shared" si="2"/>
        <v>4115580.857</v>
      </c>
      <c r="G608" s="79" t="str">
        <f t="shared" si="5"/>
        <v/>
      </c>
      <c r="H608" s="81"/>
      <c r="I608" s="75" t="str">
        <f t="shared" si="6"/>
        <v/>
      </c>
      <c r="J608" s="80">
        <f t="shared" si="7"/>
        <v>4105580.857</v>
      </c>
      <c r="K608" s="77" t="str">
        <f t="shared" si="3"/>
        <v/>
      </c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</row>
    <row r="609" ht="15.75" customHeight="1">
      <c r="A609" s="68" t="s">
        <v>2684</v>
      </c>
      <c r="B609" s="69"/>
      <c r="C609" s="72">
        <f t="shared" si="4"/>
        <v>4115580.857</v>
      </c>
      <c r="D609" s="71">
        <v>0.01</v>
      </c>
      <c r="E609" s="72">
        <f t="shared" si="1"/>
        <v>41155.80857</v>
      </c>
      <c r="F609" s="72">
        <f t="shared" si="2"/>
        <v>4156736.666</v>
      </c>
      <c r="G609" s="79" t="str">
        <f t="shared" si="5"/>
        <v/>
      </c>
      <c r="H609" s="81"/>
      <c r="I609" s="75" t="str">
        <f t="shared" si="6"/>
        <v/>
      </c>
      <c r="J609" s="80">
        <f t="shared" si="7"/>
        <v>4146736.666</v>
      </c>
      <c r="K609" s="77" t="str">
        <f t="shared" si="3"/>
        <v/>
      </c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</row>
    <row r="610" ht="15.75" customHeight="1">
      <c r="A610" s="68" t="s">
        <v>2685</v>
      </c>
      <c r="B610" s="69"/>
      <c r="C610" s="72">
        <f t="shared" si="4"/>
        <v>4156736.666</v>
      </c>
      <c r="D610" s="71">
        <v>0.01</v>
      </c>
      <c r="E610" s="72">
        <f t="shared" si="1"/>
        <v>41567.36666</v>
      </c>
      <c r="F610" s="72">
        <f t="shared" si="2"/>
        <v>4198304.032</v>
      </c>
      <c r="G610" s="79" t="str">
        <f t="shared" si="5"/>
        <v/>
      </c>
      <c r="H610" s="81"/>
      <c r="I610" s="75" t="str">
        <f t="shared" si="6"/>
        <v/>
      </c>
      <c r="J610" s="80">
        <f t="shared" si="7"/>
        <v>4188304.032</v>
      </c>
      <c r="K610" s="77" t="str">
        <f t="shared" si="3"/>
        <v/>
      </c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</row>
    <row r="611" ht="15.75" customHeight="1">
      <c r="A611" s="68" t="s">
        <v>2686</v>
      </c>
      <c r="B611" s="69"/>
      <c r="C611" s="72">
        <f t="shared" si="4"/>
        <v>4198304.032</v>
      </c>
      <c r="D611" s="71">
        <v>0.01</v>
      </c>
      <c r="E611" s="72">
        <f t="shared" si="1"/>
        <v>41983.04032</v>
      </c>
      <c r="F611" s="72">
        <f t="shared" si="2"/>
        <v>4240287.073</v>
      </c>
      <c r="G611" s="79" t="str">
        <f t="shared" si="5"/>
        <v/>
      </c>
      <c r="H611" s="81"/>
      <c r="I611" s="75" t="str">
        <f t="shared" si="6"/>
        <v/>
      </c>
      <c r="J611" s="80">
        <f t="shared" si="7"/>
        <v>4230287.073</v>
      </c>
      <c r="K611" s="77" t="str">
        <f t="shared" si="3"/>
        <v/>
      </c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</row>
    <row r="612" ht="15.75" customHeight="1">
      <c r="A612" s="68" t="s">
        <v>2687</v>
      </c>
      <c r="B612" s="69"/>
      <c r="C612" s="72">
        <f t="shared" si="4"/>
        <v>4240287.073</v>
      </c>
      <c r="D612" s="71">
        <v>0.01</v>
      </c>
      <c r="E612" s="72">
        <f t="shared" si="1"/>
        <v>42402.87073</v>
      </c>
      <c r="F612" s="72">
        <f t="shared" si="2"/>
        <v>4282689.943</v>
      </c>
      <c r="G612" s="79" t="str">
        <f t="shared" si="5"/>
        <v/>
      </c>
      <c r="H612" s="81"/>
      <c r="I612" s="75" t="str">
        <f t="shared" si="6"/>
        <v/>
      </c>
      <c r="J612" s="80">
        <f t="shared" si="7"/>
        <v>4272689.943</v>
      </c>
      <c r="K612" s="77" t="str">
        <f t="shared" si="3"/>
        <v/>
      </c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</row>
    <row r="613" ht="15.75" customHeight="1">
      <c r="A613" s="68" t="s">
        <v>2688</v>
      </c>
      <c r="B613" s="69"/>
      <c r="C613" s="72">
        <f t="shared" si="4"/>
        <v>4282689.943</v>
      </c>
      <c r="D613" s="71">
        <v>0.01</v>
      </c>
      <c r="E613" s="72">
        <f t="shared" si="1"/>
        <v>42826.89943</v>
      </c>
      <c r="F613" s="72">
        <f t="shared" si="2"/>
        <v>4325516.843</v>
      </c>
      <c r="G613" s="79" t="str">
        <f t="shared" si="5"/>
        <v/>
      </c>
      <c r="H613" s="81"/>
      <c r="I613" s="75" t="str">
        <f t="shared" si="6"/>
        <v/>
      </c>
      <c r="J613" s="80">
        <f t="shared" si="7"/>
        <v>4315516.843</v>
      </c>
      <c r="K613" s="77" t="str">
        <f t="shared" si="3"/>
        <v/>
      </c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</row>
    <row r="614" ht="15.75" customHeight="1">
      <c r="A614" s="68" t="s">
        <v>2689</v>
      </c>
      <c r="B614" s="69"/>
      <c r="C614" s="72">
        <f t="shared" si="4"/>
        <v>4325516.843</v>
      </c>
      <c r="D614" s="71">
        <v>0.01</v>
      </c>
      <c r="E614" s="72">
        <f t="shared" si="1"/>
        <v>43255.16843</v>
      </c>
      <c r="F614" s="72">
        <f t="shared" si="2"/>
        <v>4368772.011</v>
      </c>
      <c r="G614" s="79" t="str">
        <f t="shared" si="5"/>
        <v/>
      </c>
      <c r="H614" s="81"/>
      <c r="I614" s="75" t="str">
        <f t="shared" si="6"/>
        <v/>
      </c>
      <c r="J614" s="80">
        <f t="shared" si="7"/>
        <v>4358772.011</v>
      </c>
      <c r="K614" s="77" t="str">
        <f t="shared" si="3"/>
        <v/>
      </c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</row>
    <row r="615" ht="15.75" customHeight="1">
      <c r="A615" s="68" t="s">
        <v>2690</v>
      </c>
      <c r="B615" s="69"/>
      <c r="C615" s="72">
        <f t="shared" si="4"/>
        <v>4368772.011</v>
      </c>
      <c r="D615" s="71">
        <v>0.01</v>
      </c>
      <c r="E615" s="72">
        <f t="shared" si="1"/>
        <v>43687.72011</v>
      </c>
      <c r="F615" s="72">
        <f t="shared" si="2"/>
        <v>4412459.731</v>
      </c>
      <c r="G615" s="79" t="str">
        <f t="shared" si="5"/>
        <v/>
      </c>
      <c r="H615" s="81"/>
      <c r="I615" s="75" t="str">
        <f t="shared" si="6"/>
        <v/>
      </c>
      <c r="J615" s="80">
        <f t="shared" si="7"/>
        <v>4402459.731</v>
      </c>
      <c r="K615" s="77" t="str">
        <f t="shared" si="3"/>
        <v/>
      </c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</row>
    <row r="616" ht="15.75" customHeight="1">
      <c r="A616" s="68" t="s">
        <v>2691</v>
      </c>
      <c r="B616" s="69"/>
      <c r="C616" s="72">
        <f t="shared" si="4"/>
        <v>4412459.731</v>
      </c>
      <c r="D616" s="71">
        <v>0.01</v>
      </c>
      <c r="E616" s="72">
        <f t="shared" si="1"/>
        <v>44124.59731</v>
      </c>
      <c r="F616" s="72">
        <f t="shared" si="2"/>
        <v>4456584.329</v>
      </c>
      <c r="G616" s="79" t="str">
        <f t="shared" si="5"/>
        <v/>
      </c>
      <c r="H616" s="81"/>
      <c r="I616" s="75" t="str">
        <f t="shared" si="6"/>
        <v/>
      </c>
      <c r="J616" s="80">
        <f t="shared" si="7"/>
        <v>4446584.329</v>
      </c>
      <c r="K616" s="77" t="str">
        <f t="shared" si="3"/>
        <v/>
      </c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</row>
    <row r="617" ht="15.75" customHeight="1">
      <c r="A617" s="68" t="s">
        <v>2692</v>
      </c>
      <c r="B617" s="69"/>
      <c r="C617" s="72">
        <f t="shared" si="4"/>
        <v>4456584.329</v>
      </c>
      <c r="D617" s="71">
        <v>0.01</v>
      </c>
      <c r="E617" s="72">
        <f t="shared" si="1"/>
        <v>44565.84329</v>
      </c>
      <c r="F617" s="72">
        <f t="shared" si="2"/>
        <v>4501150.172</v>
      </c>
      <c r="G617" s="79" t="str">
        <f t="shared" si="5"/>
        <v/>
      </c>
      <c r="H617" s="81"/>
      <c r="I617" s="75" t="str">
        <f t="shared" si="6"/>
        <v/>
      </c>
      <c r="J617" s="80">
        <f t="shared" si="7"/>
        <v>4491150.172</v>
      </c>
      <c r="K617" s="77" t="str">
        <f t="shared" si="3"/>
        <v/>
      </c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</row>
    <row r="618" ht="15.75" customHeight="1">
      <c r="A618" s="68" t="s">
        <v>2693</v>
      </c>
      <c r="B618" s="69"/>
      <c r="C618" s="72">
        <f t="shared" si="4"/>
        <v>4501150.172</v>
      </c>
      <c r="D618" s="71">
        <v>0.01</v>
      </c>
      <c r="E618" s="72">
        <f t="shared" si="1"/>
        <v>45011.50172</v>
      </c>
      <c r="F618" s="72">
        <f t="shared" si="2"/>
        <v>4546161.674</v>
      </c>
      <c r="G618" s="79" t="str">
        <f t="shared" si="5"/>
        <v/>
      </c>
      <c r="H618" s="81"/>
      <c r="I618" s="75" t="str">
        <f t="shared" si="6"/>
        <v/>
      </c>
      <c r="J618" s="80">
        <f t="shared" si="7"/>
        <v>4536161.674</v>
      </c>
      <c r="K618" s="77" t="str">
        <f t="shared" si="3"/>
        <v/>
      </c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</row>
    <row r="619" ht="15.75" customHeight="1">
      <c r="A619" s="68" t="s">
        <v>2694</v>
      </c>
      <c r="B619" s="69"/>
      <c r="C619" s="72">
        <f t="shared" si="4"/>
        <v>4546161.674</v>
      </c>
      <c r="D619" s="71">
        <v>0.01</v>
      </c>
      <c r="E619" s="72">
        <f t="shared" si="1"/>
        <v>45461.61674</v>
      </c>
      <c r="F619" s="72">
        <f t="shared" si="2"/>
        <v>4591623.29</v>
      </c>
      <c r="G619" s="79" t="str">
        <f t="shared" si="5"/>
        <v/>
      </c>
      <c r="H619" s="81"/>
      <c r="I619" s="75" t="str">
        <f t="shared" si="6"/>
        <v/>
      </c>
      <c r="J619" s="80">
        <f t="shared" si="7"/>
        <v>4581623.29</v>
      </c>
      <c r="K619" s="77" t="str">
        <f t="shared" si="3"/>
        <v/>
      </c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</row>
    <row r="620" ht="15.75" customHeight="1">
      <c r="A620" s="68" t="s">
        <v>2695</v>
      </c>
      <c r="B620" s="69"/>
      <c r="C620" s="72">
        <f t="shared" si="4"/>
        <v>4591623.29</v>
      </c>
      <c r="D620" s="71">
        <v>0.01</v>
      </c>
      <c r="E620" s="72">
        <f t="shared" si="1"/>
        <v>45916.2329</v>
      </c>
      <c r="F620" s="72">
        <f t="shared" si="2"/>
        <v>4637539.523</v>
      </c>
      <c r="G620" s="79" t="str">
        <f t="shared" si="5"/>
        <v/>
      </c>
      <c r="H620" s="81"/>
      <c r="I620" s="75" t="str">
        <f t="shared" si="6"/>
        <v/>
      </c>
      <c r="J620" s="80">
        <f t="shared" si="7"/>
        <v>4627539.523</v>
      </c>
      <c r="K620" s="77" t="str">
        <f t="shared" si="3"/>
        <v/>
      </c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</row>
    <row r="621" ht="15.75" customHeight="1">
      <c r="A621" s="68" t="s">
        <v>2696</v>
      </c>
      <c r="B621" s="69"/>
      <c r="C621" s="72">
        <f t="shared" si="4"/>
        <v>4637539.523</v>
      </c>
      <c r="D621" s="71">
        <v>0.01</v>
      </c>
      <c r="E621" s="72">
        <f t="shared" si="1"/>
        <v>46375.39523</v>
      </c>
      <c r="F621" s="72">
        <f t="shared" si="2"/>
        <v>4683914.918</v>
      </c>
      <c r="G621" s="79" t="str">
        <f t="shared" si="5"/>
        <v/>
      </c>
      <c r="H621" s="81"/>
      <c r="I621" s="75" t="str">
        <f t="shared" si="6"/>
        <v/>
      </c>
      <c r="J621" s="80">
        <f t="shared" si="7"/>
        <v>4673914.918</v>
      </c>
      <c r="K621" s="77" t="str">
        <f t="shared" si="3"/>
        <v/>
      </c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</row>
    <row r="622" ht="15.75" customHeight="1">
      <c r="A622" s="68" t="s">
        <v>2697</v>
      </c>
      <c r="B622" s="69"/>
      <c r="C622" s="72">
        <f t="shared" si="4"/>
        <v>4683914.918</v>
      </c>
      <c r="D622" s="71">
        <v>0.01</v>
      </c>
      <c r="E622" s="72">
        <f t="shared" si="1"/>
        <v>46839.14918</v>
      </c>
      <c r="F622" s="72">
        <f t="shared" si="2"/>
        <v>4730754.068</v>
      </c>
      <c r="G622" s="79" t="str">
        <f t="shared" si="5"/>
        <v/>
      </c>
      <c r="H622" s="81"/>
      <c r="I622" s="75" t="str">
        <f t="shared" si="6"/>
        <v/>
      </c>
      <c r="J622" s="80">
        <f t="shared" si="7"/>
        <v>4720754.068</v>
      </c>
      <c r="K622" s="77" t="str">
        <f t="shared" si="3"/>
        <v/>
      </c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</row>
    <row r="623" ht="15.75" customHeight="1">
      <c r="A623" s="68" t="s">
        <v>2698</v>
      </c>
      <c r="B623" s="69"/>
      <c r="C623" s="72">
        <f t="shared" si="4"/>
        <v>4730754.068</v>
      </c>
      <c r="D623" s="71">
        <v>0.01</v>
      </c>
      <c r="E623" s="72">
        <f t="shared" si="1"/>
        <v>47307.54068</v>
      </c>
      <c r="F623" s="72">
        <f t="shared" si="2"/>
        <v>4778061.608</v>
      </c>
      <c r="G623" s="79" t="str">
        <f t="shared" si="5"/>
        <v/>
      </c>
      <c r="H623" s="81"/>
      <c r="I623" s="75" t="str">
        <f t="shared" si="6"/>
        <v/>
      </c>
      <c r="J623" s="80">
        <f t="shared" si="7"/>
        <v>4768061.608</v>
      </c>
      <c r="K623" s="77" t="str">
        <f t="shared" si="3"/>
        <v/>
      </c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</row>
    <row r="624" ht="15.75" customHeight="1">
      <c r="A624" s="68" t="s">
        <v>2699</v>
      </c>
      <c r="B624" s="69"/>
      <c r="C624" s="72">
        <f t="shared" si="4"/>
        <v>4778061.608</v>
      </c>
      <c r="D624" s="71">
        <v>0.01</v>
      </c>
      <c r="E624" s="72">
        <f t="shared" si="1"/>
        <v>47780.61608</v>
      </c>
      <c r="F624" s="72">
        <f t="shared" si="2"/>
        <v>4825842.224</v>
      </c>
      <c r="G624" s="79" t="str">
        <f t="shared" si="5"/>
        <v/>
      </c>
      <c r="H624" s="81"/>
      <c r="I624" s="75" t="str">
        <f t="shared" si="6"/>
        <v/>
      </c>
      <c r="J624" s="80">
        <f t="shared" si="7"/>
        <v>4815842.224</v>
      </c>
      <c r="K624" s="77" t="str">
        <f t="shared" si="3"/>
        <v/>
      </c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</row>
    <row r="625" ht="15.75" customHeight="1">
      <c r="A625" s="68" t="s">
        <v>2700</v>
      </c>
      <c r="B625" s="69"/>
      <c r="C625" s="72">
        <f t="shared" si="4"/>
        <v>4825842.224</v>
      </c>
      <c r="D625" s="71">
        <v>0.01</v>
      </c>
      <c r="E625" s="72">
        <f t="shared" si="1"/>
        <v>48258.42224</v>
      </c>
      <c r="F625" s="72">
        <f t="shared" si="2"/>
        <v>4874100.647</v>
      </c>
      <c r="G625" s="79" t="str">
        <f t="shared" si="5"/>
        <v/>
      </c>
      <c r="H625" s="81"/>
      <c r="I625" s="75" t="str">
        <f t="shared" si="6"/>
        <v/>
      </c>
      <c r="J625" s="80">
        <f t="shared" si="7"/>
        <v>4864100.647</v>
      </c>
      <c r="K625" s="77" t="str">
        <f t="shared" si="3"/>
        <v/>
      </c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</row>
    <row r="626" ht="15.75" customHeight="1">
      <c r="A626" s="68" t="s">
        <v>2701</v>
      </c>
      <c r="B626" s="69"/>
      <c r="C626" s="72">
        <f t="shared" si="4"/>
        <v>4874100.647</v>
      </c>
      <c r="D626" s="71">
        <v>0.01</v>
      </c>
      <c r="E626" s="72">
        <f t="shared" si="1"/>
        <v>48741.00647</v>
      </c>
      <c r="F626" s="72">
        <f t="shared" si="2"/>
        <v>4922841.653</v>
      </c>
      <c r="G626" s="79" t="str">
        <f t="shared" si="5"/>
        <v/>
      </c>
      <c r="H626" s="81"/>
      <c r="I626" s="75" t="str">
        <f t="shared" si="6"/>
        <v/>
      </c>
      <c r="J626" s="80">
        <f t="shared" si="7"/>
        <v>4912841.653</v>
      </c>
      <c r="K626" s="77" t="str">
        <f t="shared" si="3"/>
        <v/>
      </c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</row>
    <row r="627" ht="15.75" customHeight="1">
      <c r="A627" s="68" t="s">
        <v>2702</v>
      </c>
      <c r="B627" s="69"/>
      <c r="C627" s="72">
        <f t="shared" si="4"/>
        <v>4922841.653</v>
      </c>
      <c r="D627" s="71">
        <v>0.01</v>
      </c>
      <c r="E627" s="72">
        <f t="shared" si="1"/>
        <v>49228.41653</v>
      </c>
      <c r="F627" s="72">
        <f t="shared" si="2"/>
        <v>4972070.07</v>
      </c>
      <c r="G627" s="79" t="str">
        <f t="shared" si="5"/>
        <v/>
      </c>
      <c r="H627" s="81"/>
      <c r="I627" s="75" t="str">
        <f t="shared" si="6"/>
        <v/>
      </c>
      <c r="J627" s="80">
        <f t="shared" si="7"/>
        <v>4962070.07</v>
      </c>
      <c r="K627" s="77" t="str">
        <f t="shared" si="3"/>
        <v/>
      </c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</row>
    <row r="628" ht="15.75" customHeight="1">
      <c r="A628" s="68" t="s">
        <v>2703</v>
      </c>
      <c r="B628" s="69"/>
      <c r="C628" s="72">
        <f t="shared" si="4"/>
        <v>4972070.07</v>
      </c>
      <c r="D628" s="71">
        <v>0.01</v>
      </c>
      <c r="E628" s="72">
        <f t="shared" si="1"/>
        <v>49720.7007</v>
      </c>
      <c r="F628" s="72">
        <f t="shared" si="2"/>
        <v>5021790.77</v>
      </c>
      <c r="G628" s="79" t="str">
        <f t="shared" si="5"/>
        <v/>
      </c>
      <c r="H628" s="81"/>
      <c r="I628" s="75" t="str">
        <f t="shared" si="6"/>
        <v/>
      </c>
      <c r="J628" s="80">
        <f t="shared" si="7"/>
        <v>5011790.77</v>
      </c>
      <c r="K628" s="77" t="str">
        <f t="shared" si="3"/>
        <v/>
      </c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</row>
    <row r="629" ht="15.75" customHeight="1">
      <c r="A629" s="68" t="s">
        <v>2704</v>
      </c>
      <c r="B629" s="69"/>
      <c r="C629" s="72">
        <f t="shared" si="4"/>
        <v>5021790.77</v>
      </c>
      <c r="D629" s="71">
        <v>0.01</v>
      </c>
      <c r="E629" s="72">
        <f t="shared" si="1"/>
        <v>50217.9077</v>
      </c>
      <c r="F629" s="72">
        <f t="shared" si="2"/>
        <v>5072008.678</v>
      </c>
      <c r="G629" s="79" t="str">
        <f t="shared" si="5"/>
        <v/>
      </c>
      <c r="H629" s="81"/>
      <c r="I629" s="75" t="str">
        <f t="shared" si="6"/>
        <v/>
      </c>
      <c r="J629" s="80">
        <f t="shared" si="7"/>
        <v>5062008.678</v>
      </c>
      <c r="K629" s="77" t="str">
        <f t="shared" si="3"/>
        <v/>
      </c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</row>
    <row r="630" ht="15.75" customHeight="1">
      <c r="A630" s="68" t="s">
        <v>2705</v>
      </c>
      <c r="B630" s="69"/>
      <c r="C630" s="72">
        <f t="shared" si="4"/>
        <v>5072008.678</v>
      </c>
      <c r="D630" s="71">
        <v>0.01</v>
      </c>
      <c r="E630" s="72">
        <f t="shared" si="1"/>
        <v>50720.08678</v>
      </c>
      <c r="F630" s="72">
        <f t="shared" si="2"/>
        <v>5122728.765</v>
      </c>
      <c r="G630" s="79" t="str">
        <f t="shared" si="5"/>
        <v/>
      </c>
      <c r="H630" s="81"/>
      <c r="I630" s="75" t="str">
        <f t="shared" si="6"/>
        <v/>
      </c>
      <c r="J630" s="80">
        <f t="shared" si="7"/>
        <v>5112728.765</v>
      </c>
      <c r="K630" s="77" t="str">
        <f t="shared" si="3"/>
        <v/>
      </c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</row>
    <row r="631" ht="15.75" customHeight="1">
      <c r="A631" s="68" t="s">
        <v>2706</v>
      </c>
      <c r="B631" s="69"/>
      <c r="C631" s="72">
        <f t="shared" si="4"/>
        <v>5122728.765</v>
      </c>
      <c r="D631" s="71">
        <v>0.01</v>
      </c>
      <c r="E631" s="72">
        <f t="shared" si="1"/>
        <v>51227.28765</v>
      </c>
      <c r="F631" s="72">
        <f t="shared" si="2"/>
        <v>5173956.052</v>
      </c>
      <c r="G631" s="79" t="str">
        <f t="shared" si="5"/>
        <v/>
      </c>
      <c r="H631" s="81"/>
      <c r="I631" s="75" t="str">
        <f t="shared" si="6"/>
        <v/>
      </c>
      <c r="J631" s="80">
        <f t="shared" si="7"/>
        <v>5163956.052</v>
      </c>
      <c r="K631" s="77" t="str">
        <f t="shared" si="3"/>
        <v/>
      </c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</row>
    <row r="632" ht="15.75" customHeight="1">
      <c r="A632" s="68" t="s">
        <v>2707</v>
      </c>
      <c r="B632" s="69"/>
      <c r="C632" s="72">
        <f t="shared" si="4"/>
        <v>5173956.052</v>
      </c>
      <c r="D632" s="71">
        <v>0.01</v>
      </c>
      <c r="E632" s="72">
        <f t="shared" si="1"/>
        <v>51739.56052</v>
      </c>
      <c r="F632" s="72">
        <f t="shared" si="2"/>
        <v>5225695.613</v>
      </c>
      <c r="G632" s="79" t="str">
        <f t="shared" si="5"/>
        <v/>
      </c>
      <c r="H632" s="81"/>
      <c r="I632" s="75" t="str">
        <f t="shared" si="6"/>
        <v/>
      </c>
      <c r="J632" s="80">
        <f t="shared" si="7"/>
        <v>5215695.613</v>
      </c>
      <c r="K632" s="77" t="str">
        <f t="shared" si="3"/>
        <v/>
      </c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</row>
    <row r="633" ht="15.75" customHeight="1">
      <c r="A633" s="68" t="s">
        <v>2708</v>
      </c>
      <c r="B633" s="69"/>
      <c r="C633" s="72">
        <f t="shared" si="4"/>
        <v>5225695.613</v>
      </c>
      <c r="D633" s="71">
        <v>0.01</v>
      </c>
      <c r="E633" s="72">
        <f t="shared" si="1"/>
        <v>52256.95613</v>
      </c>
      <c r="F633" s="72">
        <f t="shared" si="2"/>
        <v>5277952.569</v>
      </c>
      <c r="G633" s="79" t="str">
        <f t="shared" si="5"/>
        <v/>
      </c>
      <c r="H633" s="81"/>
      <c r="I633" s="75" t="str">
        <f t="shared" si="6"/>
        <v/>
      </c>
      <c r="J633" s="80">
        <f t="shared" si="7"/>
        <v>5267952.569</v>
      </c>
      <c r="K633" s="77" t="str">
        <f t="shared" si="3"/>
        <v/>
      </c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</row>
    <row r="634" ht="15.75" customHeight="1">
      <c r="A634" s="68" t="s">
        <v>2709</v>
      </c>
      <c r="B634" s="69"/>
      <c r="C634" s="72">
        <f t="shared" si="4"/>
        <v>5277952.569</v>
      </c>
      <c r="D634" s="71">
        <v>0.01</v>
      </c>
      <c r="E634" s="72">
        <f t="shared" si="1"/>
        <v>52779.52569</v>
      </c>
      <c r="F634" s="72">
        <f t="shared" si="2"/>
        <v>5330732.095</v>
      </c>
      <c r="G634" s="79" t="str">
        <f t="shared" si="5"/>
        <v/>
      </c>
      <c r="H634" s="81"/>
      <c r="I634" s="75" t="str">
        <f t="shared" si="6"/>
        <v/>
      </c>
      <c r="J634" s="80">
        <f t="shared" si="7"/>
        <v>5320732.095</v>
      </c>
      <c r="K634" s="77" t="str">
        <f t="shared" si="3"/>
        <v/>
      </c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</row>
    <row r="635" ht="15.75" customHeight="1">
      <c r="A635" s="68" t="s">
        <v>2710</v>
      </c>
      <c r="B635" s="69"/>
      <c r="C635" s="72">
        <f t="shared" si="4"/>
        <v>5330732.095</v>
      </c>
      <c r="D635" s="71">
        <v>0.01</v>
      </c>
      <c r="E635" s="72">
        <f t="shared" si="1"/>
        <v>53307.32095</v>
      </c>
      <c r="F635" s="72">
        <f t="shared" si="2"/>
        <v>5384039.416</v>
      </c>
      <c r="G635" s="79" t="str">
        <f t="shared" si="5"/>
        <v/>
      </c>
      <c r="H635" s="81"/>
      <c r="I635" s="75" t="str">
        <f t="shared" si="6"/>
        <v/>
      </c>
      <c r="J635" s="80">
        <f t="shared" si="7"/>
        <v>5374039.416</v>
      </c>
      <c r="K635" s="77" t="str">
        <f t="shared" si="3"/>
        <v/>
      </c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</row>
    <row r="636" ht="15.75" customHeight="1">
      <c r="A636" s="68" t="s">
        <v>2711</v>
      </c>
      <c r="B636" s="69"/>
      <c r="C636" s="72">
        <f t="shared" si="4"/>
        <v>5384039.416</v>
      </c>
      <c r="D636" s="71">
        <v>0.01</v>
      </c>
      <c r="E636" s="72">
        <f t="shared" si="1"/>
        <v>53840.39416</v>
      </c>
      <c r="F636" s="72">
        <f t="shared" si="2"/>
        <v>5437879.81</v>
      </c>
      <c r="G636" s="79" t="str">
        <f t="shared" si="5"/>
        <v/>
      </c>
      <c r="H636" s="81"/>
      <c r="I636" s="75" t="str">
        <f t="shared" si="6"/>
        <v/>
      </c>
      <c r="J636" s="80">
        <f t="shared" si="7"/>
        <v>5427879.81</v>
      </c>
      <c r="K636" s="77" t="str">
        <f t="shared" si="3"/>
        <v/>
      </c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</row>
    <row r="637" ht="15.75" customHeight="1">
      <c r="A637" s="68" t="s">
        <v>2712</v>
      </c>
      <c r="B637" s="69"/>
      <c r="C637" s="72">
        <f t="shared" si="4"/>
        <v>5437879.81</v>
      </c>
      <c r="D637" s="71">
        <v>0.01</v>
      </c>
      <c r="E637" s="72">
        <f t="shared" si="1"/>
        <v>54378.7981</v>
      </c>
      <c r="F637" s="72">
        <f t="shared" si="2"/>
        <v>5492258.608</v>
      </c>
      <c r="G637" s="79" t="str">
        <f t="shared" si="5"/>
        <v/>
      </c>
      <c r="H637" s="81"/>
      <c r="I637" s="75" t="str">
        <f t="shared" si="6"/>
        <v/>
      </c>
      <c r="J637" s="80">
        <f t="shared" si="7"/>
        <v>5482258.608</v>
      </c>
      <c r="K637" s="77" t="str">
        <f t="shared" si="3"/>
        <v/>
      </c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</row>
    <row r="638" ht="15.75" customHeight="1">
      <c r="A638" s="68" t="s">
        <v>2713</v>
      </c>
      <c r="B638" s="69"/>
      <c r="C638" s="72">
        <f t="shared" si="4"/>
        <v>5492258.608</v>
      </c>
      <c r="D638" s="71">
        <v>0.01</v>
      </c>
      <c r="E638" s="72">
        <f t="shared" si="1"/>
        <v>54922.58608</v>
      </c>
      <c r="F638" s="72">
        <f t="shared" si="2"/>
        <v>5547181.194</v>
      </c>
      <c r="G638" s="79" t="str">
        <f t="shared" si="5"/>
        <v/>
      </c>
      <c r="H638" s="81"/>
      <c r="I638" s="75" t="str">
        <f t="shared" si="6"/>
        <v/>
      </c>
      <c r="J638" s="80">
        <f t="shared" si="7"/>
        <v>5537181.194</v>
      </c>
      <c r="K638" s="77" t="str">
        <f t="shared" si="3"/>
        <v/>
      </c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</row>
    <row r="639" ht="15.75" customHeight="1">
      <c r="A639" s="68" t="s">
        <v>2714</v>
      </c>
      <c r="B639" s="69"/>
      <c r="C639" s="72">
        <f t="shared" si="4"/>
        <v>5547181.194</v>
      </c>
      <c r="D639" s="71">
        <v>0.01</v>
      </c>
      <c r="E639" s="72">
        <f t="shared" si="1"/>
        <v>55471.81194</v>
      </c>
      <c r="F639" s="72">
        <f t="shared" si="2"/>
        <v>5602653.006</v>
      </c>
      <c r="G639" s="79" t="str">
        <f t="shared" si="5"/>
        <v/>
      </c>
      <c r="H639" s="81"/>
      <c r="I639" s="75" t="str">
        <f t="shared" si="6"/>
        <v/>
      </c>
      <c r="J639" s="80">
        <f t="shared" si="7"/>
        <v>5592653.006</v>
      </c>
      <c r="K639" s="77" t="str">
        <f t="shared" si="3"/>
        <v/>
      </c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</row>
    <row r="640" ht="15.75" customHeight="1">
      <c r="A640" s="68" t="s">
        <v>2715</v>
      </c>
      <c r="B640" s="69"/>
      <c r="C640" s="72">
        <f t="shared" si="4"/>
        <v>5602653.006</v>
      </c>
      <c r="D640" s="71">
        <v>0.01</v>
      </c>
      <c r="E640" s="72">
        <f t="shared" si="1"/>
        <v>56026.53006</v>
      </c>
      <c r="F640" s="72">
        <f t="shared" si="2"/>
        <v>5658679.536</v>
      </c>
      <c r="G640" s="79" t="str">
        <f t="shared" si="5"/>
        <v/>
      </c>
      <c r="H640" s="81"/>
      <c r="I640" s="75" t="str">
        <f t="shared" si="6"/>
        <v/>
      </c>
      <c r="J640" s="80">
        <f t="shared" si="7"/>
        <v>5648679.536</v>
      </c>
      <c r="K640" s="77" t="str">
        <f t="shared" si="3"/>
        <v/>
      </c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</row>
    <row r="641" ht="15.75" customHeight="1">
      <c r="A641" s="68" t="s">
        <v>2716</v>
      </c>
      <c r="B641" s="69"/>
      <c r="C641" s="72">
        <f t="shared" si="4"/>
        <v>5658679.536</v>
      </c>
      <c r="D641" s="71">
        <v>0.01</v>
      </c>
      <c r="E641" s="72">
        <f t="shared" si="1"/>
        <v>56586.79536</v>
      </c>
      <c r="F641" s="72">
        <f t="shared" si="2"/>
        <v>5715266.331</v>
      </c>
      <c r="G641" s="79" t="str">
        <f t="shared" si="5"/>
        <v/>
      </c>
      <c r="H641" s="81"/>
      <c r="I641" s="75" t="str">
        <f t="shared" si="6"/>
        <v/>
      </c>
      <c r="J641" s="80">
        <f t="shared" si="7"/>
        <v>5705266.331</v>
      </c>
      <c r="K641" s="77" t="str">
        <f t="shared" si="3"/>
        <v/>
      </c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</row>
    <row r="642" ht="15.75" customHeight="1">
      <c r="A642" s="68" t="s">
        <v>2717</v>
      </c>
      <c r="B642" s="69"/>
      <c r="C642" s="72">
        <f t="shared" si="4"/>
        <v>5715266.331</v>
      </c>
      <c r="D642" s="71">
        <v>0.01</v>
      </c>
      <c r="E642" s="72">
        <f t="shared" si="1"/>
        <v>57152.66331</v>
      </c>
      <c r="F642" s="72">
        <f t="shared" si="2"/>
        <v>5772418.995</v>
      </c>
      <c r="G642" s="79" t="str">
        <f t="shared" si="5"/>
        <v/>
      </c>
      <c r="H642" s="81"/>
      <c r="I642" s="75" t="str">
        <f t="shared" si="6"/>
        <v/>
      </c>
      <c r="J642" s="80">
        <f t="shared" si="7"/>
        <v>5762418.995</v>
      </c>
      <c r="K642" s="77" t="str">
        <f t="shared" si="3"/>
        <v/>
      </c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</row>
    <row r="643" ht="15.75" customHeight="1">
      <c r="A643" s="68" t="s">
        <v>2718</v>
      </c>
      <c r="B643" s="69"/>
      <c r="C643" s="72">
        <f t="shared" si="4"/>
        <v>5772418.995</v>
      </c>
      <c r="D643" s="71">
        <v>0.01</v>
      </c>
      <c r="E643" s="72">
        <f t="shared" si="1"/>
        <v>57724.18995</v>
      </c>
      <c r="F643" s="72">
        <f t="shared" si="2"/>
        <v>5830143.185</v>
      </c>
      <c r="G643" s="79" t="str">
        <f t="shared" si="5"/>
        <v/>
      </c>
      <c r="H643" s="81"/>
      <c r="I643" s="75" t="str">
        <f t="shared" si="6"/>
        <v/>
      </c>
      <c r="J643" s="80">
        <f t="shared" si="7"/>
        <v>5820143.185</v>
      </c>
      <c r="K643" s="77" t="str">
        <f t="shared" si="3"/>
        <v/>
      </c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</row>
    <row r="644" ht="15.75" customHeight="1">
      <c r="A644" s="68" t="s">
        <v>2719</v>
      </c>
      <c r="B644" s="69"/>
      <c r="C644" s="72">
        <f t="shared" si="4"/>
        <v>5830143.185</v>
      </c>
      <c r="D644" s="71">
        <v>0.01</v>
      </c>
      <c r="E644" s="72">
        <f t="shared" si="1"/>
        <v>58301.43185</v>
      </c>
      <c r="F644" s="72">
        <f t="shared" si="2"/>
        <v>5888444.617</v>
      </c>
      <c r="G644" s="79" t="str">
        <f t="shared" si="5"/>
        <v/>
      </c>
      <c r="H644" s="81"/>
      <c r="I644" s="75" t="str">
        <f t="shared" si="6"/>
        <v/>
      </c>
      <c r="J644" s="80">
        <f t="shared" si="7"/>
        <v>5878444.617</v>
      </c>
      <c r="K644" s="77" t="str">
        <f t="shared" si="3"/>
        <v/>
      </c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</row>
    <row r="645" ht="15.75" customHeight="1">
      <c r="A645" s="68" t="s">
        <v>2720</v>
      </c>
      <c r="B645" s="69"/>
      <c r="C645" s="72">
        <f t="shared" si="4"/>
        <v>5888444.617</v>
      </c>
      <c r="D645" s="71">
        <v>0.01</v>
      </c>
      <c r="E645" s="72">
        <f t="shared" si="1"/>
        <v>58884.44617</v>
      </c>
      <c r="F645" s="72">
        <f t="shared" si="2"/>
        <v>5947329.063</v>
      </c>
      <c r="G645" s="79" t="str">
        <f t="shared" si="5"/>
        <v/>
      </c>
      <c r="H645" s="81"/>
      <c r="I645" s="75" t="str">
        <f t="shared" si="6"/>
        <v/>
      </c>
      <c r="J645" s="80">
        <f t="shared" si="7"/>
        <v>5937329.063</v>
      </c>
      <c r="K645" s="77" t="str">
        <f t="shared" si="3"/>
        <v/>
      </c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</row>
    <row r="646" ht="15.75" customHeight="1">
      <c r="A646" s="68" t="s">
        <v>2721</v>
      </c>
      <c r="B646" s="69"/>
      <c r="C646" s="72">
        <f t="shared" si="4"/>
        <v>5947329.063</v>
      </c>
      <c r="D646" s="71">
        <v>0.01</v>
      </c>
      <c r="E646" s="72">
        <f t="shared" si="1"/>
        <v>59473.29063</v>
      </c>
      <c r="F646" s="72">
        <f t="shared" si="2"/>
        <v>6006802.353</v>
      </c>
      <c r="G646" s="79" t="str">
        <f t="shared" si="5"/>
        <v/>
      </c>
      <c r="H646" s="81"/>
      <c r="I646" s="75" t="str">
        <f t="shared" si="6"/>
        <v/>
      </c>
      <c r="J646" s="80">
        <f t="shared" si="7"/>
        <v>5996802.353</v>
      </c>
      <c r="K646" s="77" t="str">
        <f t="shared" si="3"/>
        <v/>
      </c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</row>
    <row r="647" ht="15.75" customHeight="1">
      <c r="A647" s="68" t="s">
        <v>2722</v>
      </c>
      <c r="B647" s="69"/>
      <c r="C647" s="72">
        <f t="shared" si="4"/>
        <v>6006802.353</v>
      </c>
      <c r="D647" s="71">
        <v>0.01</v>
      </c>
      <c r="E647" s="72">
        <f t="shared" si="1"/>
        <v>60068.02353</v>
      </c>
      <c r="F647" s="72">
        <f t="shared" si="2"/>
        <v>6066870.377</v>
      </c>
      <c r="G647" s="79" t="str">
        <f t="shared" si="5"/>
        <v/>
      </c>
      <c r="H647" s="81"/>
      <c r="I647" s="75" t="str">
        <f t="shared" si="6"/>
        <v/>
      </c>
      <c r="J647" s="80">
        <f t="shared" si="7"/>
        <v>6056870.377</v>
      </c>
      <c r="K647" s="77" t="str">
        <f t="shared" si="3"/>
        <v/>
      </c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</row>
    <row r="648" ht="15.75" customHeight="1">
      <c r="A648" s="68" t="s">
        <v>2723</v>
      </c>
      <c r="B648" s="69"/>
      <c r="C648" s="72">
        <f t="shared" si="4"/>
        <v>6066870.377</v>
      </c>
      <c r="D648" s="71">
        <v>0.01</v>
      </c>
      <c r="E648" s="72">
        <f t="shared" si="1"/>
        <v>60668.70377</v>
      </c>
      <c r="F648" s="72">
        <f t="shared" si="2"/>
        <v>6127539.081</v>
      </c>
      <c r="G648" s="79" t="str">
        <f t="shared" si="5"/>
        <v/>
      </c>
      <c r="H648" s="81"/>
      <c r="I648" s="75" t="str">
        <f t="shared" si="6"/>
        <v/>
      </c>
      <c r="J648" s="80">
        <f t="shared" si="7"/>
        <v>6117539.081</v>
      </c>
      <c r="K648" s="77" t="str">
        <f t="shared" si="3"/>
        <v/>
      </c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</row>
    <row r="649" ht="15.75" customHeight="1">
      <c r="A649" s="68" t="s">
        <v>2724</v>
      </c>
      <c r="B649" s="69"/>
      <c r="C649" s="72">
        <f t="shared" si="4"/>
        <v>6127539.081</v>
      </c>
      <c r="D649" s="71">
        <v>0.01</v>
      </c>
      <c r="E649" s="72">
        <f t="shared" si="1"/>
        <v>61275.39081</v>
      </c>
      <c r="F649" s="72">
        <f t="shared" si="2"/>
        <v>6188814.471</v>
      </c>
      <c r="G649" s="79" t="str">
        <f t="shared" si="5"/>
        <v/>
      </c>
      <c r="H649" s="81"/>
      <c r="I649" s="75" t="str">
        <f t="shared" si="6"/>
        <v/>
      </c>
      <c r="J649" s="80">
        <f t="shared" si="7"/>
        <v>6178814.471</v>
      </c>
      <c r="K649" s="77" t="str">
        <f t="shared" si="3"/>
        <v/>
      </c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</row>
    <row r="650" ht="15.75" customHeight="1">
      <c r="A650" s="68" t="s">
        <v>2725</v>
      </c>
      <c r="B650" s="69"/>
      <c r="C650" s="72">
        <f t="shared" si="4"/>
        <v>6188814.471</v>
      </c>
      <c r="D650" s="71">
        <v>0.01</v>
      </c>
      <c r="E650" s="72">
        <f t="shared" si="1"/>
        <v>61888.14471</v>
      </c>
      <c r="F650" s="72">
        <f t="shared" si="2"/>
        <v>6250702.616</v>
      </c>
      <c r="G650" s="79" t="str">
        <f t="shared" si="5"/>
        <v/>
      </c>
      <c r="H650" s="81"/>
      <c r="I650" s="75" t="str">
        <f t="shared" si="6"/>
        <v/>
      </c>
      <c r="J650" s="80">
        <f t="shared" si="7"/>
        <v>6240702.616</v>
      </c>
      <c r="K650" s="77" t="str">
        <f t="shared" si="3"/>
        <v/>
      </c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</row>
    <row r="651" ht="15.75" customHeight="1">
      <c r="A651" s="68" t="s">
        <v>2726</v>
      </c>
      <c r="B651" s="69"/>
      <c r="C651" s="72">
        <f t="shared" si="4"/>
        <v>6250702.616</v>
      </c>
      <c r="D651" s="71">
        <v>0.01</v>
      </c>
      <c r="E651" s="72">
        <f t="shared" si="1"/>
        <v>62507.02616</v>
      </c>
      <c r="F651" s="72">
        <f t="shared" si="2"/>
        <v>6313209.642</v>
      </c>
      <c r="G651" s="79" t="str">
        <f t="shared" si="5"/>
        <v/>
      </c>
      <c r="H651" s="81"/>
      <c r="I651" s="75" t="str">
        <f t="shared" si="6"/>
        <v/>
      </c>
      <c r="J651" s="80">
        <f t="shared" si="7"/>
        <v>6303209.642</v>
      </c>
      <c r="K651" s="77" t="str">
        <f t="shared" si="3"/>
        <v/>
      </c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</row>
    <row r="652" ht="15.75" customHeight="1">
      <c r="A652" s="68" t="s">
        <v>2727</v>
      </c>
      <c r="B652" s="69"/>
      <c r="C652" s="72">
        <f t="shared" si="4"/>
        <v>6313209.642</v>
      </c>
      <c r="D652" s="71">
        <v>0.01</v>
      </c>
      <c r="E652" s="72">
        <f t="shared" si="1"/>
        <v>63132.09642</v>
      </c>
      <c r="F652" s="72">
        <f t="shared" si="2"/>
        <v>6376341.739</v>
      </c>
      <c r="G652" s="79" t="str">
        <f t="shared" si="5"/>
        <v/>
      </c>
      <c r="H652" s="81"/>
      <c r="I652" s="75" t="str">
        <f t="shared" si="6"/>
        <v/>
      </c>
      <c r="J652" s="80">
        <f t="shared" si="7"/>
        <v>6366341.739</v>
      </c>
      <c r="K652" s="77" t="str">
        <f t="shared" si="3"/>
        <v/>
      </c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</row>
    <row r="653" ht="15.75" customHeight="1">
      <c r="A653" s="68" t="s">
        <v>2728</v>
      </c>
      <c r="B653" s="69"/>
      <c r="C653" s="72">
        <f t="shared" si="4"/>
        <v>6376341.739</v>
      </c>
      <c r="D653" s="71">
        <v>0.01</v>
      </c>
      <c r="E653" s="72">
        <f t="shared" si="1"/>
        <v>63763.41739</v>
      </c>
      <c r="F653" s="72">
        <f t="shared" si="2"/>
        <v>6440105.156</v>
      </c>
      <c r="G653" s="79" t="str">
        <f t="shared" si="5"/>
        <v/>
      </c>
      <c r="H653" s="81"/>
      <c r="I653" s="75" t="str">
        <f t="shared" si="6"/>
        <v/>
      </c>
      <c r="J653" s="80">
        <f t="shared" si="7"/>
        <v>6430105.156</v>
      </c>
      <c r="K653" s="77" t="str">
        <f t="shared" si="3"/>
        <v/>
      </c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</row>
    <row r="654" ht="15.75" customHeight="1">
      <c r="A654" s="68" t="s">
        <v>2729</v>
      </c>
      <c r="B654" s="69"/>
      <c r="C654" s="72">
        <f t="shared" si="4"/>
        <v>6440105.156</v>
      </c>
      <c r="D654" s="71">
        <v>0.01</v>
      </c>
      <c r="E654" s="72">
        <f t="shared" si="1"/>
        <v>64401.05156</v>
      </c>
      <c r="F654" s="72">
        <f t="shared" si="2"/>
        <v>6504506.208</v>
      </c>
      <c r="G654" s="79" t="str">
        <f t="shared" si="5"/>
        <v/>
      </c>
      <c r="H654" s="81"/>
      <c r="I654" s="75" t="str">
        <f t="shared" si="6"/>
        <v/>
      </c>
      <c r="J654" s="80">
        <f t="shared" si="7"/>
        <v>6494506.208</v>
      </c>
      <c r="K654" s="77" t="str">
        <f t="shared" si="3"/>
        <v/>
      </c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</row>
    <row r="655" ht="15.75" customHeight="1">
      <c r="A655" s="68" t="s">
        <v>2730</v>
      </c>
      <c r="B655" s="69"/>
      <c r="C655" s="72">
        <f t="shared" si="4"/>
        <v>6504506.208</v>
      </c>
      <c r="D655" s="71">
        <v>0.01</v>
      </c>
      <c r="E655" s="72">
        <f t="shared" si="1"/>
        <v>65045.06208</v>
      </c>
      <c r="F655" s="72">
        <f t="shared" si="2"/>
        <v>6569551.27</v>
      </c>
      <c r="G655" s="79" t="str">
        <f t="shared" si="5"/>
        <v/>
      </c>
      <c r="H655" s="81"/>
      <c r="I655" s="75" t="str">
        <f t="shared" si="6"/>
        <v/>
      </c>
      <c r="J655" s="80">
        <f t="shared" si="7"/>
        <v>6559551.27</v>
      </c>
      <c r="K655" s="77" t="str">
        <f t="shared" si="3"/>
        <v/>
      </c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</row>
    <row r="656" ht="15.75" customHeight="1">
      <c r="A656" s="68" t="s">
        <v>2731</v>
      </c>
      <c r="B656" s="69"/>
      <c r="C656" s="72">
        <f t="shared" si="4"/>
        <v>6569551.27</v>
      </c>
      <c r="D656" s="71">
        <v>0.01</v>
      </c>
      <c r="E656" s="72">
        <f t="shared" si="1"/>
        <v>65695.5127</v>
      </c>
      <c r="F656" s="72">
        <f t="shared" si="2"/>
        <v>6635246.782</v>
      </c>
      <c r="G656" s="79" t="str">
        <f t="shared" si="5"/>
        <v/>
      </c>
      <c r="H656" s="81"/>
      <c r="I656" s="75" t="str">
        <f t="shared" si="6"/>
        <v/>
      </c>
      <c r="J656" s="80">
        <f t="shared" si="7"/>
        <v>6625246.782</v>
      </c>
      <c r="K656" s="77" t="str">
        <f t="shared" si="3"/>
        <v/>
      </c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</row>
    <row r="657" ht="15.75" customHeight="1">
      <c r="A657" s="68" t="s">
        <v>2732</v>
      </c>
      <c r="B657" s="69"/>
      <c r="C657" s="72">
        <f t="shared" si="4"/>
        <v>6635246.782</v>
      </c>
      <c r="D657" s="71">
        <v>0.01</v>
      </c>
      <c r="E657" s="72">
        <f t="shared" si="1"/>
        <v>66352.46782</v>
      </c>
      <c r="F657" s="72">
        <f t="shared" si="2"/>
        <v>6701599.25</v>
      </c>
      <c r="G657" s="79" t="str">
        <f t="shared" si="5"/>
        <v/>
      </c>
      <c r="H657" s="81"/>
      <c r="I657" s="75" t="str">
        <f t="shared" si="6"/>
        <v/>
      </c>
      <c r="J657" s="80">
        <f t="shared" si="7"/>
        <v>6691599.25</v>
      </c>
      <c r="K657" s="77" t="str">
        <f t="shared" si="3"/>
        <v/>
      </c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</row>
    <row r="658" ht="15.75" customHeight="1">
      <c r="A658" s="68" t="s">
        <v>2733</v>
      </c>
      <c r="B658" s="69"/>
      <c r="C658" s="72">
        <f t="shared" si="4"/>
        <v>6701599.25</v>
      </c>
      <c r="D658" s="71">
        <v>0.01</v>
      </c>
      <c r="E658" s="72">
        <f t="shared" si="1"/>
        <v>67015.9925</v>
      </c>
      <c r="F658" s="72">
        <f t="shared" si="2"/>
        <v>6768615.243</v>
      </c>
      <c r="G658" s="79" t="str">
        <f t="shared" si="5"/>
        <v/>
      </c>
      <c r="H658" s="81"/>
      <c r="I658" s="75" t="str">
        <f t="shared" si="6"/>
        <v/>
      </c>
      <c r="J658" s="80">
        <f t="shared" si="7"/>
        <v>6758615.243</v>
      </c>
      <c r="K658" s="77" t="str">
        <f t="shared" si="3"/>
        <v/>
      </c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</row>
    <row r="659" ht="15.75" customHeight="1">
      <c r="A659" s="68" t="s">
        <v>2734</v>
      </c>
      <c r="B659" s="69"/>
      <c r="C659" s="72">
        <f t="shared" si="4"/>
        <v>6768615.243</v>
      </c>
      <c r="D659" s="71">
        <v>0.01</v>
      </c>
      <c r="E659" s="72">
        <f t="shared" si="1"/>
        <v>67686.15243</v>
      </c>
      <c r="F659" s="72">
        <f t="shared" si="2"/>
        <v>6836301.395</v>
      </c>
      <c r="G659" s="79" t="str">
        <f t="shared" si="5"/>
        <v/>
      </c>
      <c r="H659" s="81"/>
      <c r="I659" s="75" t="str">
        <f t="shared" si="6"/>
        <v/>
      </c>
      <c r="J659" s="80">
        <f t="shared" si="7"/>
        <v>6826301.395</v>
      </c>
      <c r="K659" s="77" t="str">
        <f t="shared" si="3"/>
        <v/>
      </c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</row>
    <row r="660" ht="15.75" customHeight="1">
      <c r="A660" s="68" t="s">
        <v>2735</v>
      </c>
      <c r="B660" s="69"/>
      <c r="C660" s="72">
        <f t="shared" si="4"/>
        <v>6836301.395</v>
      </c>
      <c r="D660" s="71">
        <v>0.01</v>
      </c>
      <c r="E660" s="72">
        <f t="shared" si="1"/>
        <v>68363.01395</v>
      </c>
      <c r="F660" s="72">
        <f t="shared" si="2"/>
        <v>6904664.409</v>
      </c>
      <c r="G660" s="79" t="str">
        <f t="shared" si="5"/>
        <v/>
      </c>
      <c r="H660" s="81"/>
      <c r="I660" s="75" t="str">
        <f t="shared" si="6"/>
        <v/>
      </c>
      <c r="J660" s="80">
        <f t="shared" si="7"/>
        <v>6894664.409</v>
      </c>
      <c r="K660" s="77" t="str">
        <f t="shared" si="3"/>
        <v/>
      </c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</row>
    <row r="661" ht="15.75" customHeight="1">
      <c r="A661" s="68" t="s">
        <v>2736</v>
      </c>
      <c r="B661" s="69"/>
      <c r="C661" s="72">
        <f t="shared" si="4"/>
        <v>6904664.409</v>
      </c>
      <c r="D661" s="71">
        <v>0.01</v>
      </c>
      <c r="E661" s="72">
        <f t="shared" si="1"/>
        <v>69046.64409</v>
      </c>
      <c r="F661" s="72">
        <f t="shared" si="2"/>
        <v>6973711.053</v>
      </c>
      <c r="G661" s="79" t="str">
        <f t="shared" si="5"/>
        <v/>
      </c>
      <c r="H661" s="81"/>
      <c r="I661" s="75" t="str">
        <f t="shared" si="6"/>
        <v/>
      </c>
      <c r="J661" s="80">
        <f t="shared" si="7"/>
        <v>6963711.053</v>
      </c>
      <c r="K661" s="77" t="str">
        <f t="shared" si="3"/>
        <v/>
      </c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</row>
    <row r="662" ht="15.75" customHeight="1">
      <c r="A662" s="68" t="s">
        <v>2737</v>
      </c>
      <c r="B662" s="69"/>
      <c r="C662" s="72">
        <f t="shared" si="4"/>
        <v>6973711.053</v>
      </c>
      <c r="D662" s="71">
        <v>0.01</v>
      </c>
      <c r="E662" s="72">
        <f t="shared" si="1"/>
        <v>69737.11053</v>
      </c>
      <c r="F662" s="72">
        <f t="shared" si="2"/>
        <v>7043448.164</v>
      </c>
      <c r="G662" s="79" t="str">
        <f t="shared" si="5"/>
        <v/>
      </c>
      <c r="H662" s="81"/>
      <c r="I662" s="75" t="str">
        <f t="shared" si="6"/>
        <v/>
      </c>
      <c r="J662" s="80">
        <f t="shared" si="7"/>
        <v>7033448.164</v>
      </c>
      <c r="K662" s="77" t="str">
        <f t="shared" si="3"/>
        <v/>
      </c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</row>
    <row r="663" ht="15.75" customHeight="1">
      <c r="A663" s="68" t="s">
        <v>2738</v>
      </c>
      <c r="B663" s="69"/>
      <c r="C663" s="72">
        <f t="shared" si="4"/>
        <v>7043448.164</v>
      </c>
      <c r="D663" s="71">
        <v>0.01</v>
      </c>
      <c r="E663" s="72">
        <f t="shared" si="1"/>
        <v>70434.48164</v>
      </c>
      <c r="F663" s="72">
        <f t="shared" si="2"/>
        <v>7113882.645</v>
      </c>
      <c r="G663" s="79" t="str">
        <f t="shared" si="5"/>
        <v/>
      </c>
      <c r="H663" s="81"/>
      <c r="I663" s="75" t="str">
        <f t="shared" si="6"/>
        <v/>
      </c>
      <c r="J663" s="80">
        <f t="shared" si="7"/>
        <v>7103882.645</v>
      </c>
      <c r="K663" s="77" t="str">
        <f t="shared" si="3"/>
        <v/>
      </c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</row>
    <row r="664" ht="15.75" customHeight="1">
      <c r="A664" s="68" t="s">
        <v>2739</v>
      </c>
      <c r="B664" s="69"/>
      <c r="C664" s="72">
        <f t="shared" si="4"/>
        <v>7113882.645</v>
      </c>
      <c r="D664" s="71">
        <v>0.01</v>
      </c>
      <c r="E664" s="72">
        <f t="shared" si="1"/>
        <v>71138.82645</v>
      </c>
      <c r="F664" s="72">
        <f t="shared" si="2"/>
        <v>7185021.472</v>
      </c>
      <c r="G664" s="79" t="str">
        <f t="shared" si="5"/>
        <v/>
      </c>
      <c r="H664" s="81"/>
      <c r="I664" s="75" t="str">
        <f t="shared" si="6"/>
        <v/>
      </c>
      <c r="J664" s="80">
        <f t="shared" si="7"/>
        <v>7175021.472</v>
      </c>
      <c r="K664" s="77" t="str">
        <f t="shared" si="3"/>
        <v/>
      </c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</row>
    <row r="665" ht="15.75" customHeight="1">
      <c r="A665" s="68" t="s">
        <v>2740</v>
      </c>
      <c r="B665" s="69"/>
      <c r="C665" s="72">
        <f t="shared" si="4"/>
        <v>7185021.472</v>
      </c>
      <c r="D665" s="71">
        <v>0.01</v>
      </c>
      <c r="E665" s="72">
        <f t="shared" si="1"/>
        <v>71850.21472</v>
      </c>
      <c r="F665" s="72">
        <f t="shared" si="2"/>
        <v>7256871.687</v>
      </c>
      <c r="G665" s="79" t="str">
        <f t="shared" si="5"/>
        <v/>
      </c>
      <c r="H665" s="81"/>
      <c r="I665" s="75" t="str">
        <f t="shared" si="6"/>
        <v/>
      </c>
      <c r="J665" s="80">
        <f t="shared" si="7"/>
        <v>7246871.687</v>
      </c>
      <c r="K665" s="77" t="str">
        <f t="shared" si="3"/>
        <v/>
      </c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</row>
    <row r="666" ht="15.75" customHeight="1">
      <c r="A666" s="68" t="s">
        <v>2741</v>
      </c>
      <c r="B666" s="69"/>
      <c r="C666" s="72">
        <f t="shared" si="4"/>
        <v>7256871.687</v>
      </c>
      <c r="D666" s="71">
        <v>0.01</v>
      </c>
      <c r="E666" s="72">
        <f t="shared" si="1"/>
        <v>72568.71687</v>
      </c>
      <c r="F666" s="72">
        <f t="shared" si="2"/>
        <v>7329440.403</v>
      </c>
      <c r="G666" s="79" t="str">
        <f t="shared" si="5"/>
        <v/>
      </c>
      <c r="H666" s="81"/>
      <c r="I666" s="75" t="str">
        <f t="shared" si="6"/>
        <v/>
      </c>
      <c r="J666" s="80">
        <f t="shared" si="7"/>
        <v>7319440.403</v>
      </c>
      <c r="K666" s="77" t="str">
        <f t="shared" si="3"/>
        <v/>
      </c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</row>
    <row r="667" ht="15.75" customHeight="1">
      <c r="A667" s="68" t="s">
        <v>2742</v>
      </c>
      <c r="B667" s="69"/>
      <c r="C667" s="72">
        <f t="shared" si="4"/>
        <v>7329440.403</v>
      </c>
      <c r="D667" s="71">
        <v>0.01</v>
      </c>
      <c r="E667" s="72">
        <f t="shared" si="1"/>
        <v>73294.40403</v>
      </c>
      <c r="F667" s="72">
        <f t="shared" si="2"/>
        <v>7402734.807</v>
      </c>
      <c r="G667" s="79" t="str">
        <f t="shared" si="5"/>
        <v/>
      </c>
      <c r="H667" s="81"/>
      <c r="I667" s="75" t="str">
        <f t="shared" si="6"/>
        <v/>
      </c>
      <c r="J667" s="80">
        <f t="shared" si="7"/>
        <v>7392734.807</v>
      </c>
      <c r="K667" s="77" t="str">
        <f t="shared" si="3"/>
        <v/>
      </c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</row>
    <row r="668" ht="15.75" customHeight="1">
      <c r="A668" s="68" t="s">
        <v>2743</v>
      </c>
      <c r="B668" s="69"/>
      <c r="C668" s="72">
        <f t="shared" si="4"/>
        <v>7402734.807</v>
      </c>
      <c r="D668" s="71">
        <v>0.01</v>
      </c>
      <c r="E668" s="72">
        <f t="shared" si="1"/>
        <v>74027.34807</v>
      </c>
      <c r="F668" s="72">
        <f t="shared" si="2"/>
        <v>7476762.156</v>
      </c>
      <c r="G668" s="79" t="str">
        <f t="shared" si="5"/>
        <v/>
      </c>
      <c r="H668" s="81"/>
      <c r="I668" s="75" t="str">
        <f t="shared" si="6"/>
        <v/>
      </c>
      <c r="J668" s="80">
        <f t="shared" si="7"/>
        <v>7466762.156</v>
      </c>
      <c r="K668" s="77" t="str">
        <f t="shared" si="3"/>
        <v/>
      </c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</row>
    <row r="669" ht="15.75" customHeight="1">
      <c r="A669" s="68" t="s">
        <v>2744</v>
      </c>
      <c r="B669" s="69"/>
      <c r="C669" s="72">
        <f t="shared" si="4"/>
        <v>7476762.156</v>
      </c>
      <c r="D669" s="71">
        <v>0.01</v>
      </c>
      <c r="E669" s="72">
        <f t="shared" si="1"/>
        <v>74767.62156</v>
      </c>
      <c r="F669" s="72">
        <f t="shared" si="2"/>
        <v>7551529.777</v>
      </c>
      <c r="G669" s="79" t="str">
        <f t="shared" si="5"/>
        <v/>
      </c>
      <c r="H669" s="81"/>
      <c r="I669" s="75" t="str">
        <f t="shared" si="6"/>
        <v/>
      </c>
      <c r="J669" s="80">
        <f t="shared" si="7"/>
        <v>7541529.777</v>
      </c>
      <c r="K669" s="77" t="str">
        <f t="shared" si="3"/>
        <v/>
      </c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</row>
    <row r="670" ht="15.75" customHeight="1">
      <c r="A670" s="68" t="s">
        <v>2745</v>
      </c>
      <c r="B670" s="69"/>
      <c r="C670" s="72">
        <f t="shared" si="4"/>
        <v>7551529.777</v>
      </c>
      <c r="D670" s="71">
        <v>0.01</v>
      </c>
      <c r="E670" s="72">
        <f t="shared" si="1"/>
        <v>75515.29777</v>
      </c>
      <c r="F670" s="72">
        <f t="shared" si="2"/>
        <v>7627045.075</v>
      </c>
      <c r="G670" s="79" t="str">
        <f t="shared" si="5"/>
        <v/>
      </c>
      <c r="H670" s="81"/>
      <c r="I670" s="75" t="str">
        <f t="shared" si="6"/>
        <v/>
      </c>
      <c r="J670" s="80">
        <f t="shared" si="7"/>
        <v>7617045.075</v>
      </c>
      <c r="K670" s="77" t="str">
        <f t="shared" si="3"/>
        <v/>
      </c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</row>
    <row r="671" ht="15.75" customHeight="1">
      <c r="A671" s="68" t="s">
        <v>2746</v>
      </c>
      <c r="B671" s="69"/>
      <c r="C671" s="72">
        <f t="shared" si="4"/>
        <v>7627045.075</v>
      </c>
      <c r="D671" s="71">
        <v>0.01</v>
      </c>
      <c r="E671" s="72">
        <f t="shared" si="1"/>
        <v>76270.45075</v>
      </c>
      <c r="F671" s="72">
        <f t="shared" si="2"/>
        <v>7703315.526</v>
      </c>
      <c r="G671" s="79" t="str">
        <f t="shared" si="5"/>
        <v/>
      </c>
      <c r="H671" s="81"/>
      <c r="I671" s="75" t="str">
        <f t="shared" si="6"/>
        <v/>
      </c>
      <c r="J671" s="80">
        <f t="shared" si="7"/>
        <v>7693315.526</v>
      </c>
      <c r="K671" s="77" t="str">
        <f t="shared" si="3"/>
        <v/>
      </c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</row>
    <row r="672" ht="15.75" customHeight="1">
      <c r="A672" s="68" t="s">
        <v>2747</v>
      </c>
      <c r="B672" s="69"/>
      <c r="C672" s="72">
        <f t="shared" si="4"/>
        <v>7703315.526</v>
      </c>
      <c r="D672" s="71">
        <v>0.01</v>
      </c>
      <c r="E672" s="72">
        <f t="shared" si="1"/>
        <v>77033.15526</v>
      </c>
      <c r="F672" s="72">
        <f t="shared" si="2"/>
        <v>7780348.681</v>
      </c>
      <c r="G672" s="79" t="str">
        <f t="shared" si="5"/>
        <v/>
      </c>
      <c r="H672" s="81"/>
      <c r="I672" s="75" t="str">
        <f t="shared" si="6"/>
        <v/>
      </c>
      <c r="J672" s="80">
        <f t="shared" si="7"/>
        <v>7770348.681</v>
      </c>
      <c r="K672" s="77" t="str">
        <f t="shared" si="3"/>
        <v/>
      </c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</row>
    <row r="673" ht="15.75" customHeight="1">
      <c r="A673" s="68" t="s">
        <v>2748</v>
      </c>
      <c r="B673" s="69"/>
      <c r="C673" s="72">
        <f t="shared" si="4"/>
        <v>7780348.681</v>
      </c>
      <c r="D673" s="71">
        <v>0.01</v>
      </c>
      <c r="E673" s="72">
        <f t="shared" si="1"/>
        <v>77803.48681</v>
      </c>
      <c r="F673" s="72">
        <f t="shared" si="2"/>
        <v>7858152.168</v>
      </c>
      <c r="G673" s="79" t="str">
        <f t="shared" si="5"/>
        <v/>
      </c>
      <c r="H673" s="81"/>
      <c r="I673" s="75" t="str">
        <f t="shared" si="6"/>
        <v/>
      </c>
      <c r="J673" s="80">
        <f t="shared" si="7"/>
        <v>7848152.168</v>
      </c>
      <c r="K673" s="77" t="str">
        <f t="shared" si="3"/>
        <v/>
      </c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</row>
    <row r="674" ht="15.75" customHeight="1">
      <c r="A674" s="68" t="s">
        <v>2749</v>
      </c>
      <c r="B674" s="69"/>
      <c r="C674" s="72">
        <f t="shared" si="4"/>
        <v>7858152.168</v>
      </c>
      <c r="D674" s="71">
        <v>0.01</v>
      </c>
      <c r="E674" s="72">
        <f t="shared" si="1"/>
        <v>78581.52168</v>
      </c>
      <c r="F674" s="72">
        <f t="shared" si="2"/>
        <v>7936733.689</v>
      </c>
      <c r="G674" s="79" t="str">
        <f t="shared" si="5"/>
        <v/>
      </c>
      <c r="H674" s="81"/>
      <c r="I674" s="75" t="str">
        <f t="shared" si="6"/>
        <v/>
      </c>
      <c r="J674" s="80">
        <f t="shared" si="7"/>
        <v>7926733.689</v>
      </c>
      <c r="K674" s="77" t="str">
        <f t="shared" si="3"/>
        <v/>
      </c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</row>
    <row r="675" ht="15.75" customHeight="1">
      <c r="A675" s="68" t="s">
        <v>2750</v>
      </c>
      <c r="B675" s="69"/>
      <c r="C675" s="72">
        <f t="shared" si="4"/>
        <v>7936733.689</v>
      </c>
      <c r="D675" s="71">
        <v>0.01</v>
      </c>
      <c r="E675" s="72">
        <f t="shared" si="1"/>
        <v>79367.33689</v>
      </c>
      <c r="F675" s="72">
        <f t="shared" si="2"/>
        <v>8016101.026</v>
      </c>
      <c r="G675" s="79" t="str">
        <f t="shared" si="5"/>
        <v/>
      </c>
      <c r="H675" s="81"/>
      <c r="I675" s="75" t="str">
        <f t="shared" si="6"/>
        <v/>
      </c>
      <c r="J675" s="80">
        <f t="shared" si="7"/>
        <v>8006101.026</v>
      </c>
      <c r="K675" s="77" t="str">
        <f t="shared" si="3"/>
        <v/>
      </c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</row>
    <row r="676" ht="15.75" customHeight="1">
      <c r="A676" s="68" t="s">
        <v>2751</v>
      </c>
      <c r="B676" s="69"/>
      <c r="C676" s="72">
        <f t="shared" si="4"/>
        <v>8016101.026</v>
      </c>
      <c r="D676" s="71">
        <v>0.01</v>
      </c>
      <c r="E676" s="72">
        <f t="shared" si="1"/>
        <v>80161.01026</v>
      </c>
      <c r="F676" s="72">
        <f t="shared" si="2"/>
        <v>8096262.037</v>
      </c>
      <c r="G676" s="79" t="str">
        <f t="shared" si="5"/>
        <v/>
      </c>
      <c r="H676" s="81"/>
      <c r="I676" s="75" t="str">
        <f t="shared" si="6"/>
        <v/>
      </c>
      <c r="J676" s="80">
        <f t="shared" si="7"/>
        <v>8086262.037</v>
      </c>
      <c r="K676" s="77" t="str">
        <f t="shared" si="3"/>
        <v/>
      </c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</row>
    <row r="677" ht="15.75" customHeight="1">
      <c r="A677" s="68" t="s">
        <v>2752</v>
      </c>
      <c r="B677" s="69"/>
      <c r="C677" s="72">
        <f t="shared" si="4"/>
        <v>8096262.037</v>
      </c>
      <c r="D677" s="71">
        <v>0.01</v>
      </c>
      <c r="E677" s="72">
        <f t="shared" si="1"/>
        <v>80962.62037</v>
      </c>
      <c r="F677" s="72">
        <f t="shared" si="2"/>
        <v>8177224.657</v>
      </c>
      <c r="G677" s="79" t="str">
        <f t="shared" si="5"/>
        <v/>
      </c>
      <c r="H677" s="81"/>
      <c r="I677" s="75" t="str">
        <f t="shared" si="6"/>
        <v/>
      </c>
      <c r="J677" s="80">
        <f t="shared" si="7"/>
        <v>8167224.657</v>
      </c>
      <c r="K677" s="77" t="str">
        <f t="shared" si="3"/>
        <v/>
      </c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</row>
    <row r="678" ht="15.75" customHeight="1">
      <c r="A678" s="68" t="s">
        <v>2753</v>
      </c>
      <c r="B678" s="69"/>
      <c r="C678" s="72">
        <f t="shared" si="4"/>
        <v>8177224.657</v>
      </c>
      <c r="D678" s="71">
        <v>0.01</v>
      </c>
      <c r="E678" s="72">
        <f t="shared" si="1"/>
        <v>81772.24657</v>
      </c>
      <c r="F678" s="72">
        <f t="shared" si="2"/>
        <v>8258996.903</v>
      </c>
      <c r="G678" s="79" t="str">
        <f t="shared" si="5"/>
        <v/>
      </c>
      <c r="H678" s="81"/>
      <c r="I678" s="75" t="str">
        <f t="shared" si="6"/>
        <v/>
      </c>
      <c r="J678" s="80">
        <f t="shared" si="7"/>
        <v>8248996.903</v>
      </c>
      <c r="K678" s="77" t="str">
        <f t="shared" si="3"/>
        <v/>
      </c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</row>
    <row r="679" ht="15.75" customHeight="1">
      <c r="A679" s="68" t="s">
        <v>2754</v>
      </c>
      <c r="B679" s="69"/>
      <c r="C679" s="72">
        <f t="shared" si="4"/>
        <v>8258996.903</v>
      </c>
      <c r="D679" s="71">
        <v>0.01</v>
      </c>
      <c r="E679" s="72">
        <f t="shared" si="1"/>
        <v>82589.96903</v>
      </c>
      <c r="F679" s="72">
        <f t="shared" si="2"/>
        <v>8341586.873</v>
      </c>
      <c r="G679" s="79" t="str">
        <f t="shared" si="5"/>
        <v/>
      </c>
      <c r="H679" s="81"/>
      <c r="I679" s="75" t="str">
        <f t="shared" si="6"/>
        <v/>
      </c>
      <c r="J679" s="80">
        <f t="shared" si="7"/>
        <v>8331586.873</v>
      </c>
      <c r="K679" s="77" t="str">
        <f t="shared" si="3"/>
        <v/>
      </c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</row>
    <row r="680" ht="15.75" customHeight="1">
      <c r="A680" s="68" t="s">
        <v>2755</v>
      </c>
      <c r="B680" s="69"/>
      <c r="C680" s="72">
        <f t="shared" si="4"/>
        <v>8341586.873</v>
      </c>
      <c r="D680" s="71">
        <v>0.01</v>
      </c>
      <c r="E680" s="72">
        <f t="shared" si="1"/>
        <v>83415.86873</v>
      </c>
      <c r="F680" s="72">
        <f t="shared" si="2"/>
        <v>8425002.741</v>
      </c>
      <c r="G680" s="79" t="str">
        <f t="shared" si="5"/>
        <v/>
      </c>
      <c r="H680" s="81"/>
      <c r="I680" s="75" t="str">
        <f t="shared" si="6"/>
        <v/>
      </c>
      <c r="J680" s="80">
        <f t="shared" si="7"/>
        <v>8415002.741</v>
      </c>
      <c r="K680" s="77" t="str">
        <f t="shared" si="3"/>
        <v/>
      </c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</row>
    <row r="681" ht="15.75" customHeight="1">
      <c r="A681" s="68" t="s">
        <v>2756</v>
      </c>
      <c r="B681" s="69"/>
      <c r="C681" s="72">
        <f t="shared" si="4"/>
        <v>8425002.741</v>
      </c>
      <c r="D681" s="71">
        <v>0.01</v>
      </c>
      <c r="E681" s="72">
        <f t="shared" si="1"/>
        <v>84250.02741</v>
      </c>
      <c r="F681" s="72">
        <f t="shared" si="2"/>
        <v>8509252.769</v>
      </c>
      <c r="G681" s="79" t="str">
        <f t="shared" si="5"/>
        <v/>
      </c>
      <c r="H681" s="81"/>
      <c r="I681" s="75" t="str">
        <f t="shared" si="6"/>
        <v/>
      </c>
      <c r="J681" s="80">
        <f t="shared" si="7"/>
        <v>8499252.769</v>
      </c>
      <c r="K681" s="77" t="str">
        <f t="shared" si="3"/>
        <v/>
      </c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</row>
    <row r="682" ht="15.75" customHeight="1">
      <c r="A682" s="68" t="s">
        <v>2757</v>
      </c>
      <c r="B682" s="69"/>
      <c r="C682" s="72">
        <f t="shared" si="4"/>
        <v>8509252.769</v>
      </c>
      <c r="D682" s="71">
        <v>0.01</v>
      </c>
      <c r="E682" s="72">
        <f t="shared" si="1"/>
        <v>85092.52769</v>
      </c>
      <c r="F682" s="72">
        <f t="shared" si="2"/>
        <v>8594345.296</v>
      </c>
      <c r="G682" s="79" t="str">
        <f t="shared" si="5"/>
        <v/>
      </c>
      <c r="H682" s="81"/>
      <c r="I682" s="75" t="str">
        <f t="shared" si="6"/>
        <v/>
      </c>
      <c r="J682" s="80">
        <f t="shared" si="7"/>
        <v>8584345.296</v>
      </c>
      <c r="K682" s="77" t="str">
        <f t="shared" si="3"/>
        <v/>
      </c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</row>
    <row r="683" ht="15.75" customHeight="1">
      <c r="A683" s="68" t="s">
        <v>2758</v>
      </c>
      <c r="B683" s="69"/>
      <c r="C683" s="72">
        <f t="shared" si="4"/>
        <v>8594345.296</v>
      </c>
      <c r="D683" s="71">
        <v>0.01</v>
      </c>
      <c r="E683" s="72">
        <f t="shared" si="1"/>
        <v>85943.45296</v>
      </c>
      <c r="F683" s="72">
        <f t="shared" si="2"/>
        <v>8680288.749</v>
      </c>
      <c r="G683" s="79" t="str">
        <f t="shared" si="5"/>
        <v/>
      </c>
      <c r="H683" s="81"/>
      <c r="I683" s="75" t="str">
        <f t="shared" si="6"/>
        <v/>
      </c>
      <c r="J683" s="80">
        <f t="shared" si="7"/>
        <v>8670288.749</v>
      </c>
      <c r="K683" s="77" t="str">
        <f t="shared" si="3"/>
        <v/>
      </c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</row>
    <row r="684" ht="15.75" customHeight="1">
      <c r="A684" s="68" t="s">
        <v>2759</v>
      </c>
      <c r="B684" s="69"/>
      <c r="C684" s="72">
        <f t="shared" si="4"/>
        <v>8680288.749</v>
      </c>
      <c r="D684" s="71">
        <v>0.01</v>
      </c>
      <c r="E684" s="72">
        <f t="shared" si="1"/>
        <v>86802.88749</v>
      </c>
      <c r="F684" s="72">
        <f t="shared" si="2"/>
        <v>8767091.637</v>
      </c>
      <c r="G684" s="79" t="str">
        <f t="shared" si="5"/>
        <v/>
      </c>
      <c r="H684" s="81"/>
      <c r="I684" s="75" t="str">
        <f t="shared" si="6"/>
        <v/>
      </c>
      <c r="J684" s="80">
        <f t="shared" si="7"/>
        <v>8757091.637</v>
      </c>
      <c r="K684" s="77" t="str">
        <f t="shared" si="3"/>
        <v/>
      </c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</row>
    <row r="685" ht="15.75" customHeight="1">
      <c r="A685" s="68" t="s">
        <v>2760</v>
      </c>
      <c r="B685" s="69"/>
      <c r="C685" s="72">
        <f t="shared" si="4"/>
        <v>8767091.637</v>
      </c>
      <c r="D685" s="71">
        <v>0.01</v>
      </c>
      <c r="E685" s="72">
        <f t="shared" si="1"/>
        <v>87670.91637</v>
      </c>
      <c r="F685" s="72">
        <f t="shared" si="2"/>
        <v>8854762.553</v>
      </c>
      <c r="G685" s="79" t="str">
        <f t="shared" si="5"/>
        <v/>
      </c>
      <c r="H685" s="81"/>
      <c r="I685" s="75" t="str">
        <f t="shared" si="6"/>
        <v/>
      </c>
      <c r="J685" s="80">
        <f t="shared" si="7"/>
        <v>8844762.553</v>
      </c>
      <c r="K685" s="77" t="str">
        <f t="shared" si="3"/>
        <v/>
      </c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</row>
    <row r="686" ht="15.75" customHeight="1">
      <c r="A686" s="68" t="s">
        <v>2761</v>
      </c>
      <c r="B686" s="69"/>
      <c r="C686" s="72">
        <f t="shared" si="4"/>
        <v>8854762.553</v>
      </c>
      <c r="D686" s="71">
        <v>0.01</v>
      </c>
      <c r="E686" s="72">
        <f t="shared" si="1"/>
        <v>88547.62553</v>
      </c>
      <c r="F686" s="72">
        <f t="shared" si="2"/>
        <v>8943310.179</v>
      </c>
      <c r="G686" s="79" t="str">
        <f t="shared" si="5"/>
        <v/>
      </c>
      <c r="H686" s="81"/>
      <c r="I686" s="75" t="str">
        <f t="shared" si="6"/>
        <v/>
      </c>
      <c r="J686" s="80">
        <f t="shared" si="7"/>
        <v>8933310.179</v>
      </c>
      <c r="K686" s="77" t="str">
        <f t="shared" si="3"/>
        <v/>
      </c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</row>
    <row r="687" ht="15.75" customHeight="1">
      <c r="A687" s="68" t="s">
        <v>2762</v>
      </c>
      <c r="B687" s="69"/>
      <c r="C687" s="72">
        <f t="shared" si="4"/>
        <v>8943310.179</v>
      </c>
      <c r="D687" s="71">
        <v>0.01</v>
      </c>
      <c r="E687" s="72">
        <f t="shared" si="1"/>
        <v>89433.10179</v>
      </c>
      <c r="F687" s="72">
        <f t="shared" si="2"/>
        <v>9032743.28</v>
      </c>
      <c r="G687" s="79" t="str">
        <f t="shared" si="5"/>
        <v/>
      </c>
      <c r="H687" s="81"/>
      <c r="I687" s="75" t="str">
        <f t="shared" si="6"/>
        <v/>
      </c>
      <c r="J687" s="80">
        <f t="shared" si="7"/>
        <v>9022743.28</v>
      </c>
      <c r="K687" s="77" t="str">
        <f t="shared" si="3"/>
        <v/>
      </c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</row>
    <row r="688" ht="15.75" customHeight="1">
      <c r="A688" s="68" t="s">
        <v>2763</v>
      </c>
      <c r="B688" s="69"/>
      <c r="C688" s="72">
        <f t="shared" si="4"/>
        <v>9032743.28</v>
      </c>
      <c r="D688" s="71">
        <v>0.01</v>
      </c>
      <c r="E688" s="72">
        <f t="shared" si="1"/>
        <v>90327.4328</v>
      </c>
      <c r="F688" s="72">
        <f t="shared" si="2"/>
        <v>9123070.713</v>
      </c>
      <c r="G688" s="79" t="str">
        <f t="shared" si="5"/>
        <v/>
      </c>
      <c r="H688" s="81"/>
      <c r="I688" s="75" t="str">
        <f t="shared" si="6"/>
        <v/>
      </c>
      <c r="J688" s="80">
        <f t="shared" si="7"/>
        <v>9113070.713</v>
      </c>
      <c r="K688" s="77" t="str">
        <f t="shared" si="3"/>
        <v/>
      </c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</row>
    <row r="689" ht="15.75" customHeight="1">
      <c r="A689" s="68" t="s">
        <v>2764</v>
      </c>
      <c r="B689" s="69"/>
      <c r="C689" s="72">
        <f t="shared" si="4"/>
        <v>9123070.713</v>
      </c>
      <c r="D689" s="71">
        <v>0.01</v>
      </c>
      <c r="E689" s="72">
        <f t="shared" si="1"/>
        <v>91230.70713</v>
      </c>
      <c r="F689" s="72">
        <f t="shared" si="2"/>
        <v>9214301.42</v>
      </c>
      <c r="G689" s="79" t="str">
        <f t="shared" si="5"/>
        <v/>
      </c>
      <c r="H689" s="81"/>
      <c r="I689" s="75" t="str">
        <f t="shared" si="6"/>
        <v/>
      </c>
      <c r="J689" s="80">
        <f t="shared" si="7"/>
        <v>9204301.42</v>
      </c>
      <c r="K689" s="77" t="str">
        <f t="shared" si="3"/>
        <v/>
      </c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</row>
    <row r="690" ht="15.75" customHeight="1">
      <c r="A690" s="68" t="s">
        <v>2765</v>
      </c>
      <c r="B690" s="69"/>
      <c r="C690" s="72">
        <f t="shared" si="4"/>
        <v>9214301.42</v>
      </c>
      <c r="D690" s="71">
        <v>0.01</v>
      </c>
      <c r="E690" s="72">
        <f t="shared" si="1"/>
        <v>92143.0142</v>
      </c>
      <c r="F690" s="72">
        <f t="shared" si="2"/>
        <v>9306444.435</v>
      </c>
      <c r="G690" s="79" t="str">
        <f t="shared" si="5"/>
        <v/>
      </c>
      <c r="H690" s="81"/>
      <c r="I690" s="75" t="str">
        <f t="shared" si="6"/>
        <v/>
      </c>
      <c r="J690" s="80">
        <f t="shared" si="7"/>
        <v>9296444.435</v>
      </c>
      <c r="K690" s="77" t="str">
        <f t="shared" si="3"/>
        <v/>
      </c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</row>
    <row r="691" ht="15.75" customHeight="1">
      <c r="A691" s="68" t="s">
        <v>2766</v>
      </c>
      <c r="B691" s="69"/>
      <c r="C691" s="72">
        <f t="shared" si="4"/>
        <v>9306444.435</v>
      </c>
      <c r="D691" s="71">
        <v>0.01</v>
      </c>
      <c r="E691" s="72">
        <f t="shared" si="1"/>
        <v>93064.44435</v>
      </c>
      <c r="F691" s="72">
        <f t="shared" si="2"/>
        <v>9399508.879</v>
      </c>
      <c r="G691" s="79" t="str">
        <f t="shared" si="5"/>
        <v/>
      </c>
      <c r="H691" s="81"/>
      <c r="I691" s="75" t="str">
        <f t="shared" si="6"/>
        <v/>
      </c>
      <c r="J691" s="80">
        <f t="shared" si="7"/>
        <v>9389508.879</v>
      </c>
      <c r="K691" s="77" t="str">
        <f t="shared" si="3"/>
        <v/>
      </c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</row>
    <row r="692" ht="15.75" customHeight="1">
      <c r="A692" s="68" t="s">
        <v>2767</v>
      </c>
      <c r="B692" s="69"/>
      <c r="C692" s="72">
        <f t="shared" si="4"/>
        <v>9399508.879</v>
      </c>
      <c r="D692" s="71">
        <v>0.01</v>
      </c>
      <c r="E692" s="72">
        <f t="shared" si="1"/>
        <v>93995.08879</v>
      </c>
      <c r="F692" s="72">
        <f t="shared" si="2"/>
        <v>9493503.968</v>
      </c>
      <c r="G692" s="79" t="str">
        <f t="shared" si="5"/>
        <v/>
      </c>
      <c r="H692" s="81"/>
      <c r="I692" s="75" t="str">
        <f t="shared" si="6"/>
        <v/>
      </c>
      <c r="J692" s="80">
        <f t="shared" si="7"/>
        <v>9483503.968</v>
      </c>
      <c r="K692" s="77" t="str">
        <f t="shared" si="3"/>
        <v/>
      </c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</row>
    <row r="693" ht="15.75" customHeight="1">
      <c r="A693" s="68" t="s">
        <v>2768</v>
      </c>
      <c r="B693" s="69"/>
      <c r="C693" s="72">
        <f t="shared" si="4"/>
        <v>9493503.968</v>
      </c>
      <c r="D693" s="71">
        <v>0.01</v>
      </c>
      <c r="E693" s="72">
        <f t="shared" si="1"/>
        <v>94935.03968</v>
      </c>
      <c r="F693" s="72">
        <f t="shared" si="2"/>
        <v>9588439.007</v>
      </c>
      <c r="G693" s="79" t="str">
        <f t="shared" si="5"/>
        <v/>
      </c>
      <c r="H693" s="81"/>
      <c r="I693" s="75" t="str">
        <f t="shared" si="6"/>
        <v/>
      </c>
      <c r="J693" s="80">
        <f t="shared" si="7"/>
        <v>9578439.007</v>
      </c>
      <c r="K693" s="77" t="str">
        <f t="shared" si="3"/>
        <v/>
      </c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</row>
    <row r="694" ht="15.75" customHeight="1">
      <c r="A694" s="68" t="s">
        <v>2769</v>
      </c>
      <c r="B694" s="69"/>
      <c r="C694" s="72">
        <f t="shared" si="4"/>
        <v>9588439.007</v>
      </c>
      <c r="D694" s="71">
        <v>0.01</v>
      </c>
      <c r="E694" s="72">
        <f t="shared" si="1"/>
        <v>95884.39007</v>
      </c>
      <c r="F694" s="72">
        <f t="shared" si="2"/>
        <v>9684323.397</v>
      </c>
      <c r="G694" s="79" t="str">
        <f t="shared" si="5"/>
        <v/>
      </c>
      <c r="H694" s="81"/>
      <c r="I694" s="75" t="str">
        <f t="shared" si="6"/>
        <v/>
      </c>
      <c r="J694" s="80">
        <f t="shared" si="7"/>
        <v>9674323.397</v>
      </c>
      <c r="K694" s="77" t="str">
        <f t="shared" si="3"/>
        <v/>
      </c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</row>
    <row r="695" ht="15.75" customHeight="1">
      <c r="A695" s="68" t="s">
        <v>2770</v>
      </c>
      <c r="B695" s="69"/>
      <c r="C695" s="72">
        <f t="shared" si="4"/>
        <v>9684323.397</v>
      </c>
      <c r="D695" s="71">
        <v>0.01</v>
      </c>
      <c r="E695" s="72">
        <f t="shared" si="1"/>
        <v>96843.23397</v>
      </c>
      <c r="F695" s="72">
        <f t="shared" si="2"/>
        <v>9781166.631</v>
      </c>
      <c r="G695" s="79" t="str">
        <f t="shared" si="5"/>
        <v/>
      </c>
      <c r="H695" s="81"/>
      <c r="I695" s="75" t="str">
        <f t="shared" si="6"/>
        <v/>
      </c>
      <c r="J695" s="80">
        <f t="shared" si="7"/>
        <v>9771166.631</v>
      </c>
      <c r="K695" s="77" t="str">
        <f t="shared" si="3"/>
        <v/>
      </c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</row>
    <row r="696" ht="15.75" customHeight="1">
      <c r="A696" s="68" t="s">
        <v>2771</v>
      </c>
      <c r="B696" s="69"/>
      <c r="C696" s="72">
        <f t="shared" si="4"/>
        <v>9781166.631</v>
      </c>
      <c r="D696" s="71">
        <v>0.01</v>
      </c>
      <c r="E696" s="72">
        <f t="shared" si="1"/>
        <v>97811.66631</v>
      </c>
      <c r="F696" s="72">
        <f t="shared" si="2"/>
        <v>9878978.298</v>
      </c>
      <c r="G696" s="79" t="str">
        <f t="shared" si="5"/>
        <v/>
      </c>
      <c r="H696" s="81"/>
      <c r="I696" s="75" t="str">
        <f t="shared" si="6"/>
        <v/>
      </c>
      <c r="J696" s="80">
        <f t="shared" si="7"/>
        <v>9868978.298</v>
      </c>
      <c r="K696" s="77" t="str">
        <f t="shared" si="3"/>
        <v/>
      </c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</row>
    <row r="697" ht="15.75" customHeight="1">
      <c r="A697" s="68" t="s">
        <v>2772</v>
      </c>
      <c r="B697" s="69"/>
      <c r="C697" s="72">
        <f t="shared" si="4"/>
        <v>9878978.298</v>
      </c>
      <c r="D697" s="71">
        <v>0.01</v>
      </c>
      <c r="E697" s="72">
        <f t="shared" si="1"/>
        <v>98789.78298</v>
      </c>
      <c r="F697" s="72">
        <f t="shared" si="2"/>
        <v>9977768.081</v>
      </c>
      <c r="G697" s="79" t="str">
        <f t="shared" si="5"/>
        <v/>
      </c>
      <c r="H697" s="81"/>
      <c r="I697" s="75" t="str">
        <f t="shared" si="6"/>
        <v/>
      </c>
      <c r="J697" s="80">
        <f t="shared" si="7"/>
        <v>9967768.081</v>
      </c>
      <c r="K697" s="77" t="str">
        <f t="shared" si="3"/>
        <v/>
      </c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</row>
    <row r="698" ht="15.75" customHeight="1">
      <c r="A698" s="68" t="s">
        <v>2773</v>
      </c>
      <c r="B698" s="69"/>
      <c r="C698" s="72">
        <f t="shared" si="4"/>
        <v>9977768.081</v>
      </c>
      <c r="D698" s="71">
        <v>0.01</v>
      </c>
      <c r="E698" s="72">
        <f t="shared" si="1"/>
        <v>99777.68081</v>
      </c>
      <c r="F698" s="72">
        <f t="shared" si="2"/>
        <v>10077545.76</v>
      </c>
      <c r="G698" s="79" t="str">
        <f t="shared" si="5"/>
        <v/>
      </c>
      <c r="H698" s="81"/>
      <c r="I698" s="75" t="str">
        <f t="shared" si="6"/>
        <v/>
      </c>
      <c r="J698" s="80">
        <f t="shared" si="7"/>
        <v>10067545.76</v>
      </c>
      <c r="K698" s="77" t="str">
        <f t="shared" si="3"/>
        <v/>
      </c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</row>
    <row r="699" ht="15.75" customHeight="1">
      <c r="A699" s="68" t="s">
        <v>2774</v>
      </c>
      <c r="B699" s="69"/>
      <c r="C699" s="72">
        <f t="shared" si="4"/>
        <v>10077545.76</v>
      </c>
      <c r="D699" s="71">
        <v>0.01</v>
      </c>
      <c r="E699" s="72">
        <f t="shared" si="1"/>
        <v>100775.4576</v>
      </c>
      <c r="F699" s="72">
        <f t="shared" si="2"/>
        <v>10178321.22</v>
      </c>
      <c r="G699" s="79" t="str">
        <f t="shared" si="5"/>
        <v/>
      </c>
      <c r="H699" s="81"/>
      <c r="I699" s="75" t="str">
        <f t="shared" si="6"/>
        <v/>
      </c>
      <c r="J699" s="80">
        <f t="shared" si="7"/>
        <v>10168321.22</v>
      </c>
      <c r="K699" s="77" t="str">
        <f t="shared" si="3"/>
        <v/>
      </c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</row>
    <row r="700" ht="15.75" customHeight="1">
      <c r="A700" s="68" t="s">
        <v>2775</v>
      </c>
      <c r="B700" s="69"/>
      <c r="C700" s="72">
        <f t="shared" si="4"/>
        <v>10178321.22</v>
      </c>
      <c r="D700" s="71">
        <v>0.01</v>
      </c>
      <c r="E700" s="72">
        <f t="shared" si="1"/>
        <v>101783.2122</v>
      </c>
      <c r="F700" s="72">
        <f t="shared" si="2"/>
        <v>10280104.43</v>
      </c>
      <c r="G700" s="79" t="str">
        <f t="shared" si="5"/>
        <v/>
      </c>
      <c r="H700" s="81"/>
      <c r="I700" s="75" t="str">
        <f t="shared" si="6"/>
        <v/>
      </c>
      <c r="J700" s="80">
        <f t="shared" si="7"/>
        <v>10270104.43</v>
      </c>
      <c r="K700" s="77" t="str">
        <f t="shared" si="3"/>
        <v/>
      </c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</row>
    <row r="701" ht="15.75" customHeight="1">
      <c r="A701" s="68" t="s">
        <v>2776</v>
      </c>
      <c r="B701" s="69"/>
      <c r="C701" s="72">
        <f t="shared" si="4"/>
        <v>10280104.43</v>
      </c>
      <c r="D701" s="71">
        <v>0.01</v>
      </c>
      <c r="E701" s="72">
        <f t="shared" si="1"/>
        <v>102801.0443</v>
      </c>
      <c r="F701" s="72">
        <f t="shared" si="2"/>
        <v>10382905.48</v>
      </c>
      <c r="G701" s="79" t="str">
        <f t="shared" si="5"/>
        <v/>
      </c>
      <c r="H701" s="81"/>
      <c r="I701" s="75" t="str">
        <f t="shared" si="6"/>
        <v/>
      </c>
      <c r="J701" s="80">
        <f t="shared" si="7"/>
        <v>10372905.48</v>
      </c>
      <c r="K701" s="77" t="str">
        <f t="shared" si="3"/>
        <v/>
      </c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</row>
    <row r="702" ht="15.75" customHeight="1">
      <c r="A702" s="68" t="s">
        <v>2777</v>
      </c>
      <c r="B702" s="69"/>
      <c r="C702" s="72">
        <f t="shared" si="4"/>
        <v>10382905.48</v>
      </c>
      <c r="D702" s="71">
        <v>0.01</v>
      </c>
      <c r="E702" s="72">
        <f t="shared" si="1"/>
        <v>103829.0548</v>
      </c>
      <c r="F702" s="72">
        <f t="shared" si="2"/>
        <v>10486734.53</v>
      </c>
      <c r="G702" s="79" t="str">
        <f t="shared" si="5"/>
        <v/>
      </c>
      <c r="H702" s="81"/>
      <c r="I702" s="75" t="str">
        <f t="shared" si="6"/>
        <v/>
      </c>
      <c r="J702" s="80">
        <f t="shared" si="7"/>
        <v>10476734.53</v>
      </c>
      <c r="K702" s="77" t="str">
        <f t="shared" si="3"/>
        <v/>
      </c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</row>
    <row r="703" ht="15.75" customHeight="1">
      <c r="A703" s="68" t="s">
        <v>2778</v>
      </c>
      <c r="B703" s="69"/>
      <c r="C703" s="72">
        <f t="shared" si="4"/>
        <v>10486734.53</v>
      </c>
      <c r="D703" s="71">
        <v>0.01</v>
      </c>
      <c r="E703" s="72">
        <f t="shared" si="1"/>
        <v>104867.3453</v>
      </c>
      <c r="F703" s="72">
        <f t="shared" si="2"/>
        <v>10591601.88</v>
      </c>
      <c r="G703" s="79" t="str">
        <f t="shared" si="5"/>
        <v/>
      </c>
      <c r="H703" s="81"/>
      <c r="I703" s="75" t="str">
        <f t="shared" si="6"/>
        <v/>
      </c>
      <c r="J703" s="80">
        <f t="shared" si="7"/>
        <v>10581601.88</v>
      </c>
      <c r="K703" s="77" t="str">
        <f t="shared" si="3"/>
        <v/>
      </c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</row>
    <row r="704" ht="15.75" customHeight="1">
      <c r="A704" s="68" t="s">
        <v>2779</v>
      </c>
      <c r="B704" s="69"/>
      <c r="C704" s="72">
        <f t="shared" si="4"/>
        <v>10591601.88</v>
      </c>
      <c r="D704" s="71">
        <v>0.01</v>
      </c>
      <c r="E704" s="72">
        <f t="shared" si="1"/>
        <v>105916.0188</v>
      </c>
      <c r="F704" s="72">
        <f t="shared" si="2"/>
        <v>10697517.89</v>
      </c>
      <c r="G704" s="79" t="str">
        <f t="shared" si="5"/>
        <v/>
      </c>
      <c r="H704" s="81"/>
      <c r="I704" s="75" t="str">
        <f t="shared" si="6"/>
        <v/>
      </c>
      <c r="J704" s="80">
        <f t="shared" si="7"/>
        <v>10687517.89</v>
      </c>
      <c r="K704" s="77" t="str">
        <f t="shared" si="3"/>
        <v/>
      </c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</row>
    <row r="705" ht="15.75" customHeight="1">
      <c r="A705" s="68" t="s">
        <v>2780</v>
      </c>
      <c r="B705" s="69"/>
      <c r="C705" s="72">
        <f t="shared" si="4"/>
        <v>10697517.89</v>
      </c>
      <c r="D705" s="71">
        <v>0.01</v>
      </c>
      <c r="E705" s="72">
        <f t="shared" si="1"/>
        <v>106975.1789</v>
      </c>
      <c r="F705" s="72">
        <f t="shared" si="2"/>
        <v>10804493.07</v>
      </c>
      <c r="G705" s="79" t="str">
        <f t="shared" si="5"/>
        <v/>
      </c>
      <c r="H705" s="81"/>
      <c r="I705" s="75" t="str">
        <f t="shared" si="6"/>
        <v/>
      </c>
      <c r="J705" s="80">
        <f t="shared" si="7"/>
        <v>10794493.07</v>
      </c>
      <c r="K705" s="77" t="str">
        <f t="shared" si="3"/>
        <v/>
      </c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</row>
    <row r="706" ht="15.75" customHeight="1">
      <c r="A706" s="68" t="s">
        <v>2781</v>
      </c>
      <c r="B706" s="69"/>
      <c r="C706" s="72">
        <f t="shared" si="4"/>
        <v>10804493.07</v>
      </c>
      <c r="D706" s="71">
        <v>0.01</v>
      </c>
      <c r="E706" s="72">
        <f t="shared" si="1"/>
        <v>108044.9307</v>
      </c>
      <c r="F706" s="72">
        <f t="shared" si="2"/>
        <v>10912538</v>
      </c>
      <c r="G706" s="79" t="str">
        <f t="shared" si="5"/>
        <v/>
      </c>
      <c r="H706" s="81"/>
      <c r="I706" s="75" t="str">
        <f t="shared" si="6"/>
        <v/>
      </c>
      <c r="J706" s="80">
        <f t="shared" si="7"/>
        <v>10902538</v>
      </c>
      <c r="K706" s="77" t="str">
        <f t="shared" si="3"/>
        <v/>
      </c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</row>
    <row r="707" ht="15.75" customHeight="1">
      <c r="A707" s="68" t="s">
        <v>2782</v>
      </c>
      <c r="B707" s="69"/>
      <c r="C707" s="72">
        <f t="shared" si="4"/>
        <v>10912538</v>
      </c>
      <c r="D707" s="71">
        <v>0.01</v>
      </c>
      <c r="E707" s="72">
        <f t="shared" si="1"/>
        <v>109125.38</v>
      </c>
      <c r="F707" s="72">
        <f t="shared" si="2"/>
        <v>11021663.38</v>
      </c>
      <c r="G707" s="79" t="str">
        <f t="shared" si="5"/>
        <v/>
      </c>
      <c r="H707" s="81"/>
      <c r="I707" s="75" t="str">
        <f t="shared" si="6"/>
        <v/>
      </c>
      <c r="J707" s="80">
        <f t="shared" si="7"/>
        <v>11011663.38</v>
      </c>
      <c r="K707" s="77" t="str">
        <f t="shared" si="3"/>
        <v/>
      </c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</row>
    <row r="708" ht="15.75" customHeight="1">
      <c r="A708" s="68" t="s">
        <v>2783</v>
      </c>
      <c r="B708" s="69"/>
      <c r="C708" s="72">
        <f t="shared" si="4"/>
        <v>11021663.38</v>
      </c>
      <c r="D708" s="71">
        <v>0.01</v>
      </c>
      <c r="E708" s="72">
        <f t="shared" si="1"/>
        <v>110216.6338</v>
      </c>
      <c r="F708" s="72">
        <f t="shared" si="2"/>
        <v>11131880.02</v>
      </c>
      <c r="G708" s="79" t="str">
        <f t="shared" si="5"/>
        <v/>
      </c>
      <c r="H708" s="81"/>
      <c r="I708" s="75" t="str">
        <f t="shared" si="6"/>
        <v/>
      </c>
      <c r="J708" s="80">
        <f t="shared" si="7"/>
        <v>11121880.02</v>
      </c>
      <c r="K708" s="77" t="str">
        <f t="shared" si="3"/>
        <v/>
      </c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</row>
    <row r="709" ht="15.75" customHeight="1">
      <c r="A709" s="68" t="s">
        <v>2784</v>
      </c>
      <c r="B709" s="69"/>
      <c r="C709" s="72">
        <f t="shared" si="4"/>
        <v>11131880.02</v>
      </c>
      <c r="D709" s="71">
        <v>0.01</v>
      </c>
      <c r="E709" s="72">
        <f t="shared" si="1"/>
        <v>111318.8002</v>
      </c>
      <c r="F709" s="72">
        <f t="shared" si="2"/>
        <v>11243198.82</v>
      </c>
      <c r="G709" s="79" t="str">
        <f t="shared" si="5"/>
        <v/>
      </c>
      <c r="H709" s="81"/>
      <c r="I709" s="75" t="str">
        <f t="shared" si="6"/>
        <v/>
      </c>
      <c r="J709" s="80">
        <f t="shared" si="7"/>
        <v>11233198.82</v>
      </c>
      <c r="K709" s="77" t="str">
        <f t="shared" si="3"/>
        <v/>
      </c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</row>
    <row r="710" ht="15.75" customHeight="1">
      <c r="A710" s="68" t="s">
        <v>2785</v>
      </c>
      <c r="B710" s="69"/>
      <c r="C710" s="72">
        <f t="shared" si="4"/>
        <v>11243198.82</v>
      </c>
      <c r="D710" s="71">
        <v>0.01</v>
      </c>
      <c r="E710" s="72">
        <f t="shared" si="1"/>
        <v>112431.9882</v>
      </c>
      <c r="F710" s="72">
        <f t="shared" si="2"/>
        <v>11355630.81</v>
      </c>
      <c r="G710" s="79" t="str">
        <f t="shared" si="5"/>
        <v/>
      </c>
      <c r="H710" s="81"/>
      <c r="I710" s="75" t="str">
        <f t="shared" si="6"/>
        <v/>
      </c>
      <c r="J710" s="80">
        <f t="shared" si="7"/>
        <v>11345630.81</v>
      </c>
      <c r="K710" s="77" t="str">
        <f t="shared" si="3"/>
        <v/>
      </c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</row>
    <row r="711" ht="15.75" customHeight="1">
      <c r="A711" s="68" t="s">
        <v>2786</v>
      </c>
      <c r="B711" s="69"/>
      <c r="C711" s="72">
        <f t="shared" si="4"/>
        <v>11355630.81</v>
      </c>
      <c r="D711" s="71">
        <v>0.01</v>
      </c>
      <c r="E711" s="72">
        <f t="shared" si="1"/>
        <v>113556.3081</v>
      </c>
      <c r="F711" s="72">
        <f t="shared" si="2"/>
        <v>11469187.11</v>
      </c>
      <c r="G711" s="79" t="str">
        <f t="shared" si="5"/>
        <v/>
      </c>
      <c r="H711" s="81"/>
      <c r="I711" s="75" t="str">
        <f t="shared" si="6"/>
        <v/>
      </c>
      <c r="J711" s="80">
        <f t="shared" si="7"/>
        <v>11459187.11</v>
      </c>
      <c r="K711" s="77" t="str">
        <f t="shared" si="3"/>
        <v/>
      </c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</row>
    <row r="712" ht="15.75" customHeight="1">
      <c r="A712" s="68" t="s">
        <v>2787</v>
      </c>
      <c r="B712" s="69"/>
      <c r="C712" s="72">
        <f t="shared" si="4"/>
        <v>11469187.11</v>
      </c>
      <c r="D712" s="71">
        <v>0.01</v>
      </c>
      <c r="E712" s="72">
        <f t="shared" si="1"/>
        <v>114691.8711</v>
      </c>
      <c r="F712" s="72">
        <f t="shared" si="2"/>
        <v>11583878.99</v>
      </c>
      <c r="G712" s="79" t="str">
        <f t="shared" si="5"/>
        <v/>
      </c>
      <c r="H712" s="81"/>
      <c r="I712" s="75" t="str">
        <f t="shared" si="6"/>
        <v/>
      </c>
      <c r="J712" s="80">
        <f t="shared" si="7"/>
        <v>11573878.99</v>
      </c>
      <c r="K712" s="77" t="str">
        <f t="shared" si="3"/>
        <v/>
      </c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</row>
    <row r="713" ht="15.75" customHeight="1">
      <c r="A713" s="68" t="s">
        <v>2788</v>
      </c>
      <c r="B713" s="69"/>
      <c r="C713" s="72">
        <f t="shared" si="4"/>
        <v>11583878.99</v>
      </c>
      <c r="D713" s="71">
        <v>0.01</v>
      </c>
      <c r="E713" s="72">
        <f t="shared" si="1"/>
        <v>115838.7899</v>
      </c>
      <c r="F713" s="72">
        <f t="shared" si="2"/>
        <v>11699717.78</v>
      </c>
      <c r="G713" s="79" t="str">
        <f t="shared" si="5"/>
        <v/>
      </c>
      <c r="H713" s="81"/>
      <c r="I713" s="75" t="str">
        <f t="shared" si="6"/>
        <v/>
      </c>
      <c r="J713" s="80">
        <f t="shared" si="7"/>
        <v>11689717.78</v>
      </c>
      <c r="K713" s="77" t="str">
        <f t="shared" si="3"/>
        <v/>
      </c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</row>
    <row r="714" ht="15.75" customHeight="1">
      <c r="A714" s="68" t="s">
        <v>2789</v>
      </c>
      <c r="B714" s="69"/>
      <c r="C714" s="72">
        <f t="shared" si="4"/>
        <v>11699717.78</v>
      </c>
      <c r="D714" s="71">
        <v>0.01</v>
      </c>
      <c r="E714" s="72">
        <f t="shared" si="1"/>
        <v>116997.1778</v>
      </c>
      <c r="F714" s="72">
        <f t="shared" si="2"/>
        <v>11816714.95</v>
      </c>
      <c r="G714" s="79" t="str">
        <f t="shared" si="5"/>
        <v/>
      </c>
      <c r="H714" s="81"/>
      <c r="I714" s="75" t="str">
        <f t="shared" si="6"/>
        <v/>
      </c>
      <c r="J714" s="80">
        <f t="shared" si="7"/>
        <v>11806714.95</v>
      </c>
      <c r="K714" s="77" t="str">
        <f t="shared" si="3"/>
        <v/>
      </c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</row>
    <row r="715" ht="15.75" customHeight="1">
      <c r="A715" s="68" t="s">
        <v>2790</v>
      </c>
      <c r="B715" s="69"/>
      <c r="C715" s="72">
        <f t="shared" si="4"/>
        <v>11816714.95</v>
      </c>
      <c r="D715" s="71">
        <v>0.01</v>
      </c>
      <c r="E715" s="72">
        <f t="shared" si="1"/>
        <v>118167.1495</v>
      </c>
      <c r="F715" s="72">
        <f t="shared" si="2"/>
        <v>11934882.1</v>
      </c>
      <c r="G715" s="79" t="str">
        <f t="shared" si="5"/>
        <v/>
      </c>
      <c r="H715" s="81"/>
      <c r="I715" s="75" t="str">
        <f t="shared" si="6"/>
        <v/>
      </c>
      <c r="J715" s="80">
        <f t="shared" si="7"/>
        <v>11924882.1</v>
      </c>
      <c r="K715" s="77" t="str">
        <f t="shared" si="3"/>
        <v/>
      </c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</row>
    <row r="716" ht="15.75" customHeight="1">
      <c r="A716" s="68" t="s">
        <v>2791</v>
      </c>
      <c r="B716" s="69"/>
      <c r="C716" s="72">
        <f t="shared" si="4"/>
        <v>11934882.1</v>
      </c>
      <c r="D716" s="71">
        <v>0.01</v>
      </c>
      <c r="E716" s="72">
        <f t="shared" si="1"/>
        <v>119348.821</v>
      </c>
      <c r="F716" s="72">
        <f t="shared" si="2"/>
        <v>12054230.92</v>
      </c>
      <c r="G716" s="79" t="str">
        <f t="shared" si="5"/>
        <v/>
      </c>
      <c r="H716" s="81"/>
      <c r="I716" s="75" t="str">
        <f t="shared" si="6"/>
        <v/>
      </c>
      <c r="J716" s="80">
        <f t="shared" si="7"/>
        <v>12044230.92</v>
      </c>
      <c r="K716" s="77" t="str">
        <f t="shared" si="3"/>
        <v/>
      </c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</row>
    <row r="717" ht="15.75" customHeight="1">
      <c r="A717" s="68" t="s">
        <v>2792</v>
      </c>
      <c r="B717" s="69"/>
      <c r="C717" s="72">
        <f t="shared" si="4"/>
        <v>12054230.92</v>
      </c>
      <c r="D717" s="71">
        <v>0.01</v>
      </c>
      <c r="E717" s="72">
        <f t="shared" si="1"/>
        <v>120542.3092</v>
      </c>
      <c r="F717" s="72">
        <f t="shared" si="2"/>
        <v>12174773.23</v>
      </c>
      <c r="G717" s="79" t="str">
        <f t="shared" si="5"/>
        <v/>
      </c>
      <c r="H717" s="81"/>
      <c r="I717" s="75" t="str">
        <f t="shared" si="6"/>
        <v/>
      </c>
      <c r="J717" s="80">
        <f t="shared" si="7"/>
        <v>12164773.23</v>
      </c>
      <c r="K717" s="77" t="str">
        <f t="shared" si="3"/>
        <v/>
      </c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</row>
    <row r="718" ht="15.75" customHeight="1">
      <c r="A718" s="68" t="s">
        <v>2793</v>
      </c>
      <c r="B718" s="69"/>
      <c r="C718" s="72">
        <f t="shared" si="4"/>
        <v>12174773.23</v>
      </c>
      <c r="D718" s="71">
        <v>0.01</v>
      </c>
      <c r="E718" s="72">
        <f t="shared" si="1"/>
        <v>121747.7323</v>
      </c>
      <c r="F718" s="72">
        <f t="shared" si="2"/>
        <v>12296520.97</v>
      </c>
      <c r="G718" s="79" t="str">
        <f t="shared" si="5"/>
        <v/>
      </c>
      <c r="H718" s="81"/>
      <c r="I718" s="75" t="str">
        <f t="shared" si="6"/>
        <v/>
      </c>
      <c r="J718" s="80">
        <f t="shared" si="7"/>
        <v>12286520.97</v>
      </c>
      <c r="K718" s="77" t="str">
        <f t="shared" si="3"/>
        <v/>
      </c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</row>
    <row r="719" ht="15.75" customHeight="1">
      <c r="A719" s="68" t="s">
        <v>2794</v>
      </c>
      <c r="B719" s="69"/>
      <c r="C719" s="72">
        <f t="shared" si="4"/>
        <v>12296520.97</v>
      </c>
      <c r="D719" s="71">
        <v>0.01</v>
      </c>
      <c r="E719" s="72">
        <f t="shared" si="1"/>
        <v>122965.2097</v>
      </c>
      <c r="F719" s="72">
        <f t="shared" si="2"/>
        <v>12419486.18</v>
      </c>
      <c r="G719" s="79" t="str">
        <f t="shared" si="5"/>
        <v/>
      </c>
      <c r="H719" s="81"/>
      <c r="I719" s="75" t="str">
        <f t="shared" si="6"/>
        <v/>
      </c>
      <c r="J719" s="80">
        <f t="shared" si="7"/>
        <v>12409486.18</v>
      </c>
      <c r="K719" s="77" t="str">
        <f t="shared" si="3"/>
        <v/>
      </c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</row>
    <row r="720" ht="15.75" customHeight="1">
      <c r="A720" s="68" t="s">
        <v>2795</v>
      </c>
      <c r="B720" s="69"/>
      <c r="C720" s="72">
        <f t="shared" si="4"/>
        <v>12419486.18</v>
      </c>
      <c r="D720" s="71">
        <v>0.01</v>
      </c>
      <c r="E720" s="72">
        <f t="shared" si="1"/>
        <v>124194.8618</v>
      </c>
      <c r="F720" s="72">
        <f t="shared" si="2"/>
        <v>12543681.04</v>
      </c>
      <c r="G720" s="79" t="str">
        <f t="shared" si="5"/>
        <v/>
      </c>
      <c r="H720" s="81"/>
      <c r="I720" s="75" t="str">
        <f t="shared" si="6"/>
        <v/>
      </c>
      <c r="J720" s="80">
        <f t="shared" si="7"/>
        <v>12533681.04</v>
      </c>
      <c r="K720" s="77" t="str">
        <f t="shared" si="3"/>
        <v/>
      </c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</row>
    <row r="721" ht="15.75" customHeight="1">
      <c r="A721" s="68" t="s">
        <v>2796</v>
      </c>
      <c r="B721" s="69"/>
      <c r="C721" s="72">
        <f t="shared" si="4"/>
        <v>12543681.04</v>
      </c>
      <c r="D721" s="71">
        <v>0.01</v>
      </c>
      <c r="E721" s="72">
        <f t="shared" si="1"/>
        <v>125436.8104</v>
      </c>
      <c r="F721" s="72">
        <f t="shared" si="2"/>
        <v>12669117.85</v>
      </c>
      <c r="G721" s="79" t="str">
        <f t="shared" si="5"/>
        <v/>
      </c>
      <c r="H721" s="81"/>
      <c r="I721" s="75" t="str">
        <f t="shared" si="6"/>
        <v/>
      </c>
      <c r="J721" s="80">
        <f t="shared" si="7"/>
        <v>12659117.85</v>
      </c>
      <c r="K721" s="77" t="str">
        <f t="shared" si="3"/>
        <v/>
      </c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</row>
    <row r="722" ht="15.75" customHeight="1">
      <c r="A722" s="68" t="s">
        <v>2797</v>
      </c>
      <c r="B722" s="69"/>
      <c r="C722" s="72">
        <f t="shared" si="4"/>
        <v>12669117.85</v>
      </c>
      <c r="D722" s="71">
        <v>0.01</v>
      </c>
      <c r="E722" s="72">
        <f t="shared" si="1"/>
        <v>126691.1785</v>
      </c>
      <c r="F722" s="72">
        <f t="shared" si="2"/>
        <v>12795809.03</v>
      </c>
      <c r="G722" s="79" t="str">
        <f t="shared" si="5"/>
        <v/>
      </c>
      <c r="H722" s="81"/>
      <c r="I722" s="75" t="str">
        <f t="shared" si="6"/>
        <v/>
      </c>
      <c r="J722" s="80">
        <f t="shared" si="7"/>
        <v>12785809.03</v>
      </c>
      <c r="K722" s="77" t="str">
        <f t="shared" si="3"/>
        <v/>
      </c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</row>
    <row r="723" ht="15.75" customHeight="1">
      <c r="A723" s="68" t="s">
        <v>2798</v>
      </c>
      <c r="B723" s="69"/>
      <c r="C723" s="72">
        <f t="shared" si="4"/>
        <v>12795809.03</v>
      </c>
      <c r="D723" s="71">
        <v>0.01</v>
      </c>
      <c r="E723" s="72">
        <f t="shared" si="1"/>
        <v>127958.0903</v>
      </c>
      <c r="F723" s="72">
        <f t="shared" si="2"/>
        <v>12923767.12</v>
      </c>
      <c r="G723" s="79" t="str">
        <f t="shared" si="5"/>
        <v/>
      </c>
      <c r="H723" s="81"/>
      <c r="I723" s="75" t="str">
        <f t="shared" si="6"/>
        <v/>
      </c>
      <c r="J723" s="80">
        <f t="shared" si="7"/>
        <v>12913767.12</v>
      </c>
      <c r="K723" s="77" t="str">
        <f t="shared" si="3"/>
        <v/>
      </c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</row>
    <row r="724" ht="15.75" customHeight="1">
      <c r="A724" s="68" t="s">
        <v>2799</v>
      </c>
      <c r="B724" s="69"/>
      <c r="C724" s="72">
        <f t="shared" si="4"/>
        <v>12923767.12</v>
      </c>
      <c r="D724" s="71">
        <v>0.01</v>
      </c>
      <c r="E724" s="72">
        <f t="shared" si="1"/>
        <v>129237.6712</v>
      </c>
      <c r="F724" s="72">
        <f t="shared" si="2"/>
        <v>13053004.79</v>
      </c>
      <c r="G724" s="79" t="str">
        <f t="shared" si="5"/>
        <v/>
      </c>
      <c r="H724" s="81"/>
      <c r="I724" s="75" t="str">
        <f t="shared" si="6"/>
        <v/>
      </c>
      <c r="J724" s="80">
        <f t="shared" si="7"/>
        <v>13043004.79</v>
      </c>
      <c r="K724" s="77" t="str">
        <f t="shared" si="3"/>
        <v/>
      </c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</row>
    <row r="725" ht="15.75" customHeight="1">
      <c r="A725" s="68" t="s">
        <v>2800</v>
      </c>
      <c r="B725" s="69"/>
      <c r="C725" s="72">
        <f t="shared" si="4"/>
        <v>13053004.79</v>
      </c>
      <c r="D725" s="71">
        <v>0.01</v>
      </c>
      <c r="E725" s="72">
        <f t="shared" si="1"/>
        <v>130530.0479</v>
      </c>
      <c r="F725" s="72">
        <f t="shared" si="2"/>
        <v>13183534.83</v>
      </c>
      <c r="G725" s="79" t="str">
        <f t="shared" si="5"/>
        <v/>
      </c>
      <c r="H725" s="81"/>
      <c r="I725" s="75" t="str">
        <f t="shared" si="6"/>
        <v/>
      </c>
      <c r="J725" s="80">
        <f t="shared" si="7"/>
        <v>13173534.83</v>
      </c>
      <c r="K725" s="77" t="str">
        <f t="shared" si="3"/>
        <v/>
      </c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</row>
    <row r="726" ht="15.75" customHeight="1">
      <c r="A726" s="68" t="s">
        <v>2801</v>
      </c>
      <c r="B726" s="69"/>
      <c r="C726" s="72">
        <f t="shared" si="4"/>
        <v>13183534.83</v>
      </c>
      <c r="D726" s="71">
        <v>0.01</v>
      </c>
      <c r="E726" s="72">
        <f t="shared" si="1"/>
        <v>131835.3483</v>
      </c>
      <c r="F726" s="72">
        <f t="shared" si="2"/>
        <v>13315370.18</v>
      </c>
      <c r="G726" s="79" t="str">
        <f t="shared" si="5"/>
        <v/>
      </c>
      <c r="H726" s="81"/>
      <c r="I726" s="75" t="str">
        <f t="shared" si="6"/>
        <v/>
      </c>
      <c r="J726" s="80">
        <f t="shared" si="7"/>
        <v>13305370.18</v>
      </c>
      <c r="K726" s="77" t="str">
        <f t="shared" si="3"/>
        <v/>
      </c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</row>
    <row r="727" ht="15.75" customHeight="1">
      <c r="A727" s="68" t="s">
        <v>2802</v>
      </c>
      <c r="B727" s="69"/>
      <c r="C727" s="72">
        <f t="shared" si="4"/>
        <v>13315370.18</v>
      </c>
      <c r="D727" s="71">
        <v>0.01</v>
      </c>
      <c r="E727" s="72">
        <f t="shared" si="1"/>
        <v>133153.7018</v>
      </c>
      <c r="F727" s="72">
        <f t="shared" si="2"/>
        <v>13448523.89</v>
      </c>
      <c r="G727" s="79" t="str">
        <f t="shared" si="5"/>
        <v/>
      </c>
      <c r="H727" s="81"/>
      <c r="I727" s="75" t="str">
        <f t="shared" si="6"/>
        <v/>
      </c>
      <c r="J727" s="80">
        <f t="shared" si="7"/>
        <v>13438523.89</v>
      </c>
      <c r="K727" s="77" t="str">
        <f t="shared" si="3"/>
        <v/>
      </c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</row>
    <row r="728" ht="15.75" customHeight="1">
      <c r="A728" s="68" t="s">
        <v>2803</v>
      </c>
      <c r="B728" s="69"/>
      <c r="C728" s="72">
        <f t="shared" si="4"/>
        <v>13448523.89</v>
      </c>
      <c r="D728" s="71">
        <v>0.01</v>
      </c>
      <c r="E728" s="72">
        <f t="shared" si="1"/>
        <v>134485.2389</v>
      </c>
      <c r="F728" s="72">
        <f t="shared" si="2"/>
        <v>13583009.12</v>
      </c>
      <c r="G728" s="79" t="str">
        <f t="shared" si="5"/>
        <v/>
      </c>
      <c r="H728" s="81"/>
      <c r="I728" s="75" t="str">
        <f t="shared" si="6"/>
        <v/>
      </c>
      <c r="J728" s="80">
        <f t="shared" si="7"/>
        <v>13573009.12</v>
      </c>
      <c r="K728" s="77" t="str">
        <f t="shared" si="3"/>
        <v/>
      </c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</row>
    <row r="729" ht="15.75" customHeight="1">
      <c r="A729" s="68" t="s">
        <v>2804</v>
      </c>
      <c r="B729" s="69"/>
      <c r="C729" s="72">
        <f t="shared" si="4"/>
        <v>13583009.12</v>
      </c>
      <c r="D729" s="71">
        <v>0.01</v>
      </c>
      <c r="E729" s="72">
        <f t="shared" si="1"/>
        <v>135830.0912</v>
      </c>
      <c r="F729" s="72">
        <f t="shared" si="2"/>
        <v>13718839.22</v>
      </c>
      <c r="G729" s="79" t="str">
        <f t="shared" si="5"/>
        <v/>
      </c>
      <c r="H729" s="81"/>
      <c r="I729" s="75" t="str">
        <f t="shared" si="6"/>
        <v/>
      </c>
      <c r="J729" s="80">
        <f t="shared" si="7"/>
        <v>13708839.22</v>
      </c>
      <c r="K729" s="77" t="str">
        <f t="shared" si="3"/>
        <v/>
      </c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</row>
    <row r="730" ht="15.75" customHeight="1">
      <c r="A730" s="68" t="s">
        <v>2805</v>
      </c>
      <c r="B730" s="69"/>
      <c r="C730" s="72">
        <f t="shared" si="4"/>
        <v>13718839.22</v>
      </c>
      <c r="D730" s="71">
        <v>0.01</v>
      </c>
      <c r="E730" s="72">
        <f t="shared" si="1"/>
        <v>137188.3922</v>
      </c>
      <c r="F730" s="72">
        <f t="shared" si="2"/>
        <v>13856027.61</v>
      </c>
      <c r="G730" s="79" t="str">
        <f t="shared" si="5"/>
        <v/>
      </c>
      <c r="H730" s="81"/>
      <c r="I730" s="75" t="str">
        <f t="shared" si="6"/>
        <v/>
      </c>
      <c r="J730" s="80">
        <f t="shared" si="7"/>
        <v>13846027.61</v>
      </c>
      <c r="K730" s="77" t="str">
        <f t="shared" si="3"/>
        <v/>
      </c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</row>
    <row r="731" ht="15.75" customHeight="1">
      <c r="A731" s="68" t="s">
        <v>2806</v>
      </c>
      <c r="B731" s="69"/>
      <c r="C731" s="72">
        <f t="shared" si="4"/>
        <v>13856027.61</v>
      </c>
      <c r="D731" s="71">
        <v>0.01</v>
      </c>
      <c r="E731" s="72">
        <f t="shared" si="1"/>
        <v>138560.2761</v>
      </c>
      <c r="F731" s="72">
        <f t="shared" si="2"/>
        <v>13994587.88</v>
      </c>
      <c r="G731" s="79" t="str">
        <f t="shared" si="5"/>
        <v/>
      </c>
      <c r="H731" s="81"/>
      <c r="I731" s="75" t="str">
        <f t="shared" si="6"/>
        <v/>
      </c>
      <c r="J731" s="80">
        <f t="shared" si="7"/>
        <v>13984587.88</v>
      </c>
      <c r="K731" s="77" t="str">
        <f t="shared" si="3"/>
        <v/>
      </c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</row>
    <row r="732" ht="15.75" customHeight="1">
      <c r="A732" s="68" t="s">
        <v>2807</v>
      </c>
      <c r="B732" s="69"/>
      <c r="C732" s="72">
        <f t="shared" si="4"/>
        <v>13994587.88</v>
      </c>
      <c r="D732" s="71">
        <v>0.01</v>
      </c>
      <c r="E732" s="72">
        <f t="shared" si="1"/>
        <v>139945.8788</v>
      </c>
      <c r="F732" s="72">
        <f t="shared" si="2"/>
        <v>14134533.76</v>
      </c>
      <c r="G732" s="79" t="str">
        <f t="shared" si="5"/>
        <v/>
      </c>
      <c r="H732" s="81"/>
      <c r="I732" s="75" t="str">
        <f t="shared" si="6"/>
        <v/>
      </c>
      <c r="J732" s="80">
        <f t="shared" si="7"/>
        <v>14124533.76</v>
      </c>
      <c r="K732" s="77" t="str">
        <f t="shared" si="3"/>
        <v/>
      </c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</row>
    <row r="733" ht="15.75" customHeight="1">
      <c r="A733" s="68" t="s">
        <v>2808</v>
      </c>
      <c r="B733" s="69"/>
      <c r="C733" s="72">
        <f t="shared" si="4"/>
        <v>14134533.76</v>
      </c>
      <c r="D733" s="71">
        <v>0.01</v>
      </c>
      <c r="E733" s="72">
        <f t="shared" si="1"/>
        <v>141345.3376</v>
      </c>
      <c r="F733" s="72">
        <f t="shared" si="2"/>
        <v>14275879.1</v>
      </c>
      <c r="G733" s="79" t="str">
        <f t="shared" si="5"/>
        <v/>
      </c>
      <c r="H733" s="81"/>
      <c r="I733" s="75" t="str">
        <f t="shared" si="6"/>
        <v/>
      </c>
      <c r="J733" s="80">
        <f t="shared" si="7"/>
        <v>14265879.1</v>
      </c>
      <c r="K733" s="77" t="str">
        <f t="shared" si="3"/>
        <v/>
      </c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</row>
    <row r="734" ht="15.75" customHeight="1">
      <c r="A734" s="68" t="s">
        <v>2809</v>
      </c>
      <c r="B734" s="69"/>
      <c r="C734" s="72">
        <f t="shared" si="4"/>
        <v>14275879.1</v>
      </c>
      <c r="D734" s="71">
        <v>0.01</v>
      </c>
      <c r="E734" s="72">
        <f t="shared" si="1"/>
        <v>142758.791</v>
      </c>
      <c r="F734" s="72">
        <f t="shared" si="2"/>
        <v>14418637.89</v>
      </c>
      <c r="G734" s="79" t="str">
        <f t="shared" si="5"/>
        <v/>
      </c>
      <c r="H734" s="81"/>
      <c r="I734" s="75" t="str">
        <f t="shared" si="6"/>
        <v/>
      </c>
      <c r="J734" s="80">
        <f t="shared" si="7"/>
        <v>14408637.89</v>
      </c>
      <c r="K734" s="77" t="str">
        <f t="shared" si="3"/>
        <v/>
      </c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</row>
    <row r="735" ht="15.75" customHeight="1">
      <c r="A735" s="68" t="s">
        <v>2810</v>
      </c>
      <c r="B735" s="69"/>
      <c r="C735" s="72">
        <f t="shared" si="4"/>
        <v>14418637.89</v>
      </c>
      <c r="D735" s="71">
        <v>0.01</v>
      </c>
      <c r="E735" s="72">
        <f t="shared" si="1"/>
        <v>144186.3789</v>
      </c>
      <c r="F735" s="72">
        <f t="shared" si="2"/>
        <v>14562824.27</v>
      </c>
      <c r="G735" s="79" t="str">
        <f t="shared" si="5"/>
        <v/>
      </c>
      <c r="H735" s="81"/>
      <c r="I735" s="75" t="str">
        <f t="shared" si="6"/>
        <v/>
      </c>
      <c r="J735" s="80">
        <f t="shared" si="7"/>
        <v>14552824.27</v>
      </c>
      <c r="K735" s="77" t="str">
        <f t="shared" si="3"/>
        <v/>
      </c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</row>
    <row r="736" ht="15.75" customHeight="1">
      <c r="A736" s="68" t="s">
        <v>2811</v>
      </c>
      <c r="B736" s="69"/>
      <c r="C736" s="72">
        <f t="shared" si="4"/>
        <v>14562824.27</v>
      </c>
      <c r="D736" s="71">
        <v>0.01</v>
      </c>
      <c r="E736" s="72">
        <f t="shared" si="1"/>
        <v>145628.2427</v>
      </c>
      <c r="F736" s="72">
        <f t="shared" si="2"/>
        <v>14708452.51</v>
      </c>
      <c r="G736" s="79" t="str">
        <f t="shared" si="5"/>
        <v/>
      </c>
      <c r="H736" s="81"/>
      <c r="I736" s="75" t="str">
        <f t="shared" si="6"/>
        <v/>
      </c>
      <c r="J736" s="80">
        <f t="shared" si="7"/>
        <v>14698452.51</v>
      </c>
      <c r="K736" s="77" t="str">
        <f t="shared" si="3"/>
        <v/>
      </c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</row>
    <row r="737" ht="15.75" customHeight="1">
      <c r="A737" s="68" t="s">
        <v>2812</v>
      </c>
      <c r="B737" s="69"/>
      <c r="C737" s="72">
        <f t="shared" si="4"/>
        <v>14708452.51</v>
      </c>
      <c r="D737" s="71">
        <v>0.01</v>
      </c>
      <c r="E737" s="72">
        <f t="shared" si="1"/>
        <v>147084.5251</v>
      </c>
      <c r="F737" s="72">
        <f t="shared" si="2"/>
        <v>14855537.04</v>
      </c>
      <c r="G737" s="79" t="str">
        <f t="shared" si="5"/>
        <v/>
      </c>
      <c r="H737" s="81"/>
      <c r="I737" s="75" t="str">
        <f t="shared" si="6"/>
        <v/>
      </c>
      <c r="J737" s="80">
        <f t="shared" si="7"/>
        <v>14845537.04</v>
      </c>
      <c r="K737" s="77" t="str">
        <f t="shared" si="3"/>
        <v/>
      </c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</row>
    <row r="738" ht="15.75" customHeight="1">
      <c r="A738" s="68" t="s">
        <v>2813</v>
      </c>
      <c r="B738" s="69"/>
      <c r="C738" s="72">
        <f t="shared" si="4"/>
        <v>14855537.04</v>
      </c>
      <c r="D738" s="71">
        <v>0.01</v>
      </c>
      <c r="E738" s="72">
        <f t="shared" si="1"/>
        <v>148555.3704</v>
      </c>
      <c r="F738" s="72">
        <f t="shared" si="2"/>
        <v>15004092.41</v>
      </c>
      <c r="G738" s="79" t="str">
        <f t="shared" si="5"/>
        <v/>
      </c>
      <c r="H738" s="81"/>
      <c r="I738" s="75" t="str">
        <f t="shared" si="6"/>
        <v/>
      </c>
      <c r="J738" s="80">
        <f t="shared" si="7"/>
        <v>14994092.41</v>
      </c>
      <c r="K738" s="77" t="str">
        <f t="shared" si="3"/>
        <v/>
      </c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</row>
    <row r="739" ht="15.75" customHeight="1">
      <c r="A739" s="68" t="s">
        <v>2814</v>
      </c>
      <c r="B739" s="69"/>
      <c r="C739" s="72">
        <f t="shared" si="4"/>
        <v>15004092.41</v>
      </c>
      <c r="D739" s="71">
        <v>0.01</v>
      </c>
      <c r="E739" s="72">
        <f t="shared" si="1"/>
        <v>150040.9241</v>
      </c>
      <c r="F739" s="72">
        <f t="shared" si="2"/>
        <v>15154133.33</v>
      </c>
      <c r="G739" s="79" t="str">
        <f t="shared" si="5"/>
        <v/>
      </c>
      <c r="H739" s="81"/>
      <c r="I739" s="75" t="str">
        <f t="shared" si="6"/>
        <v/>
      </c>
      <c r="J739" s="80">
        <f t="shared" si="7"/>
        <v>15144133.33</v>
      </c>
      <c r="K739" s="77" t="str">
        <f t="shared" si="3"/>
        <v/>
      </c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</row>
    <row r="740" ht="15.75" customHeight="1">
      <c r="A740" s="68" t="s">
        <v>2815</v>
      </c>
      <c r="B740" s="69"/>
      <c r="C740" s="72">
        <f t="shared" si="4"/>
        <v>15154133.33</v>
      </c>
      <c r="D740" s="71">
        <v>0.01</v>
      </c>
      <c r="E740" s="72">
        <f t="shared" si="1"/>
        <v>151541.3333</v>
      </c>
      <c r="F740" s="72">
        <f t="shared" si="2"/>
        <v>15305674.67</v>
      </c>
      <c r="G740" s="79" t="str">
        <f t="shared" si="5"/>
        <v/>
      </c>
      <c r="H740" s="81"/>
      <c r="I740" s="75" t="str">
        <f t="shared" si="6"/>
        <v/>
      </c>
      <c r="J740" s="80">
        <f t="shared" si="7"/>
        <v>15295674.67</v>
      </c>
      <c r="K740" s="77" t="str">
        <f t="shared" si="3"/>
        <v/>
      </c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</row>
    <row r="741" ht="15.75" customHeight="1">
      <c r="A741" s="68" t="s">
        <v>2816</v>
      </c>
      <c r="B741" s="69"/>
      <c r="C741" s="72">
        <f t="shared" si="4"/>
        <v>15305674.67</v>
      </c>
      <c r="D741" s="71">
        <v>0.01</v>
      </c>
      <c r="E741" s="72">
        <f t="shared" si="1"/>
        <v>153056.7467</v>
      </c>
      <c r="F741" s="72">
        <f t="shared" si="2"/>
        <v>15458731.41</v>
      </c>
      <c r="G741" s="79" t="str">
        <f t="shared" si="5"/>
        <v/>
      </c>
      <c r="H741" s="81"/>
      <c r="I741" s="75" t="str">
        <f t="shared" si="6"/>
        <v/>
      </c>
      <c r="J741" s="80">
        <f t="shared" si="7"/>
        <v>15448731.41</v>
      </c>
      <c r="K741" s="77" t="str">
        <f t="shared" si="3"/>
        <v/>
      </c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</row>
    <row r="742" ht="15.75" customHeight="1">
      <c r="A742" s="68" t="s">
        <v>2817</v>
      </c>
      <c r="B742" s="69"/>
      <c r="C742" s="72">
        <f t="shared" si="4"/>
        <v>15458731.41</v>
      </c>
      <c r="D742" s="71">
        <v>0.01</v>
      </c>
      <c r="E742" s="72">
        <f t="shared" si="1"/>
        <v>154587.3141</v>
      </c>
      <c r="F742" s="72">
        <f t="shared" si="2"/>
        <v>15613318.73</v>
      </c>
      <c r="G742" s="79" t="str">
        <f t="shared" si="5"/>
        <v/>
      </c>
      <c r="H742" s="81"/>
      <c r="I742" s="75" t="str">
        <f t="shared" si="6"/>
        <v/>
      </c>
      <c r="J742" s="80">
        <f t="shared" si="7"/>
        <v>15603318.73</v>
      </c>
      <c r="K742" s="77" t="str">
        <f t="shared" si="3"/>
        <v/>
      </c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</row>
    <row r="743" ht="15.75" customHeight="1">
      <c r="A743" s="68" t="s">
        <v>2818</v>
      </c>
      <c r="B743" s="69"/>
      <c r="C743" s="72">
        <f t="shared" si="4"/>
        <v>15613318.73</v>
      </c>
      <c r="D743" s="71">
        <v>0.01</v>
      </c>
      <c r="E743" s="72">
        <f t="shared" si="1"/>
        <v>156133.1873</v>
      </c>
      <c r="F743" s="72">
        <f t="shared" si="2"/>
        <v>15769451.91</v>
      </c>
      <c r="G743" s="79" t="str">
        <f t="shared" si="5"/>
        <v/>
      </c>
      <c r="H743" s="81"/>
      <c r="I743" s="75" t="str">
        <f t="shared" si="6"/>
        <v/>
      </c>
      <c r="J743" s="80">
        <f t="shared" si="7"/>
        <v>15759451.91</v>
      </c>
      <c r="K743" s="77" t="str">
        <f t="shared" si="3"/>
        <v/>
      </c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</row>
    <row r="744" ht="15.75" customHeight="1">
      <c r="A744" s="68" t="s">
        <v>2819</v>
      </c>
      <c r="B744" s="69"/>
      <c r="C744" s="72">
        <f t="shared" si="4"/>
        <v>15769451.91</v>
      </c>
      <c r="D744" s="71">
        <v>0.01</v>
      </c>
      <c r="E744" s="72">
        <f t="shared" si="1"/>
        <v>157694.5191</v>
      </c>
      <c r="F744" s="72">
        <f t="shared" si="2"/>
        <v>15927146.43</v>
      </c>
      <c r="G744" s="79" t="str">
        <f t="shared" si="5"/>
        <v/>
      </c>
      <c r="H744" s="81"/>
      <c r="I744" s="75" t="str">
        <f t="shared" si="6"/>
        <v/>
      </c>
      <c r="J744" s="80">
        <f t="shared" si="7"/>
        <v>15917146.43</v>
      </c>
      <c r="K744" s="77" t="str">
        <f t="shared" si="3"/>
        <v/>
      </c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</row>
    <row r="745" ht="15.75" customHeight="1">
      <c r="A745" s="68" t="s">
        <v>2820</v>
      </c>
      <c r="B745" s="69"/>
      <c r="C745" s="72">
        <f t="shared" si="4"/>
        <v>15927146.43</v>
      </c>
      <c r="D745" s="71">
        <v>0.01</v>
      </c>
      <c r="E745" s="72">
        <f t="shared" si="1"/>
        <v>159271.4643</v>
      </c>
      <c r="F745" s="72">
        <f t="shared" si="2"/>
        <v>16086417.9</v>
      </c>
      <c r="G745" s="79" t="str">
        <f t="shared" si="5"/>
        <v/>
      </c>
      <c r="H745" s="81"/>
      <c r="I745" s="75" t="str">
        <f t="shared" si="6"/>
        <v/>
      </c>
      <c r="J745" s="80">
        <f t="shared" si="7"/>
        <v>16076417.9</v>
      </c>
      <c r="K745" s="77" t="str">
        <f t="shared" si="3"/>
        <v/>
      </c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</row>
    <row r="746" ht="15.75" customHeight="1">
      <c r="A746" s="68" t="s">
        <v>2821</v>
      </c>
      <c r="B746" s="69"/>
      <c r="C746" s="72">
        <f t="shared" si="4"/>
        <v>16086417.9</v>
      </c>
      <c r="D746" s="71">
        <v>0.01</v>
      </c>
      <c r="E746" s="72">
        <f t="shared" si="1"/>
        <v>160864.179</v>
      </c>
      <c r="F746" s="72">
        <f t="shared" si="2"/>
        <v>16247282.08</v>
      </c>
      <c r="G746" s="79" t="str">
        <f t="shared" si="5"/>
        <v/>
      </c>
      <c r="H746" s="81"/>
      <c r="I746" s="75" t="str">
        <f t="shared" si="6"/>
        <v/>
      </c>
      <c r="J746" s="80">
        <f t="shared" si="7"/>
        <v>16237282.08</v>
      </c>
      <c r="K746" s="77" t="str">
        <f t="shared" si="3"/>
        <v/>
      </c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</row>
    <row r="747" ht="15.75" customHeight="1">
      <c r="A747" s="68" t="s">
        <v>2822</v>
      </c>
      <c r="B747" s="69"/>
      <c r="C747" s="72">
        <f t="shared" si="4"/>
        <v>16247282.08</v>
      </c>
      <c r="D747" s="71">
        <v>0.01</v>
      </c>
      <c r="E747" s="72">
        <f t="shared" si="1"/>
        <v>162472.8208</v>
      </c>
      <c r="F747" s="72">
        <f t="shared" si="2"/>
        <v>16409754.9</v>
      </c>
      <c r="G747" s="79" t="str">
        <f t="shared" si="5"/>
        <v/>
      </c>
      <c r="H747" s="81"/>
      <c r="I747" s="75" t="str">
        <f t="shared" si="6"/>
        <v/>
      </c>
      <c r="J747" s="80">
        <f t="shared" si="7"/>
        <v>16399754.9</v>
      </c>
      <c r="K747" s="77" t="str">
        <f t="shared" si="3"/>
        <v/>
      </c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</row>
    <row r="748" ht="15.75" customHeight="1">
      <c r="A748" s="68" t="s">
        <v>2823</v>
      </c>
      <c r="B748" s="69"/>
      <c r="C748" s="72">
        <f t="shared" si="4"/>
        <v>16409754.9</v>
      </c>
      <c r="D748" s="71">
        <v>0.01</v>
      </c>
      <c r="E748" s="72">
        <f t="shared" si="1"/>
        <v>164097.549</v>
      </c>
      <c r="F748" s="72">
        <f t="shared" si="2"/>
        <v>16573852.45</v>
      </c>
      <c r="G748" s="79" t="str">
        <f t="shared" si="5"/>
        <v/>
      </c>
      <c r="H748" s="81"/>
      <c r="I748" s="75" t="str">
        <f t="shared" si="6"/>
        <v/>
      </c>
      <c r="J748" s="80">
        <f t="shared" si="7"/>
        <v>16563852.45</v>
      </c>
      <c r="K748" s="77" t="str">
        <f t="shared" si="3"/>
        <v/>
      </c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</row>
    <row r="749" ht="15.75" customHeight="1">
      <c r="A749" s="68" t="s">
        <v>2824</v>
      </c>
      <c r="B749" s="69"/>
      <c r="C749" s="72">
        <f t="shared" si="4"/>
        <v>16573852.45</v>
      </c>
      <c r="D749" s="71">
        <v>0.01</v>
      </c>
      <c r="E749" s="72">
        <f t="shared" si="1"/>
        <v>165738.5245</v>
      </c>
      <c r="F749" s="72">
        <f t="shared" si="2"/>
        <v>16739590.97</v>
      </c>
      <c r="G749" s="79" t="str">
        <f t="shared" si="5"/>
        <v/>
      </c>
      <c r="H749" s="81"/>
      <c r="I749" s="75" t="str">
        <f t="shared" si="6"/>
        <v/>
      </c>
      <c r="J749" s="80">
        <f t="shared" si="7"/>
        <v>16729590.97</v>
      </c>
      <c r="K749" s="77" t="str">
        <f t="shared" si="3"/>
        <v/>
      </c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</row>
    <row r="750" ht="15.75" customHeight="1">
      <c r="A750" s="68" t="s">
        <v>2825</v>
      </c>
      <c r="B750" s="69"/>
      <c r="C750" s="72">
        <f t="shared" si="4"/>
        <v>16739590.97</v>
      </c>
      <c r="D750" s="71">
        <v>0.01</v>
      </c>
      <c r="E750" s="72">
        <f t="shared" si="1"/>
        <v>167395.9097</v>
      </c>
      <c r="F750" s="72">
        <f t="shared" si="2"/>
        <v>16906986.88</v>
      </c>
      <c r="G750" s="79" t="str">
        <f t="shared" si="5"/>
        <v/>
      </c>
      <c r="H750" s="81"/>
      <c r="I750" s="75" t="str">
        <f t="shared" si="6"/>
        <v/>
      </c>
      <c r="J750" s="80">
        <f t="shared" si="7"/>
        <v>16896986.88</v>
      </c>
      <c r="K750" s="77" t="str">
        <f t="shared" si="3"/>
        <v/>
      </c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</row>
    <row r="751" ht="15.75" customHeight="1">
      <c r="A751" s="68" t="s">
        <v>2826</v>
      </c>
      <c r="B751" s="69"/>
      <c r="C751" s="72">
        <f t="shared" si="4"/>
        <v>16906986.88</v>
      </c>
      <c r="D751" s="71">
        <v>0.01</v>
      </c>
      <c r="E751" s="72">
        <f t="shared" si="1"/>
        <v>169069.8688</v>
      </c>
      <c r="F751" s="72">
        <f t="shared" si="2"/>
        <v>17076056.75</v>
      </c>
      <c r="G751" s="79" t="str">
        <f t="shared" si="5"/>
        <v/>
      </c>
      <c r="H751" s="81"/>
      <c r="I751" s="75" t="str">
        <f t="shared" si="6"/>
        <v/>
      </c>
      <c r="J751" s="80">
        <f t="shared" si="7"/>
        <v>17066056.75</v>
      </c>
      <c r="K751" s="77" t="str">
        <f t="shared" si="3"/>
        <v/>
      </c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</row>
    <row r="752" ht="15.75" customHeight="1">
      <c r="A752" s="68" t="s">
        <v>2827</v>
      </c>
      <c r="B752" s="69"/>
      <c r="C752" s="72">
        <f t="shared" si="4"/>
        <v>17076056.75</v>
      </c>
      <c r="D752" s="71">
        <v>0.01</v>
      </c>
      <c r="E752" s="72">
        <f t="shared" si="1"/>
        <v>170760.5675</v>
      </c>
      <c r="F752" s="72">
        <f t="shared" si="2"/>
        <v>17246817.32</v>
      </c>
      <c r="G752" s="79" t="str">
        <f t="shared" si="5"/>
        <v/>
      </c>
      <c r="H752" s="81"/>
      <c r="I752" s="75" t="str">
        <f t="shared" si="6"/>
        <v/>
      </c>
      <c r="J752" s="80">
        <f t="shared" si="7"/>
        <v>17236817.32</v>
      </c>
      <c r="K752" s="77" t="str">
        <f t="shared" si="3"/>
        <v/>
      </c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</row>
    <row r="753" ht="15.75" customHeight="1">
      <c r="A753" s="68" t="s">
        <v>2828</v>
      </c>
      <c r="B753" s="69"/>
      <c r="C753" s="72">
        <f t="shared" si="4"/>
        <v>17246817.32</v>
      </c>
      <c r="D753" s="71">
        <v>0.01</v>
      </c>
      <c r="E753" s="72">
        <f t="shared" si="1"/>
        <v>172468.1732</v>
      </c>
      <c r="F753" s="72">
        <f t="shared" si="2"/>
        <v>17419285.49</v>
      </c>
      <c r="G753" s="79" t="str">
        <f t="shared" si="5"/>
        <v/>
      </c>
      <c r="H753" s="81"/>
      <c r="I753" s="75" t="str">
        <f t="shared" si="6"/>
        <v/>
      </c>
      <c r="J753" s="80">
        <f t="shared" si="7"/>
        <v>17409285.49</v>
      </c>
      <c r="K753" s="77" t="str">
        <f t="shared" si="3"/>
        <v/>
      </c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</row>
    <row r="754" ht="15.75" customHeight="1">
      <c r="A754" s="68" t="s">
        <v>2829</v>
      </c>
      <c r="B754" s="69"/>
      <c r="C754" s="72">
        <f t="shared" si="4"/>
        <v>17419285.49</v>
      </c>
      <c r="D754" s="71">
        <v>0.01</v>
      </c>
      <c r="E754" s="72">
        <f t="shared" si="1"/>
        <v>174192.8549</v>
      </c>
      <c r="F754" s="72">
        <f t="shared" si="2"/>
        <v>17593478.34</v>
      </c>
      <c r="G754" s="79" t="str">
        <f t="shared" si="5"/>
        <v/>
      </c>
      <c r="H754" s="81"/>
      <c r="I754" s="75" t="str">
        <f t="shared" si="6"/>
        <v/>
      </c>
      <c r="J754" s="80">
        <f t="shared" si="7"/>
        <v>17583478.34</v>
      </c>
      <c r="K754" s="77" t="str">
        <f t="shared" si="3"/>
        <v/>
      </c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</row>
    <row r="755" ht="15.75" customHeight="1">
      <c r="A755" s="68" t="s">
        <v>2830</v>
      </c>
      <c r="B755" s="69"/>
      <c r="C755" s="72">
        <f t="shared" si="4"/>
        <v>17593478.34</v>
      </c>
      <c r="D755" s="71">
        <v>0.01</v>
      </c>
      <c r="E755" s="72">
        <f t="shared" si="1"/>
        <v>175934.7834</v>
      </c>
      <c r="F755" s="72">
        <f t="shared" si="2"/>
        <v>17769413.13</v>
      </c>
      <c r="G755" s="79" t="str">
        <f t="shared" si="5"/>
        <v/>
      </c>
      <c r="H755" s="81"/>
      <c r="I755" s="75" t="str">
        <f t="shared" si="6"/>
        <v/>
      </c>
      <c r="J755" s="80">
        <f t="shared" si="7"/>
        <v>17759413.13</v>
      </c>
      <c r="K755" s="77" t="str">
        <f t="shared" si="3"/>
        <v/>
      </c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</row>
    <row r="756" ht="15.75" customHeight="1">
      <c r="A756" s="68" t="s">
        <v>2831</v>
      </c>
      <c r="B756" s="69"/>
      <c r="C756" s="72">
        <f t="shared" si="4"/>
        <v>17769413.13</v>
      </c>
      <c r="D756" s="71">
        <v>0.01</v>
      </c>
      <c r="E756" s="72">
        <f t="shared" si="1"/>
        <v>177694.1313</v>
      </c>
      <c r="F756" s="72">
        <f t="shared" si="2"/>
        <v>17947107.26</v>
      </c>
      <c r="G756" s="79" t="str">
        <f t="shared" si="5"/>
        <v/>
      </c>
      <c r="H756" s="81"/>
      <c r="I756" s="75" t="str">
        <f t="shared" si="6"/>
        <v/>
      </c>
      <c r="J756" s="80">
        <f t="shared" si="7"/>
        <v>17937107.26</v>
      </c>
      <c r="K756" s="77" t="str">
        <f t="shared" si="3"/>
        <v/>
      </c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</row>
    <row r="757" ht="15.75" customHeight="1">
      <c r="A757" s="68" t="s">
        <v>2832</v>
      </c>
      <c r="B757" s="69"/>
      <c r="C757" s="72">
        <f t="shared" si="4"/>
        <v>17947107.26</v>
      </c>
      <c r="D757" s="71">
        <v>0.01</v>
      </c>
      <c r="E757" s="72">
        <f t="shared" si="1"/>
        <v>179471.0726</v>
      </c>
      <c r="F757" s="72">
        <f t="shared" si="2"/>
        <v>18126578.33</v>
      </c>
      <c r="G757" s="79" t="str">
        <f t="shared" si="5"/>
        <v/>
      </c>
      <c r="H757" s="81"/>
      <c r="I757" s="75" t="str">
        <f t="shared" si="6"/>
        <v/>
      </c>
      <c r="J757" s="80">
        <f t="shared" si="7"/>
        <v>18116578.33</v>
      </c>
      <c r="K757" s="77" t="str">
        <f t="shared" si="3"/>
        <v/>
      </c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</row>
    <row r="758" ht="15.75" customHeight="1">
      <c r="A758" s="68" t="s">
        <v>2833</v>
      </c>
      <c r="B758" s="69"/>
      <c r="C758" s="72">
        <f t="shared" si="4"/>
        <v>18126578.33</v>
      </c>
      <c r="D758" s="71">
        <v>0.01</v>
      </c>
      <c r="E758" s="72">
        <f t="shared" si="1"/>
        <v>181265.7833</v>
      </c>
      <c r="F758" s="72">
        <f t="shared" si="2"/>
        <v>18307844.11</v>
      </c>
      <c r="G758" s="79" t="str">
        <f t="shared" si="5"/>
        <v/>
      </c>
      <c r="H758" s="81"/>
      <c r="I758" s="75" t="str">
        <f t="shared" si="6"/>
        <v/>
      </c>
      <c r="J758" s="80">
        <f t="shared" si="7"/>
        <v>18297844.11</v>
      </c>
      <c r="K758" s="77" t="str">
        <f t="shared" si="3"/>
        <v/>
      </c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</row>
    <row r="759" ht="15.75" customHeight="1">
      <c r="A759" s="68" t="s">
        <v>2834</v>
      </c>
      <c r="B759" s="69"/>
      <c r="C759" s="72">
        <f t="shared" si="4"/>
        <v>18307844.11</v>
      </c>
      <c r="D759" s="71">
        <v>0.01</v>
      </c>
      <c r="E759" s="72">
        <f t="shared" si="1"/>
        <v>183078.4411</v>
      </c>
      <c r="F759" s="72">
        <f t="shared" si="2"/>
        <v>18490922.56</v>
      </c>
      <c r="G759" s="79" t="str">
        <f t="shared" si="5"/>
        <v/>
      </c>
      <c r="H759" s="81"/>
      <c r="I759" s="75" t="str">
        <f t="shared" si="6"/>
        <v/>
      </c>
      <c r="J759" s="80">
        <f t="shared" si="7"/>
        <v>18480922.56</v>
      </c>
      <c r="K759" s="77" t="str">
        <f t="shared" si="3"/>
        <v/>
      </c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</row>
    <row r="760" ht="15.75" customHeight="1">
      <c r="A760" s="68" t="s">
        <v>2835</v>
      </c>
      <c r="B760" s="69"/>
      <c r="C760" s="72">
        <f t="shared" si="4"/>
        <v>18490922.56</v>
      </c>
      <c r="D760" s="71">
        <v>0.01</v>
      </c>
      <c r="E760" s="72">
        <f t="shared" si="1"/>
        <v>184909.2256</v>
      </c>
      <c r="F760" s="72">
        <f t="shared" si="2"/>
        <v>18675831.78</v>
      </c>
      <c r="G760" s="79" t="str">
        <f t="shared" si="5"/>
        <v/>
      </c>
      <c r="H760" s="81"/>
      <c r="I760" s="75" t="str">
        <f t="shared" si="6"/>
        <v/>
      </c>
      <c r="J760" s="80">
        <f t="shared" si="7"/>
        <v>18665831.78</v>
      </c>
      <c r="K760" s="77" t="str">
        <f t="shared" si="3"/>
        <v/>
      </c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</row>
    <row r="761" ht="15.75" customHeight="1">
      <c r="A761" s="68" t="s">
        <v>2836</v>
      </c>
      <c r="B761" s="69"/>
      <c r="C761" s="72">
        <f t="shared" si="4"/>
        <v>18675831.78</v>
      </c>
      <c r="D761" s="71">
        <v>0.01</v>
      </c>
      <c r="E761" s="72">
        <f t="shared" si="1"/>
        <v>186758.3178</v>
      </c>
      <c r="F761" s="72">
        <f t="shared" si="2"/>
        <v>18862590.1</v>
      </c>
      <c r="G761" s="79" t="str">
        <f t="shared" si="5"/>
        <v/>
      </c>
      <c r="H761" s="81"/>
      <c r="I761" s="75" t="str">
        <f t="shared" si="6"/>
        <v/>
      </c>
      <c r="J761" s="80">
        <f t="shared" si="7"/>
        <v>18852590.1</v>
      </c>
      <c r="K761" s="77" t="str">
        <f t="shared" si="3"/>
        <v/>
      </c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</row>
    <row r="762" ht="15.75" customHeight="1">
      <c r="A762" s="68" t="s">
        <v>2837</v>
      </c>
      <c r="B762" s="69"/>
      <c r="C762" s="72">
        <f t="shared" si="4"/>
        <v>18862590.1</v>
      </c>
      <c r="D762" s="71">
        <v>0.01</v>
      </c>
      <c r="E762" s="72">
        <f t="shared" si="1"/>
        <v>188625.901</v>
      </c>
      <c r="F762" s="72">
        <f t="shared" si="2"/>
        <v>19051216</v>
      </c>
      <c r="G762" s="79" t="str">
        <f t="shared" si="5"/>
        <v/>
      </c>
      <c r="H762" s="81"/>
      <c r="I762" s="75" t="str">
        <f t="shared" si="6"/>
        <v/>
      </c>
      <c r="J762" s="80">
        <f t="shared" si="7"/>
        <v>19041216</v>
      </c>
      <c r="K762" s="77" t="str">
        <f t="shared" si="3"/>
        <v/>
      </c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</row>
    <row r="763" ht="15.75" customHeight="1">
      <c r="A763" s="68" t="s">
        <v>2838</v>
      </c>
      <c r="B763" s="69"/>
      <c r="C763" s="72">
        <f t="shared" si="4"/>
        <v>19051216</v>
      </c>
      <c r="D763" s="71">
        <v>0.01</v>
      </c>
      <c r="E763" s="72">
        <f t="shared" si="1"/>
        <v>190512.16</v>
      </c>
      <c r="F763" s="72">
        <f t="shared" si="2"/>
        <v>19241728.16</v>
      </c>
      <c r="G763" s="79" t="str">
        <f t="shared" si="5"/>
        <v/>
      </c>
      <c r="H763" s="81"/>
      <c r="I763" s="75" t="str">
        <f t="shared" si="6"/>
        <v/>
      </c>
      <c r="J763" s="80">
        <f t="shared" si="7"/>
        <v>19231728.16</v>
      </c>
      <c r="K763" s="77" t="str">
        <f t="shared" si="3"/>
        <v/>
      </c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</row>
    <row r="764" ht="15.75" customHeight="1">
      <c r="A764" s="68" t="s">
        <v>2839</v>
      </c>
      <c r="B764" s="69"/>
      <c r="C764" s="72">
        <f t="shared" si="4"/>
        <v>19241728.16</v>
      </c>
      <c r="D764" s="71">
        <v>0.01</v>
      </c>
      <c r="E764" s="72">
        <f t="shared" si="1"/>
        <v>192417.2816</v>
      </c>
      <c r="F764" s="72">
        <f t="shared" si="2"/>
        <v>19434145.44</v>
      </c>
      <c r="G764" s="79" t="str">
        <f t="shared" si="5"/>
        <v/>
      </c>
      <c r="H764" s="81"/>
      <c r="I764" s="75" t="str">
        <f t="shared" si="6"/>
        <v/>
      </c>
      <c r="J764" s="80">
        <f t="shared" si="7"/>
        <v>19424145.44</v>
      </c>
      <c r="K764" s="77" t="str">
        <f t="shared" si="3"/>
        <v/>
      </c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</row>
    <row r="765" ht="15.75" customHeight="1">
      <c r="A765" s="68" t="s">
        <v>2840</v>
      </c>
      <c r="B765" s="69"/>
      <c r="C765" s="72">
        <f t="shared" si="4"/>
        <v>19434145.44</v>
      </c>
      <c r="D765" s="71">
        <v>0.01</v>
      </c>
      <c r="E765" s="72">
        <f t="shared" si="1"/>
        <v>194341.4544</v>
      </c>
      <c r="F765" s="72">
        <f t="shared" si="2"/>
        <v>19628486.9</v>
      </c>
      <c r="G765" s="79" t="str">
        <f t="shared" si="5"/>
        <v/>
      </c>
      <c r="H765" s="81"/>
      <c r="I765" s="75" t="str">
        <f t="shared" si="6"/>
        <v/>
      </c>
      <c r="J765" s="80">
        <f t="shared" si="7"/>
        <v>19618486.9</v>
      </c>
      <c r="K765" s="77" t="str">
        <f t="shared" si="3"/>
        <v/>
      </c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</row>
    <row r="766" ht="15.75" customHeight="1">
      <c r="A766" s="68" t="s">
        <v>2841</v>
      </c>
      <c r="B766" s="69"/>
      <c r="C766" s="72">
        <f t="shared" si="4"/>
        <v>19628486.9</v>
      </c>
      <c r="D766" s="71">
        <v>0.01</v>
      </c>
      <c r="E766" s="72">
        <f t="shared" si="1"/>
        <v>196284.869</v>
      </c>
      <c r="F766" s="72">
        <f t="shared" si="2"/>
        <v>19824771.77</v>
      </c>
      <c r="G766" s="79" t="str">
        <f t="shared" si="5"/>
        <v/>
      </c>
      <c r="H766" s="81"/>
      <c r="I766" s="75" t="str">
        <f t="shared" si="6"/>
        <v/>
      </c>
      <c r="J766" s="80">
        <f t="shared" si="7"/>
        <v>19814771.77</v>
      </c>
      <c r="K766" s="77" t="str">
        <f t="shared" si="3"/>
        <v/>
      </c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</row>
    <row r="767" ht="15.75" customHeight="1">
      <c r="A767" s="68" t="s">
        <v>2842</v>
      </c>
      <c r="B767" s="69"/>
      <c r="C767" s="72">
        <f t="shared" si="4"/>
        <v>19824771.77</v>
      </c>
      <c r="D767" s="71">
        <v>0.01</v>
      </c>
      <c r="E767" s="72">
        <f t="shared" si="1"/>
        <v>198247.7177</v>
      </c>
      <c r="F767" s="72">
        <f t="shared" si="2"/>
        <v>20023019.48</v>
      </c>
      <c r="G767" s="79" t="str">
        <f t="shared" si="5"/>
        <v/>
      </c>
      <c r="H767" s="81"/>
      <c r="I767" s="75" t="str">
        <f t="shared" si="6"/>
        <v/>
      </c>
      <c r="J767" s="80">
        <f t="shared" si="7"/>
        <v>20013019.48</v>
      </c>
      <c r="K767" s="77" t="str">
        <f t="shared" si="3"/>
        <v/>
      </c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</row>
    <row r="768" ht="15.75" customHeight="1">
      <c r="A768" s="68" t="s">
        <v>2843</v>
      </c>
      <c r="B768" s="69"/>
      <c r="C768" s="72">
        <f t="shared" si="4"/>
        <v>20023019.48</v>
      </c>
      <c r="D768" s="71">
        <v>0.01</v>
      </c>
      <c r="E768" s="72">
        <f t="shared" si="1"/>
        <v>200230.1948</v>
      </c>
      <c r="F768" s="72">
        <f t="shared" si="2"/>
        <v>20223249.68</v>
      </c>
      <c r="G768" s="79" t="str">
        <f t="shared" si="5"/>
        <v/>
      </c>
      <c r="H768" s="81"/>
      <c r="I768" s="75" t="str">
        <f t="shared" si="6"/>
        <v/>
      </c>
      <c r="J768" s="80">
        <f t="shared" si="7"/>
        <v>20213249.68</v>
      </c>
      <c r="K768" s="77" t="str">
        <f t="shared" si="3"/>
        <v/>
      </c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</row>
    <row r="769" ht="15.75" customHeight="1">
      <c r="A769" s="68" t="s">
        <v>2844</v>
      </c>
      <c r="B769" s="69"/>
      <c r="C769" s="72">
        <f t="shared" si="4"/>
        <v>20223249.68</v>
      </c>
      <c r="D769" s="71">
        <v>0.01</v>
      </c>
      <c r="E769" s="72">
        <f t="shared" si="1"/>
        <v>202232.4968</v>
      </c>
      <c r="F769" s="72">
        <f t="shared" si="2"/>
        <v>20425482.17</v>
      </c>
      <c r="G769" s="79" t="str">
        <f t="shared" si="5"/>
        <v/>
      </c>
      <c r="H769" s="81"/>
      <c r="I769" s="75" t="str">
        <f t="shared" si="6"/>
        <v/>
      </c>
      <c r="J769" s="80">
        <f t="shared" si="7"/>
        <v>20415482.17</v>
      </c>
      <c r="K769" s="77" t="str">
        <f t="shared" si="3"/>
        <v/>
      </c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</row>
    <row r="770" ht="15.75" customHeight="1">
      <c r="A770" s="68" t="s">
        <v>2845</v>
      </c>
      <c r="B770" s="69"/>
      <c r="C770" s="72">
        <f t="shared" si="4"/>
        <v>20425482.17</v>
      </c>
      <c r="D770" s="71">
        <v>0.01</v>
      </c>
      <c r="E770" s="72">
        <f t="shared" si="1"/>
        <v>204254.8217</v>
      </c>
      <c r="F770" s="72">
        <f t="shared" si="2"/>
        <v>20629737</v>
      </c>
      <c r="G770" s="79" t="str">
        <f t="shared" si="5"/>
        <v/>
      </c>
      <c r="H770" s="81"/>
      <c r="I770" s="75" t="str">
        <f t="shared" si="6"/>
        <v/>
      </c>
      <c r="J770" s="80">
        <f t="shared" si="7"/>
        <v>20619737</v>
      </c>
      <c r="K770" s="77" t="str">
        <f t="shared" si="3"/>
        <v/>
      </c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</row>
    <row r="771" ht="15.75" customHeight="1">
      <c r="A771" s="68" t="s">
        <v>2846</v>
      </c>
      <c r="B771" s="69"/>
      <c r="C771" s="72">
        <f t="shared" si="4"/>
        <v>20629737</v>
      </c>
      <c r="D771" s="71">
        <v>0.01</v>
      </c>
      <c r="E771" s="72">
        <f t="shared" si="1"/>
        <v>206297.37</v>
      </c>
      <c r="F771" s="72">
        <f t="shared" si="2"/>
        <v>20836034.37</v>
      </c>
      <c r="G771" s="79" t="str">
        <f t="shared" si="5"/>
        <v/>
      </c>
      <c r="H771" s="81"/>
      <c r="I771" s="75" t="str">
        <f t="shared" si="6"/>
        <v/>
      </c>
      <c r="J771" s="80">
        <f t="shared" si="7"/>
        <v>20826034.37</v>
      </c>
      <c r="K771" s="77" t="str">
        <f t="shared" si="3"/>
        <v/>
      </c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</row>
    <row r="772" ht="15.75" customHeight="1">
      <c r="A772" s="68" t="s">
        <v>2847</v>
      </c>
      <c r="B772" s="69"/>
      <c r="C772" s="72">
        <f t="shared" si="4"/>
        <v>20836034.37</v>
      </c>
      <c r="D772" s="71">
        <v>0.01</v>
      </c>
      <c r="E772" s="72">
        <f t="shared" si="1"/>
        <v>208360.3437</v>
      </c>
      <c r="F772" s="72">
        <f t="shared" si="2"/>
        <v>21044394.71</v>
      </c>
      <c r="G772" s="79" t="str">
        <f t="shared" si="5"/>
        <v/>
      </c>
      <c r="H772" s="81"/>
      <c r="I772" s="75" t="str">
        <f t="shared" si="6"/>
        <v/>
      </c>
      <c r="J772" s="80">
        <f t="shared" si="7"/>
        <v>21034394.71</v>
      </c>
      <c r="K772" s="77" t="str">
        <f t="shared" si="3"/>
        <v/>
      </c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</row>
    <row r="773" ht="15.75" customHeight="1">
      <c r="A773" s="68" t="s">
        <v>2848</v>
      </c>
      <c r="B773" s="69"/>
      <c r="C773" s="72">
        <f t="shared" si="4"/>
        <v>21044394.71</v>
      </c>
      <c r="D773" s="71">
        <v>0.01</v>
      </c>
      <c r="E773" s="72">
        <f t="shared" si="1"/>
        <v>210443.9471</v>
      </c>
      <c r="F773" s="72">
        <f t="shared" si="2"/>
        <v>21254838.66</v>
      </c>
      <c r="G773" s="79" t="str">
        <f t="shared" si="5"/>
        <v/>
      </c>
      <c r="H773" s="81"/>
      <c r="I773" s="75" t="str">
        <f t="shared" si="6"/>
        <v/>
      </c>
      <c r="J773" s="80">
        <f t="shared" si="7"/>
        <v>21244838.66</v>
      </c>
      <c r="K773" s="77" t="str">
        <f t="shared" si="3"/>
        <v/>
      </c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</row>
    <row r="774" ht="15.75" customHeight="1">
      <c r="A774" s="68" t="s">
        <v>2849</v>
      </c>
      <c r="B774" s="69"/>
      <c r="C774" s="72">
        <f t="shared" si="4"/>
        <v>21254838.66</v>
      </c>
      <c r="D774" s="71">
        <v>0.01</v>
      </c>
      <c r="E774" s="72">
        <f t="shared" si="1"/>
        <v>212548.3866</v>
      </c>
      <c r="F774" s="72">
        <f t="shared" si="2"/>
        <v>21467387.04</v>
      </c>
      <c r="G774" s="79" t="str">
        <f t="shared" si="5"/>
        <v/>
      </c>
      <c r="H774" s="81"/>
      <c r="I774" s="75" t="str">
        <f t="shared" si="6"/>
        <v/>
      </c>
      <c r="J774" s="80">
        <f t="shared" si="7"/>
        <v>21457387.04</v>
      </c>
      <c r="K774" s="77" t="str">
        <f t="shared" si="3"/>
        <v/>
      </c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</row>
    <row r="775" ht="15.75" customHeight="1">
      <c r="A775" s="68" t="s">
        <v>2850</v>
      </c>
      <c r="B775" s="69"/>
      <c r="C775" s="72">
        <f t="shared" si="4"/>
        <v>21467387.04</v>
      </c>
      <c r="D775" s="71">
        <v>0.01</v>
      </c>
      <c r="E775" s="72">
        <f t="shared" si="1"/>
        <v>214673.8704</v>
      </c>
      <c r="F775" s="72">
        <f t="shared" si="2"/>
        <v>21682060.91</v>
      </c>
      <c r="G775" s="79" t="str">
        <f t="shared" si="5"/>
        <v/>
      </c>
      <c r="H775" s="81"/>
      <c r="I775" s="75" t="str">
        <f t="shared" si="6"/>
        <v/>
      </c>
      <c r="J775" s="80">
        <f t="shared" si="7"/>
        <v>21672060.91</v>
      </c>
      <c r="K775" s="77" t="str">
        <f t="shared" si="3"/>
        <v/>
      </c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</row>
    <row r="776" ht="15.75" customHeight="1">
      <c r="A776" s="68" t="s">
        <v>2851</v>
      </c>
      <c r="B776" s="69"/>
      <c r="C776" s="72">
        <f t="shared" si="4"/>
        <v>21682060.91</v>
      </c>
      <c r="D776" s="71">
        <v>0.01</v>
      </c>
      <c r="E776" s="72">
        <f t="shared" si="1"/>
        <v>216820.6091</v>
      </c>
      <c r="F776" s="72">
        <f t="shared" si="2"/>
        <v>21898881.52</v>
      </c>
      <c r="G776" s="79" t="str">
        <f t="shared" si="5"/>
        <v/>
      </c>
      <c r="H776" s="81"/>
      <c r="I776" s="75" t="str">
        <f t="shared" si="6"/>
        <v/>
      </c>
      <c r="J776" s="80">
        <f t="shared" si="7"/>
        <v>21888881.52</v>
      </c>
      <c r="K776" s="77" t="str">
        <f t="shared" si="3"/>
        <v/>
      </c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</row>
    <row r="777" ht="15.75" customHeight="1">
      <c r="A777" s="68" t="s">
        <v>2852</v>
      </c>
      <c r="B777" s="69"/>
      <c r="C777" s="72">
        <f t="shared" si="4"/>
        <v>21898881.52</v>
      </c>
      <c r="D777" s="71">
        <v>0.01</v>
      </c>
      <c r="E777" s="72">
        <f t="shared" si="1"/>
        <v>218988.8152</v>
      </c>
      <c r="F777" s="72">
        <f t="shared" si="2"/>
        <v>22117870.34</v>
      </c>
      <c r="G777" s="79" t="str">
        <f t="shared" si="5"/>
        <v/>
      </c>
      <c r="H777" s="81"/>
      <c r="I777" s="75" t="str">
        <f t="shared" si="6"/>
        <v/>
      </c>
      <c r="J777" s="80">
        <f t="shared" si="7"/>
        <v>22107870.34</v>
      </c>
      <c r="K777" s="77" t="str">
        <f t="shared" si="3"/>
        <v/>
      </c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</row>
    <row r="778" ht="15.75" customHeight="1">
      <c r="A778" s="68" t="s">
        <v>2853</v>
      </c>
      <c r="B778" s="69"/>
      <c r="C778" s="72">
        <f t="shared" si="4"/>
        <v>22117870.34</v>
      </c>
      <c r="D778" s="71">
        <v>0.01</v>
      </c>
      <c r="E778" s="72">
        <f t="shared" si="1"/>
        <v>221178.7034</v>
      </c>
      <c r="F778" s="72">
        <f t="shared" si="2"/>
        <v>22339049.04</v>
      </c>
      <c r="G778" s="79" t="str">
        <f t="shared" si="5"/>
        <v/>
      </c>
      <c r="H778" s="81"/>
      <c r="I778" s="75" t="str">
        <f t="shared" si="6"/>
        <v/>
      </c>
      <c r="J778" s="80">
        <f t="shared" si="7"/>
        <v>22329049.04</v>
      </c>
      <c r="K778" s="77" t="str">
        <f t="shared" si="3"/>
        <v/>
      </c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</row>
    <row r="779" ht="15.75" customHeight="1">
      <c r="A779" s="68" t="s">
        <v>2854</v>
      </c>
      <c r="B779" s="69"/>
      <c r="C779" s="72">
        <f t="shared" si="4"/>
        <v>22339049.04</v>
      </c>
      <c r="D779" s="71">
        <v>0.01</v>
      </c>
      <c r="E779" s="72">
        <f t="shared" si="1"/>
        <v>223390.4904</v>
      </c>
      <c r="F779" s="72">
        <f t="shared" si="2"/>
        <v>22562439.53</v>
      </c>
      <c r="G779" s="79" t="str">
        <f t="shared" si="5"/>
        <v/>
      </c>
      <c r="H779" s="81"/>
      <c r="I779" s="75" t="str">
        <f t="shared" si="6"/>
        <v/>
      </c>
      <c r="J779" s="80">
        <f t="shared" si="7"/>
        <v>22552439.53</v>
      </c>
      <c r="K779" s="77" t="str">
        <f t="shared" si="3"/>
        <v/>
      </c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</row>
    <row r="780" ht="15.75" customHeight="1">
      <c r="A780" s="68" t="s">
        <v>2855</v>
      </c>
      <c r="B780" s="69"/>
      <c r="C780" s="72">
        <f t="shared" si="4"/>
        <v>22562439.53</v>
      </c>
      <c r="D780" s="71">
        <v>0.01</v>
      </c>
      <c r="E780" s="72">
        <f t="shared" si="1"/>
        <v>225624.3953</v>
      </c>
      <c r="F780" s="72">
        <f t="shared" si="2"/>
        <v>22788063.93</v>
      </c>
      <c r="G780" s="79" t="str">
        <f t="shared" si="5"/>
        <v/>
      </c>
      <c r="H780" s="81"/>
      <c r="I780" s="75" t="str">
        <f t="shared" si="6"/>
        <v/>
      </c>
      <c r="J780" s="80">
        <f t="shared" si="7"/>
        <v>22778063.93</v>
      </c>
      <c r="K780" s="77" t="str">
        <f t="shared" si="3"/>
        <v/>
      </c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</row>
    <row r="781" ht="15.75" customHeight="1">
      <c r="A781" s="68" t="s">
        <v>2856</v>
      </c>
      <c r="B781" s="69"/>
      <c r="C781" s="72">
        <f t="shared" si="4"/>
        <v>22788063.93</v>
      </c>
      <c r="D781" s="71">
        <v>0.01</v>
      </c>
      <c r="E781" s="72">
        <f t="shared" si="1"/>
        <v>227880.6393</v>
      </c>
      <c r="F781" s="72">
        <f t="shared" si="2"/>
        <v>23015944.57</v>
      </c>
      <c r="G781" s="79" t="str">
        <f t="shared" si="5"/>
        <v/>
      </c>
      <c r="H781" s="81"/>
      <c r="I781" s="75" t="str">
        <f t="shared" si="6"/>
        <v/>
      </c>
      <c r="J781" s="80">
        <f t="shared" si="7"/>
        <v>23005944.57</v>
      </c>
      <c r="K781" s="77" t="str">
        <f t="shared" si="3"/>
        <v/>
      </c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</row>
    <row r="782" ht="15.75" customHeight="1">
      <c r="A782" s="68" t="s">
        <v>2857</v>
      </c>
      <c r="B782" s="69"/>
      <c r="C782" s="72">
        <f t="shared" si="4"/>
        <v>23015944.57</v>
      </c>
      <c r="D782" s="71">
        <v>0.01</v>
      </c>
      <c r="E782" s="72">
        <f t="shared" si="1"/>
        <v>230159.4457</v>
      </c>
      <c r="F782" s="72">
        <f t="shared" si="2"/>
        <v>23246104.01</v>
      </c>
      <c r="G782" s="79" t="str">
        <f t="shared" si="5"/>
        <v/>
      </c>
      <c r="H782" s="81"/>
      <c r="I782" s="75" t="str">
        <f t="shared" si="6"/>
        <v/>
      </c>
      <c r="J782" s="80">
        <f t="shared" si="7"/>
        <v>23236104.01</v>
      </c>
      <c r="K782" s="77" t="str">
        <f t="shared" si="3"/>
        <v/>
      </c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</row>
    <row r="783" ht="15.75" customHeight="1">
      <c r="A783" s="68" t="s">
        <v>2858</v>
      </c>
      <c r="B783" s="69"/>
      <c r="C783" s="72">
        <f t="shared" si="4"/>
        <v>23246104.01</v>
      </c>
      <c r="D783" s="71">
        <v>0.01</v>
      </c>
      <c r="E783" s="72">
        <f t="shared" si="1"/>
        <v>232461.0401</v>
      </c>
      <c r="F783" s="72">
        <f t="shared" si="2"/>
        <v>23478565.05</v>
      </c>
      <c r="G783" s="79" t="str">
        <f t="shared" si="5"/>
        <v/>
      </c>
      <c r="H783" s="81"/>
      <c r="I783" s="75" t="str">
        <f t="shared" si="6"/>
        <v/>
      </c>
      <c r="J783" s="80">
        <f t="shared" si="7"/>
        <v>23468565.05</v>
      </c>
      <c r="K783" s="77" t="str">
        <f t="shared" si="3"/>
        <v/>
      </c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</row>
    <row r="784" ht="15.75" customHeight="1">
      <c r="A784" s="68" t="s">
        <v>2859</v>
      </c>
      <c r="B784" s="69"/>
      <c r="C784" s="72">
        <f t="shared" si="4"/>
        <v>23478565.05</v>
      </c>
      <c r="D784" s="71">
        <v>0.01</v>
      </c>
      <c r="E784" s="72">
        <f t="shared" si="1"/>
        <v>234785.6505</v>
      </c>
      <c r="F784" s="72">
        <f t="shared" si="2"/>
        <v>23713350.7</v>
      </c>
      <c r="G784" s="79" t="str">
        <f t="shared" si="5"/>
        <v/>
      </c>
      <c r="H784" s="81"/>
      <c r="I784" s="75" t="str">
        <f t="shared" si="6"/>
        <v/>
      </c>
      <c r="J784" s="80">
        <f t="shared" si="7"/>
        <v>23703350.7</v>
      </c>
      <c r="K784" s="77" t="str">
        <f t="shared" si="3"/>
        <v/>
      </c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</row>
    <row r="785" ht="15.75" customHeight="1">
      <c r="A785" s="68" t="s">
        <v>2860</v>
      </c>
      <c r="B785" s="69"/>
      <c r="C785" s="72">
        <f t="shared" si="4"/>
        <v>23713350.7</v>
      </c>
      <c r="D785" s="71">
        <v>0.01</v>
      </c>
      <c r="E785" s="72">
        <f t="shared" si="1"/>
        <v>237133.507</v>
      </c>
      <c r="F785" s="72">
        <f t="shared" si="2"/>
        <v>23950484.21</v>
      </c>
      <c r="G785" s="79" t="str">
        <f t="shared" si="5"/>
        <v/>
      </c>
      <c r="H785" s="81"/>
      <c r="I785" s="75" t="str">
        <f t="shared" si="6"/>
        <v/>
      </c>
      <c r="J785" s="80">
        <f t="shared" si="7"/>
        <v>23940484.21</v>
      </c>
      <c r="K785" s="77" t="str">
        <f t="shared" si="3"/>
        <v/>
      </c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</row>
    <row r="786" ht="15.75" customHeight="1">
      <c r="A786" s="68" t="s">
        <v>2861</v>
      </c>
      <c r="B786" s="69"/>
      <c r="C786" s="72">
        <f t="shared" si="4"/>
        <v>23950484.21</v>
      </c>
      <c r="D786" s="71">
        <v>0.01</v>
      </c>
      <c r="E786" s="72">
        <f t="shared" si="1"/>
        <v>239504.8421</v>
      </c>
      <c r="F786" s="72">
        <f t="shared" si="2"/>
        <v>24189989.05</v>
      </c>
      <c r="G786" s="79" t="str">
        <f t="shared" si="5"/>
        <v/>
      </c>
      <c r="H786" s="81"/>
      <c r="I786" s="75" t="str">
        <f t="shared" si="6"/>
        <v/>
      </c>
      <c r="J786" s="80">
        <f t="shared" si="7"/>
        <v>24179989.05</v>
      </c>
      <c r="K786" s="77" t="str">
        <f t="shared" si="3"/>
        <v/>
      </c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</row>
    <row r="787" ht="15.75" customHeight="1">
      <c r="A787" s="68" t="s">
        <v>2862</v>
      </c>
      <c r="B787" s="69"/>
      <c r="C787" s="72">
        <f t="shared" si="4"/>
        <v>24189989.05</v>
      </c>
      <c r="D787" s="71">
        <v>0.01</v>
      </c>
      <c r="E787" s="72">
        <f t="shared" si="1"/>
        <v>241899.8905</v>
      </c>
      <c r="F787" s="72">
        <f t="shared" si="2"/>
        <v>24431888.94</v>
      </c>
      <c r="G787" s="79" t="str">
        <f t="shared" si="5"/>
        <v/>
      </c>
      <c r="H787" s="81"/>
      <c r="I787" s="75" t="str">
        <f t="shared" si="6"/>
        <v/>
      </c>
      <c r="J787" s="80">
        <f t="shared" si="7"/>
        <v>24421888.94</v>
      </c>
      <c r="K787" s="77" t="str">
        <f t="shared" si="3"/>
        <v/>
      </c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</row>
    <row r="788" ht="15.75" customHeight="1">
      <c r="A788" s="68" t="s">
        <v>2863</v>
      </c>
      <c r="B788" s="69"/>
      <c r="C788" s="72">
        <f t="shared" si="4"/>
        <v>24431888.94</v>
      </c>
      <c r="D788" s="71">
        <v>0.01</v>
      </c>
      <c r="E788" s="72">
        <f t="shared" si="1"/>
        <v>244318.8894</v>
      </c>
      <c r="F788" s="72">
        <f t="shared" si="2"/>
        <v>24676207.83</v>
      </c>
      <c r="G788" s="79" t="str">
        <f t="shared" si="5"/>
        <v/>
      </c>
      <c r="H788" s="81"/>
      <c r="I788" s="75" t="str">
        <f t="shared" si="6"/>
        <v/>
      </c>
      <c r="J788" s="80">
        <f t="shared" si="7"/>
        <v>24666207.83</v>
      </c>
      <c r="K788" s="77" t="str">
        <f t="shared" si="3"/>
        <v/>
      </c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</row>
    <row r="789" ht="15.75" customHeight="1">
      <c r="A789" s="68" t="s">
        <v>2864</v>
      </c>
      <c r="B789" s="69"/>
      <c r="C789" s="72">
        <f t="shared" si="4"/>
        <v>24676207.83</v>
      </c>
      <c r="D789" s="71">
        <v>0.01</v>
      </c>
      <c r="E789" s="72">
        <f t="shared" si="1"/>
        <v>246762.0783</v>
      </c>
      <c r="F789" s="72">
        <f t="shared" si="2"/>
        <v>24922969.91</v>
      </c>
      <c r="G789" s="79" t="str">
        <f t="shared" si="5"/>
        <v/>
      </c>
      <c r="H789" s="81"/>
      <c r="I789" s="75" t="str">
        <f t="shared" si="6"/>
        <v/>
      </c>
      <c r="J789" s="80">
        <f t="shared" si="7"/>
        <v>24912969.91</v>
      </c>
      <c r="K789" s="77" t="str">
        <f t="shared" si="3"/>
        <v/>
      </c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</row>
    <row r="790" ht="15.75" customHeight="1">
      <c r="A790" s="68" t="s">
        <v>2865</v>
      </c>
      <c r="B790" s="69"/>
      <c r="C790" s="72">
        <f t="shared" si="4"/>
        <v>24922969.91</v>
      </c>
      <c r="D790" s="71">
        <v>0.01</v>
      </c>
      <c r="E790" s="72">
        <f t="shared" si="1"/>
        <v>249229.6991</v>
      </c>
      <c r="F790" s="72">
        <f t="shared" si="2"/>
        <v>25172199.61</v>
      </c>
      <c r="G790" s="79" t="str">
        <f t="shared" si="5"/>
        <v/>
      </c>
      <c r="H790" s="81"/>
      <c r="I790" s="75" t="str">
        <f t="shared" si="6"/>
        <v/>
      </c>
      <c r="J790" s="80">
        <f t="shared" si="7"/>
        <v>25162199.61</v>
      </c>
      <c r="K790" s="77" t="str">
        <f t="shared" si="3"/>
        <v/>
      </c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</row>
    <row r="791" ht="15.75" customHeight="1">
      <c r="A791" s="68" t="s">
        <v>2866</v>
      </c>
      <c r="B791" s="69"/>
      <c r="C791" s="72">
        <f t="shared" si="4"/>
        <v>25172199.61</v>
      </c>
      <c r="D791" s="71">
        <v>0.01</v>
      </c>
      <c r="E791" s="72">
        <f t="shared" si="1"/>
        <v>251721.9961</v>
      </c>
      <c r="F791" s="72">
        <f t="shared" si="2"/>
        <v>25423921.61</v>
      </c>
      <c r="G791" s="79" t="str">
        <f t="shared" si="5"/>
        <v/>
      </c>
      <c r="H791" s="81"/>
      <c r="I791" s="75" t="str">
        <f t="shared" si="6"/>
        <v/>
      </c>
      <c r="J791" s="80">
        <f t="shared" si="7"/>
        <v>25413921.61</v>
      </c>
      <c r="K791" s="77" t="str">
        <f t="shared" si="3"/>
        <v/>
      </c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</row>
    <row r="792" ht="15.75" customHeight="1">
      <c r="A792" s="68" t="s">
        <v>2867</v>
      </c>
      <c r="B792" s="69"/>
      <c r="C792" s="72">
        <f t="shared" si="4"/>
        <v>25423921.61</v>
      </c>
      <c r="D792" s="71">
        <v>0.01</v>
      </c>
      <c r="E792" s="72">
        <f t="shared" si="1"/>
        <v>254239.2161</v>
      </c>
      <c r="F792" s="72">
        <f t="shared" si="2"/>
        <v>25678160.82</v>
      </c>
      <c r="G792" s="79" t="str">
        <f t="shared" si="5"/>
        <v/>
      </c>
      <c r="H792" s="81"/>
      <c r="I792" s="75" t="str">
        <f t="shared" si="6"/>
        <v/>
      </c>
      <c r="J792" s="80">
        <f t="shared" si="7"/>
        <v>25668160.82</v>
      </c>
      <c r="K792" s="77" t="str">
        <f t="shared" si="3"/>
        <v/>
      </c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</row>
    <row r="793" ht="15.75" customHeight="1">
      <c r="A793" s="68" t="s">
        <v>2868</v>
      </c>
      <c r="B793" s="69"/>
      <c r="C793" s="72">
        <f t="shared" si="4"/>
        <v>25678160.82</v>
      </c>
      <c r="D793" s="71">
        <v>0.01</v>
      </c>
      <c r="E793" s="72">
        <f t="shared" si="1"/>
        <v>256781.6082</v>
      </c>
      <c r="F793" s="72">
        <f t="shared" si="2"/>
        <v>25934942.43</v>
      </c>
      <c r="G793" s="79" t="str">
        <f t="shared" si="5"/>
        <v/>
      </c>
      <c r="H793" s="81"/>
      <c r="I793" s="75" t="str">
        <f t="shared" si="6"/>
        <v/>
      </c>
      <c r="J793" s="80">
        <f t="shared" si="7"/>
        <v>25924942.43</v>
      </c>
      <c r="K793" s="77" t="str">
        <f t="shared" si="3"/>
        <v/>
      </c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</row>
    <row r="794" ht="15.75" customHeight="1">
      <c r="A794" s="68" t="s">
        <v>2869</v>
      </c>
      <c r="B794" s="69"/>
      <c r="C794" s="72">
        <f t="shared" si="4"/>
        <v>25934942.43</v>
      </c>
      <c r="D794" s="71">
        <v>0.01</v>
      </c>
      <c r="E794" s="72">
        <f t="shared" si="1"/>
        <v>259349.4243</v>
      </c>
      <c r="F794" s="72">
        <f t="shared" si="2"/>
        <v>26194291.85</v>
      </c>
      <c r="G794" s="79" t="str">
        <f t="shared" si="5"/>
        <v/>
      </c>
      <c r="H794" s="81"/>
      <c r="I794" s="75" t="str">
        <f t="shared" si="6"/>
        <v/>
      </c>
      <c r="J794" s="80">
        <f t="shared" si="7"/>
        <v>26184291.85</v>
      </c>
      <c r="K794" s="77" t="str">
        <f t="shared" si="3"/>
        <v/>
      </c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</row>
    <row r="795" ht="15.75" customHeight="1">
      <c r="A795" s="68" t="s">
        <v>2870</v>
      </c>
      <c r="B795" s="69"/>
      <c r="C795" s="72">
        <f t="shared" si="4"/>
        <v>26194291.85</v>
      </c>
      <c r="D795" s="71">
        <v>0.01</v>
      </c>
      <c r="E795" s="72">
        <f t="shared" si="1"/>
        <v>261942.9185</v>
      </c>
      <c r="F795" s="72">
        <f t="shared" si="2"/>
        <v>26456234.77</v>
      </c>
      <c r="G795" s="79" t="str">
        <f t="shared" si="5"/>
        <v/>
      </c>
      <c r="H795" s="81"/>
      <c r="I795" s="75" t="str">
        <f t="shared" si="6"/>
        <v/>
      </c>
      <c r="J795" s="80">
        <f t="shared" si="7"/>
        <v>26446234.77</v>
      </c>
      <c r="K795" s="77" t="str">
        <f t="shared" si="3"/>
        <v/>
      </c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</row>
    <row r="796" ht="15.75" customHeight="1">
      <c r="A796" s="68" t="s">
        <v>2871</v>
      </c>
      <c r="B796" s="69"/>
      <c r="C796" s="72">
        <f t="shared" si="4"/>
        <v>26456234.77</v>
      </c>
      <c r="D796" s="71">
        <v>0.01</v>
      </c>
      <c r="E796" s="72">
        <f t="shared" si="1"/>
        <v>264562.3477</v>
      </c>
      <c r="F796" s="72">
        <f t="shared" si="2"/>
        <v>26720797.12</v>
      </c>
      <c r="G796" s="79" t="str">
        <f t="shared" si="5"/>
        <v/>
      </c>
      <c r="H796" s="81"/>
      <c r="I796" s="75" t="str">
        <f t="shared" si="6"/>
        <v/>
      </c>
      <c r="J796" s="80">
        <f t="shared" si="7"/>
        <v>26710797.12</v>
      </c>
      <c r="K796" s="77" t="str">
        <f t="shared" si="3"/>
        <v/>
      </c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</row>
    <row r="797" ht="15.75" customHeight="1">
      <c r="A797" s="68" t="s">
        <v>2872</v>
      </c>
      <c r="B797" s="69"/>
      <c r="C797" s="72">
        <f t="shared" si="4"/>
        <v>26720797.12</v>
      </c>
      <c r="D797" s="71">
        <v>0.01</v>
      </c>
      <c r="E797" s="72">
        <f t="shared" si="1"/>
        <v>267207.9712</v>
      </c>
      <c r="F797" s="72">
        <f t="shared" si="2"/>
        <v>26988005.09</v>
      </c>
      <c r="G797" s="79" t="str">
        <f t="shared" si="5"/>
        <v/>
      </c>
      <c r="H797" s="81"/>
      <c r="I797" s="75" t="str">
        <f t="shared" si="6"/>
        <v/>
      </c>
      <c r="J797" s="80">
        <f t="shared" si="7"/>
        <v>26978005.09</v>
      </c>
      <c r="K797" s="77" t="str">
        <f t="shared" si="3"/>
        <v/>
      </c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</row>
    <row r="798" ht="15.75" customHeight="1">
      <c r="A798" s="68" t="s">
        <v>2873</v>
      </c>
      <c r="B798" s="69"/>
      <c r="C798" s="72">
        <f t="shared" si="4"/>
        <v>26988005.09</v>
      </c>
      <c r="D798" s="71">
        <v>0.01</v>
      </c>
      <c r="E798" s="72">
        <f t="shared" si="1"/>
        <v>269880.0509</v>
      </c>
      <c r="F798" s="72">
        <f t="shared" si="2"/>
        <v>27257885.14</v>
      </c>
      <c r="G798" s="79" t="str">
        <f t="shared" si="5"/>
        <v/>
      </c>
      <c r="H798" s="81"/>
      <c r="I798" s="75" t="str">
        <f t="shared" si="6"/>
        <v/>
      </c>
      <c r="J798" s="80">
        <f t="shared" si="7"/>
        <v>27247885.14</v>
      </c>
      <c r="K798" s="77" t="str">
        <f t="shared" si="3"/>
        <v/>
      </c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</row>
    <row r="799" ht="15.75" customHeight="1">
      <c r="A799" s="68" t="s">
        <v>2874</v>
      </c>
      <c r="B799" s="69"/>
      <c r="C799" s="72">
        <f t="shared" si="4"/>
        <v>27257885.14</v>
      </c>
      <c r="D799" s="71">
        <v>0.01</v>
      </c>
      <c r="E799" s="72">
        <f t="shared" si="1"/>
        <v>272578.8514</v>
      </c>
      <c r="F799" s="72">
        <f t="shared" si="2"/>
        <v>27530463.99</v>
      </c>
      <c r="G799" s="79" t="str">
        <f t="shared" si="5"/>
        <v/>
      </c>
      <c r="H799" s="81"/>
      <c r="I799" s="75" t="str">
        <f t="shared" si="6"/>
        <v/>
      </c>
      <c r="J799" s="80">
        <f t="shared" si="7"/>
        <v>27520463.99</v>
      </c>
      <c r="K799" s="77" t="str">
        <f t="shared" si="3"/>
        <v/>
      </c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</row>
    <row r="800" ht="15.75" customHeight="1">
      <c r="A800" s="68" t="s">
        <v>2875</v>
      </c>
      <c r="B800" s="69"/>
      <c r="C800" s="72">
        <f t="shared" si="4"/>
        <v>27530463.99</v>
      </c>
      <c r="D800" s="71">
        <v>0.01</v>
      </c>
      <c r="E800" s="72">
        <f t="shared" si="1"/>
        <v>275304.6399</v>
      </c>
      <c r="F800" s="72">
        <f t="shared" si="2"/>
        <v>27805768.63</v>
      </c>
      <c r="G800" s="79" t="str">
        <f t="shared" si="5"/>
        <v/>
      </c>
      <c r="H800" s="81"/>
      <c r="I800" s="75" t="str">
        <f t="shared" si="6"/>
        <v/>
      </c>
      <c r="J800" s="80">
        <f t="shared" si="7"/>
        <v>27795768.63</v>
      </c>
      <c r="K800" s="77" t="str">
        <f t="shared" si="3"/>
        <v/>
      </c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</row>
    <row r="801" ht="15.75" customHeight="1">
      <c r="A801" s="68" t="s">
        <v>2876</v>
      </c>
      <c r="B801" s="69"/>
      <c r="C801" s="72">
        <f t="shared" si="4"/>
        <v>27805768.63</v>
      </c>
      <c r="D801" s="71">
        <v>0.01</v>
      </c>
      <c r="E801" s="72">
        <f t="shared" si="1"/>
        <v>278057.6863</v>
      </c>
      <c r="F801" s="72">
        <f t="shared" si="2"/>
        <v>28083826.32</v>
      </c>
      <c r="G801" s="79" t="str">
        <f t="shared" si="5"/>
        <v/>
      </c>
      <c r="H801" s="81"/>
      <c r="I801" s="75" t="str">
        <f t="shared" si="6"/>
        <v/>
      </c>
      <c r="J801" s="80">
        <f t="shared" si="7"/>
        <v>28073826.32</v>
      </c>
      <c r="K801" s="77" t="str">
        <f t="shared" si="3"/>
        <v/>
      </c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</row>
    <row r="802" ht="15.75" customHeight="1">
      <c r="A802" s="68" t="s">
        <v>2877</v>
      </c>
      <c r="B802" s="69"/>
      <c r="C802" s="72">
        <f t="shared" si="4"/>
        <v>28083826.32</v>
      </c>
      <c r="D802" s="71">
        <v>0.01</v>
      </c>
      <c r="E802" s="72">
        <f t="shared" si="1"/>
        <v>280838.2632</v>
      </c>
      <c r="F802" s="72">
        <f t="shared" si="2"/>
        <v>28364664.58</v>
      </c>
      <c r="G802" s="79" t="str">
        <f t="shared" si="5"/>
        <v/>
      </c>
      <c r="H802" s="81"/>
      <c r="I802" s="75" t="str">
        <f t="shared" si="6"/>
        <v/>
      </c>
      <c r="J802" s="80">
        <f t="shared" si="7"/>
        <v>28354664.58</v>
      </c>
      <c r="K802" s="77" t="str">
        <f t="shared" si="3"/>
        <v/>
      </c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</row>
    <row r="803" ht="15.75" customHeight="1">
      <c r="A803" s="68" t="s">
        <v>2878</v>
      </c>
      <c r="B803" s="69"/>
      <c r="C803" s="72">
        <f t="shared" si="4"/>
        <v>28364664.58</v>
      </c>
      <c r="D803" s="71">
        <v>0.01</v>
      </c>
      <c r="E803" s="72">
        <f t="shared" si="1"/>
        <v>283646.6458</v>
      </c>
      <c r="F803" s="72">
        <f t="shared" si="2"/>
        <v>28648311.23</v>
      </c>
      <c r="G803" s="79" t="str">
        <f t="shared" si="5"/>
        <v/>
      </c>
      <c r="H803" s="81"/>
      <c r="I803" s="75" t="str">
        <f t="shared" si="6"/>
        <v/>
      </c>
      <c r="J803" s="80">
        <f t="shared" si="7"/>
        <v>28638311.23</v>
      </c>
      <c r="K803" s="77" t="str">
        <f t="shared" si="3"/>
        <v/>
      </c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</row>
    <row r="804" ht="15.75" customHeight="1">
      <c r="A804" s="68" t="s">
        <v>2879</v>
      </c>
      <c r="B804" s="69"/>
      <c r="C804" s="72">
        <f t="shared" si="4"/>
        <v>28648311.23</v>
      </c>
      <c r="D804" s="71">
        <v>0.01</v>
      </c>
      <c r="E804" s="72">
        <f t="shared" si="1"/>
        <v>286483.1123</v>
      </c>
      <c r="F804" s="72">
        <f t="shared" si="2"/>
        <v>28934794.34</v>
      </c>
      <c r="G804" s="79" t="str">
        <f t="shared" si="5"/>
        <v/>
      </c>
      <c r="H804" s="81"/>
      <c r="I804" s="75" t="str">
        <f t="shared" si="6"/>
        <v/>
      </c>
      <c r="J804" s="80">
        <f t="shared" si="7"/>
        <v>28924794.34</v>
      </c>
      <c r="K804" s="77" t="str">
        <f t="shared" si="3"/>
        <v/>
      </c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</row>
    <row r="805" ht="15.75" customHeight="1">
      <c r="A805" s="68" t="s">
        <v>2880</v>
      </c>
      <c r="B805" s="69"/>
      <c r="C805" s="72">
        <f t="shared" si="4"/>
        <v>28934794.34</v>
      </c>
      <c r="D805" s="71">
        <v>0.01</v>
      </c>
      <c r="E805" s="72">
        <f t="shared" si="1"/>
        <v>289347.9434</v>
      </c>
      <c r="F805" s="72">
        <f t="shared" si="2"/>
        <v>29224142.28</v>
      </c>
      <c r="G805" s="79" t="str">
        <f t="shared" si="5"/>
        <v/>
      </c>
      <c r="H805" s="81"/>
      <c r="I805" s="75" t="str">
        <f t="shared" si="6"/>
        <v/>
      </c>
      <c r="J805" s="80">
        <f t="shared" si="7"/>
        <v>29214142.28</v>
      </c>
      <c r="K805" s="77" t="str">
        <f t="shared" si="3"/>
        <v/>
      </c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</row>
    <row r="806" ht="15.75" customHeight="1">
      <c r="A806" s="68" t="s">
        <v>2881</v>
      </c>
      <c r="B806" s="69"/>
      <c r="C806" s="72">
        <f t="shared" si="4"/>
        <v>29224142.28</v>
      </c>
      <c r="D806" s="71">
        <v>0.01</v>
      </c>
      <c r="E806" s="72">
        <f t="shared" si="1"/>
        <v>292241.4228</v>
      </c>
      <c r="F806" s="72">
        <f t="shared" si="2"/>
        <v>29516383.71</v>
      </c>
      <c r="G806" s="79" t="str">
        <f t="shared" si="5"/>
        <v/>
      </c>
      <c r="H806" s="81"/>
      <c r="I806" s="75" t="str">
        <f t="shared" si="6"/>
        <v/>
      </c>
      <c r="J806" s="80">
        <f t="shared" si="7"/>
        <v>29506383.71</v>
      </c>
      <c r="K806" s="77" t="str">
        <f t="shared" si="3"/>
        <v/>
      </c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</row>
    <row r="807" ht="15.75" customHeight="1">
      <c r="A807" s="68" t="s">
        <v>2882</v>
      </c>
      <c r="B807" s="69"/>
      <c r="C807" s="72">
        <f t="shared" si="4"/>
        <v>29516383.71</v>
      </c>
      <c r="D807" s="71">
        <v>0.01</v>
      </c>
      <c r="E807" s="72">
        <f t="shared" si="1"/>
        <v>295163.8371</v>
      </c>
      <c r="F807" s="72">
        <f t="shared" si="2"/>
        <v>29811547.54</v>
      </c>
      <c r="G807" s="79" t="str">
        <f t="shared" si="5"/>
        <v/>
      </c>
      <c r="H807" s="81"/>
      <c r="I807" s="75" t="str">
        <f t="shared" si="6"/>
        <v/>
      </c>
      <c r="J807" s="80">
        <f t="shared" si="7"/>
        <v>29801547.54</v>
      </c>
      <c r="K807" s="77" t="str">
        <f t="shared" si="3"/>
        <v/>
      </c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</row>
    <row r="808" ht="15.75" customHeight="1">
      <c r="A808" s="68" t="s">
        <v>2883</v>
      </c>
      <c r="B808" s="69"/>
      <c r="C808" s="72">
        <f t="shared" si="4"/>
        <v>29811547.54</v>
      </c>
      <c r="D808" s="71">
        <v>0.01</v>
      </c>
      <c r="E808" s="72">
        <f t="shared" si="1"/>
        <v>298115.4754</v>
      </c>
      <c r="F808" s="72">
        <f t="shared" si="2"/>
        <v>30109663.02</v>
      </c>
      <c r="G808" s="79" t="str">
        <f t="shared" si="5"/>
        <v/>
      </c>
      <c r="H808" s="81"/>
      <c r="I808" s="75" t="str">
        <f t="shared" si="6"/>
        <v/>
      </c>
      <c r="J808" s="80">
        <f t="shared" si="7"/>
        <v>30099663.02</v>
      </c>
      <c r="K808" s="77" t="str">
        <f t="shared" si="3"/>
        <v/>
      </c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</row>
    <row r="809" ht="15.75" customHeight="1">
      <c r="A809" s="68" t="s">
        <v>2884</v>
      </c>
      <c r="B809" s="69"/>
      <c r="C809" s="72">
        <f t="shared" si="4"/>
        <v>30109663.02</v>
      </c>
      <c r="D809" s="71">
        <v>0.01</v>
      </c>
      <c r="E809" s="72">
        <f t="shared" si="1"/>
        <v>301096.6302</v>
      </c>
      <c r="F809" s="72">
        <f t="shared" si="2"/>
        <v>30410759.65</v>
      </c>
      <c r="G809" s="79" t="str">
        <f t="shared" si="5"/>
        <v/>
      </c>
      <c r="H809" s="81"/>
      <c r="I809" s="75" t="str">
        <f t="shared" si="6"/>
        <v/>
      </c>
      <c r="J809" s="80">
        <f t="shared" si="7"/>
        <v>30400759.65</v>
      </c>
      <c r="K809" s="77" t="str">
        <f t="shared" si="3"/>
        <v/>
      </c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</row>
    <row r="810" ht="15.75" customHeight="1">
      <c r="A810" s="68" t="s">
        <v>2885</v>
      </c>
      <c r="B810" s="69"/>
      <c r="C810" s="72">
        <f t="shared" si="4"/>
        <v>30410759.65</v>
      </c>
      <c r="D810" s="71">
        <v>0.01</v>
      </c>
      <c r="E810" s="72">
        <f t="shared" si="1"/>
        <v>304107.5965</v>
      </c>
      <c r="F810" s="72">
        <f t="shared" si="2"/>
        <v>30714867.25</v>
      </c>
      <c r="G810" s="79" t="str">
        <f t="shared" si="5"/>
        <v/>
      </c>
      <c r="H810" s="81"/>
      <c r="I810" s="75" t="str">
        <f t="shared" si="6"/>
        <v/>
      </c>
      <c r="J810" s="80">
        <f t="shared" si="7"/>
        <v>30704867.25</v>
      </c>
      <c r="K810" s="77" t="str">
        <f t="shared" si="3"/>
        <v/>
      </c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</row>
    <row r="811" ht="15.75" customHeight="1">
      <c r="A811" s="68" t="s">
        <v>2886</v>
      </c>
      <c r="B811" s="69"/>
      <c r="C811" s="72">
        <f t="shared" si="4"/>
        <v>30714867.25</v>
      </c>
      <c r="D811" s="71">
        <v>0.01</v>
      </c>
      <c r="E811" s="72">
        <f t="shared" si="1"/>
        <v>307148.6725</v>
      </c>
      <c r="F811" s="72">
        <f t="shared" si="2"/>
        <v>31022015.92</v>
      </c>
      <c r="G811" s="79" t="str">
        <f t="shared" si="5"/>
        <v/>
      </c>
      <c r="H811" s="81"/>
      <c r="I811" s="75" t="str">
        <f t="shared" si="6"/>
        <v/>
      </c>
      <c r="J811" s="80">
        <f t="shared" si="7"/>
        <v>31012015.92</v>
      </c>
      <c r="K811" s="77" t="str">
        <f t="shared" si="3"/>
        <v/>
      </c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</row>
    <row r="812" ht="15.75" customHeight="1">
      <c r="A812" s="68" t="s">
        <v>2887</v>
      </c>
      <c r="B812" s="69"/>
      <c r="C812" s="72">
        <f t="shared" si="4"/>
        <v>31022015.92</v>
      </c>
      <c r="D812" s="71">
        <v>0.01</v>
      </c>
      <c r="E812" s="72">
        <f t="shared" si="1"/>
        <v>310220.1592</v>
      </c>
      <c r="F812" s="72">
        <f t="shared" si="2"/>
        <v>31332236.08</v>
      </c>
      <c r="G812" s="79" t="str">
        <f t="shared" si="5"/>
        <v/>
      </c>
      <c r="H812" s="81"/>
      <c r="I812" s="75" t="str">
        <f t="shared" si="6"/>
        <v/>
      </c>
      <c r="J812" s="80">
        <f t="shared" si="7"/>
        <v>31322236.08</v>
      </c>
      <c r="K812" s="77" t="str">
        <f t="shared" si="3"/>
        <v/>
      </c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</row>
    <row r="813" ht="15.75" customHeight="1">
      <c r="A813" s="68" t="s">
        <v>2888</v>
      </c>
      <c r="B813" s="69"/>
      <c r="C813" s="72">
        <f t="shared" si="4"/>
        <v>31332236.08</v>
      </c>
      <c r="D813" s="71">
        <v>0.01</v>
      </c>
      <c r="E813" s="72">
        <f t="shared" si="1"/>
        <v>313322.3608</v>
      </c>
      <c r="F813" s="72">
        <f t="shared" si="2"/>
        <v>31645558.44</v>
      </c>
      <c r="G813" s="79" t="str">
        <f t="shared" si="5"/>
        <v/>
      </c>
      <c r="H813" s="81"/>
      <c r="I813" s="75" t="str">
        <f t="shared" si="6"/>
        <v/>
      </c>
      <c r="J813" s="80">
        <f t="shared" si="7"/>
        <v>31635558.44</v>
      </c>
      <c r="K813" s="77" t="str">
        <f t="shared" si="3"/>
        <v/>
      </c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</row>
    <row r="814" ht="15.75" customHeight="1">
      <c r="A814" s="68" t="s">
        <v>2889</v>
      </c>
      <c r="B814" s="69"/>
      <c r="C814" s="72">
        <f t="shared" si="4"/>
        <v>31645558.44</v>
      </c>
      <c r="D814" s="71">
        <v>0.01</v>
      </c>
      <c r="E814" s="72">
        <f t="shared" si="1"/>
        <v>316455.5844</v>
      </c>
      <c r="F814" s="72">
        <f t="shared" si="2"/>
        <v>31962014.02</v>
      </c>
      <c r="G814" s="79" t="str">
        <f t="shared" si="5"/>
        <v/>
      </c>
      <c r="H814" s="81"/>
      <c r="I814" s="75" t="str">
        <f t="shared" si="6"/>
        <v/>
      </c>
      <c r="J814" s="80">
        <f t="shared" si="7"/>
        <v>31952014.02</v>
      </c>
      <c r="K814" s="77" t="str">
        <f t="shared" si="3"/>
        <v/>
      </c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</row>
    <row r="815" ht="15.75" customHeight="1">
      <c r="A815" s="68" t="s">
        <v>2890</v>
      </c>
      <c r="B815" s="69"/>
      <c r="C815" s="72">
        <f t="shared" si="4"/>
        <v>31962014.02</v>
      </c>
      <c r="D815" s="71">
        <v>0.01</v>
      </c>
      <c r="E815" s="72">
        <f t="shared" si="1"/>
        <v>319620.1402</v>
      </c>
      <c r="F815" s="72">
        <f t="shared" si="2"/>
        <v>32281634.16</v>
      </c>
      <c r="G815" s="79" t="str">
        <f t="shared" si="5"/>
        <v/>
      </c>
      <c r="H815" s="81"/>
      <c r="I815" s="75" t="str">
        <f t="shared" si="6"/>
        <v/>
      </c>
      <c r="J815" s="80">
        <f t="shared" si="7"/>
        <v>32271634.16</v>
      </c>
      <c r="K815" s="77" t="str">
        <f t="shared" si="3"/>
        <v/>
      </c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</row>
    <row r="816" ht="15.75" customHeight="1">
      <c r="A816" s="68" t="s">
        <v>2891</v>
      </c>
      <c r="B816" s="69"/>
      <c r="C816" s="72">
        <f t="shared" si="4"/>
        <v>32281634.16</v>
      </c>
      <c r="D816" s="71">
        <v>0.01</v>
      </c>
      <c r="E816" s="72">
        <f t="shared" si="1"/>
        <v>322816.3416</v>
      </c>
      <c r="F816" s="72">
        <f t="shared" si="2"/>
        <v>32604450.51</v>
      </c>
      <c r="G816" s="79" t="str">
        <f t="shared" si="5"/>
        <v/>
      </c>
      <c r="H816" s="81"/>
      <c r="I816" s="75" t="str">
        <f t="shared" si="6"/>
        <v/>
      </c>
      <c r="J816" s="80">
        <f t="shared" si="7"/>
        <v>32594450.51</v>
      </c>
      <c r="K816" s="77" t="str">
        <f t="shared" si="3"/>
        <v/>
      </c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</row>
    <row r="817" ht="15.75" customHeight="1">
      <c r="A817" s="68" t="s">
        <v>2892</v>
      </c>
      <c r="B817" s="69"/>
      <c r="C817" s="72">
        <f t="shared" si="4"/>
        <v>32604450.51</v>
      </c>
      <c r="D817" s="71">
        <v>0.01</v>
      </c>
      <c r="E817" s="72">
        <f t="shared" si="1"/>
        <v>326044.5051</v>
      </c>
      <c r="F817" s="72">
        <f t="shared" si="2"/>
        <v>32930495.01</v>
      </c>
      <c r="G817" s="79" t="str">
        <f t="shared" si="5"/>
        <v/>
      </c>
      <c r="H817" s="81"/>
      <c r="I817" s="75" t="str">
        <f t="shared" si="6"/>
        <v/>
      </c>
      <c r="J817" s="80">
        <f t="shared" si="7"/>
        <v>32920495.01</v>
      </c>
      <c r="K817" s="77" t="str">
        <f t="shared" si="3"/>
        <v/>
      </c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</row>
    <row r="818" ht="15.75" customHeight="1">
      <c r="A818" s="68" t="s">
        <v>2893</v>
      </c>
      <c r="B818" s="69"/>
      <c r="C818" s="72">
        <f t="shared" si="4"/>
        <v>32930495.01</v>
      </c>
      <c r="D818" s="71">
        <v>0.01</v>
      </c>
      <c r="E818" s="72">
        <f t="shared" si="1"/>
        <v>329304.9501</v>
      </c>
      <c r="F818" s="72">
        <f t="shared" si="2"/>
        <v>33259799.96</v>
      </c>
      <c r="G818" s="79" t="str">
        <f t="shared" si="5"/>
        <v/>
      </c>
      <c r="H818" s="81"/>
      <c r="I818" s="75" t="str">
        <f t="shared" si="6"/>
        <v/>
      </c>
      <c r="J818" s="80">
        <f t="shared" si="7"/>
        <v>33249799.96</v>
      </c>
      <c r="K818" s="77" t="str">
        <f t="shared" si="3"/>
        <v/>
      </c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</row>
    <row r="819" ht="15.75" customHeight="1">
      <c r="A819" s="68" t="s">
        <v>2894</v>
      </c>
      <c r="B819" s="69"/>
      <c r="C819" s="72">
        <f t="shared" si="4"/>
        <v>33259799.96</v>
      </c>
      <c r="D819" s="71">
        <v>0.01</v>
      </c>
      <c r="E819" s="72">
        <f t="shared" si="1"/>
        <v>332597.9996</v>
      </c>
      <c r="F819" s="72">
        <f t="shared" si="2"/>
        <v>33592397.96</v>
      </c>
      <c r="G819" s="79" t="str">
        <f t="shared" si="5"/>
        <v/>
      </c>
      <c r="H819" s="81"/>
      <c r="I819" s="75" t="str">
        <f t="shared" si="6"/>
        <v/>
      </c>
      <c r="J819" s="80">
        <f t="shared" si="7"/>
        <v>33582397.96</v>
      </c>
      <c r="K819" s="77" t="str">
        <f t="shared" si="3"/>
        <v/>
      </c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</row>
    <row r="820" ht="15.75" customHeight="1">
      <c r="A820" s="68" t="s">
        <v>2895</v>
      </c>
      <c r="B820" s="69"/>
      <c r="C820" s="72">
        <f t="shared" si="4"/>
        <v>33592397.96</v>
      </c>
      <c r="D820" s="71">
        <v>0.01</v>
      </c>
      <c r="E820" s="72">
        <f t="shared" si="1"/>
        <v>335923.9796</v>
      </c>
      <c r="F820" s="72">
        <f t="shared" si="2"/>
        <v>33928321.94</v>
      </c>
      <c r="G820" s="79" t="str">
        <f t="shared" si="5"/>
        <v/>
      </c>
      <c r="H820" s="81"/>
      <c r="I820" s="75" t="str">
        <f t="shared" si="6"/>
        <v/>
      </c>
      <c r="J820" s="80">
        <f t="shared" si="7"/>
        <v>33918321.94</v>
      </c>
      <c r="K820" s="77" t="str">
        <f t="shared" si="3"/>
        <v/>
      </c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</row>
    <row r="821" ht="15.75" customHeight="1">
      <c r="A821" s="68" t="s">
        <v>2896</v>
      </c>
      <c r="B821" s="69"/>
      <c r="C821" s="72">
        <f t="shared" si="4"/>
        <v>33928321.94</v>
      </c>
      <c r="D821" s="71">
        <v>0.01</v>
      </c>
      <c r="E821" s="72">
        <f t="shared" si="1"/>
        <v>339283.2194</v>
      </c>
      <c r="F821" s="72">
        <f t="shared" si="2"/>
        <v>34267605.16</v>
      </c>
      <c r="G821" s="79" t="str">
        <f t="shared" si="5"/>
        <v/>
      </c>
      <c r="H821" s="81"/>
      <c r="I821" s="75" t="str">
        <f t="shared" si="6"/>
        <v/>
      </c>
      <c r="J821" s="80">
        <f t="shared" si="7"/>
        <v>34257605.16</v>
      </c>
      <c r="K821" s="77" t="str">
        <f t="shared" si="3"/>
        <v/>
      </c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</row>
    <row r="822" ht="15.75" customHeight="1">
      <c r="A822" s="68" t="s">
        <v>2897</v>
      </c>
      <c r="B822" s="69"/>
      <c r="C822" s="72">
        <f t="shared" si="4"/>
        <v>34267605.16</v>
      </c>
      <c r="D822" s="71">
        <v>0.01</v>
      </c>
      <c r="E822" s="72">
        <f t="shared" si="1"/>
        <v>342676.0516</v>
      </c>
      <c r="F822" s="72">
        <f t="shared" si="2"/>
        <v>34610281.21</v>
      </c>
      <c r="G822" s="79" t="str">
        <f t="shared" si="5"/>
        <v/>
      </c>
      <c r="H822" s="81"/>
      <c r="I822" s="75" t="str">
        <f t="shared" si="6"/>
        <v/>
      </c>
      <c r="J822" s="80">
        <f t="shared" si="7"/>
        <v>34600281.21</v>
      </c>
      <c r="K822" s="77" t="str">
        <f t="shared" si="3"/>
        <v/>
      </c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</row>
    <row r="823" ht="15.75" customHeight="1">
      <c r="A823" s="68" t="s">
        <v>2898</v>
      </c>
      <c r="B823" s="69"/>
      <c r="C823" s="72">
        <f t="shared" si="4"/>
        <v>34610281.21</v>
      </c>
      <c r="D823" s="71">
        <v>0.01</v>
      </c>
      <c r="E823" s="72">
        <f t="shared" si="1"/>
        <v>346102.8121</v>
      </c>
      <c r="F823" s="72">
        <f t="shared" si="2"/>
        <v>34956384.02</v>
      </c>
      <c r="G823" s="79" t="str">
        <f t="shared" si="5"/>
        <v/>
      </c>
      <c r="H823" s="81"/>
      <c r="I823" s="75" t="str">
        <f t="shared" si="6"/>
        <v/>
      </c>
      <c r="J823" s="80">
        <f t="shared" si="7"/>
        <v>34946384.02</v>
      </c>
      <c r="K823" s="77" t="str">
        <f t="shared" si="3"/>
        <v/>
      </c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</row>
    <row r="824" ht="15.75" customHeight="1">
      <c r="A824" s="68" t="s">
        <v>2899</v>
      </c>
      <c r="B824" s="69"/>
      <c r="C824" s="72">
        <f t="shared" si="4"/>
        <v>34956384.02</v>
      </c>
      <c r="D824" s="71">
        <v>0.01</v>
      </c>
      <c r="E824" s="72">
        <f t="shared" si="1"/>
        <v>349563.8402</v>
      </c>
      <c r="F824" s="72">
        <f t="shared" si="2"/>
        <v>35305947.86</v>
      </c>
      <c r="G824" s="79" t="str">
        <f t="shared" si="5"/>
        <v/>
      </c>
      <c r="H824" s="81"/>
      <c r="I824" s="75" t="str">
        <f t="shared" si="6"/>
        <v/>
      </c>
      <c r="J824" s="80">
        <f t="shared" si="7"/>
        <v>35295947.86</v>
      </c>
      <c r="K824" s="77" t="str">
        <f t="shared" si="3"/>
        <v/>
      </c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</row>
    <row r="825" ht="15.75" customHeight="1">
      <c r="A825" s="68" t="s">
        <v>2900</v>
      </c>
      <c r="B825" s="69"/>
      <c r="C825" s="72">
        <f t="shared" si="4"/>
        <v>35305947.86</v>
      </c>
      <c r="D825" s="71">
        <v>0.01</v>
      </c>
      <c r="E825" s="72">
        <f t="shared" si="1"/>
        <v>353059.4786</v>
      </c>
      <c r="F825" s="72">
        <f t="shared" si="2"/>
        <v>35659007.34</v>
      </c>
      <c r="G825" s="79" t="str">
        <f t="shared" si="5"/>
        <v/>
      </c>
      <c r="H825" s="81"/>
      <c r="I825" s="75" t="str">
        <f t="shared" si="6"/>
        <v/>
      </c>
      <c r="J825" s="80">
        <f t="shared" si="7"/>
        <v>35649007.34</v>
      </c>
      <c r="K825" s="77" t="str">
        <f t="shared" si="3"/>
        <v/>
      </c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</row>
    <row r="826" ht="15.75" customHeight="1">
      <c r="A826" s="68" t="s">
        <v>2901</v>
      </c>
      <c r="B826" s="69"/>
      <c r="C826" s="72">
        <f t="shared" si="4"/>
        <v>35659007.34</v>
      </c>
      <c r="D826" s="71">
        <v>0.01</v>
      </c>
      <c r="E826" s="72">
        <f t="shared" si="1"/>
        <v>356590.0734</v>
      </c>
      <c r="F826" s="72">
        <f t="shared" si="2"/>
        <v>36015597.42</v>
      </c>
      <c r="G826" s="79" t="str">
        <f t="shared" si="5"/>
        <v/>
      </c>
      <c r="H826" s="81"/>
      <c r="I826" s="75" t="str">
        <f t="shared" si="6"/>
        <v/>
      </c>
      <c r="J826" s="80">
        <f t="shared" si="7"/>
        <v>36005597.42</v>
      </c>
      <c r="K826" s="77" t="str">
        <f t="shared" si="3"/>
        <v/>
      </c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</row>
    <row r="827" ht="15.75" customHeight="1">
      <c r="A827" s="68" t="s">
        <v>2902</v>
      </c>
      <c r="B827" s="69"/>
      <c r="C827" s="72">
        <f t="shared" si="4"/>
        <v>36015597.42</v>
      </c>
      <c r="D827" s="71">
        <v>0.01</v>
      </c>
      <c r="E827" s="72">
        <f t="shared" si="1"/>
        <v>360155.9742</v>
      </c>
      <c r="F827" s="72">
        <f t="shared" si="2"/>
        <v>36375753.39</v>
      </c>
      <c r="G827" s="79" t="str">
        <f t="shared" si="5"/>
        <v/>
      </c>
      <c r="H827" s="81"/>
      <c r="I827" s="75" t="str">
        <f t="shared" si="6"/>
        <v/>
      </c>
      <c r="J827" s="80">
        <f t="shared" si="7"/>
        <v>36365753.39</v>
      </c>
      <c r="K827" s="77" t="str">
        <f t="shared" si="3"/>
        <v/>
      </c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</row>
    <row r="828" ht="15.75" customHeight="1">
      <c r="A828" s="68" t="s">
        <v>2903</v>
      </c>
      <c r="B828" s="69"/>
      <c r="C828" s="72">
        <f t="shared" si="4"/>
        <v>36375753.39</v>
      </c>
      <c r="D828" s="71">
        <v>0.01</v>
      </c>
      <c r="E828" s="72">
        <f t="shared" si="1"/>
        <v>363757.5339</v>
      </c>
      <c r="F828" s="72">
        <f t="shared" si="2"/>
        <v>36739510.92</v>
      </c>
      <c r="G828" s="79" t="str">
        <f t="shared" si="5"/>
        <v/>
      </c>
      <c r="H828" s="81"/>
      <c r="I828" s="75" t="str">
        <f t="shared" si="6"/>
        <v/>
      </c>
      <c r="J828" s="80">
        <f t="shared" si="7"/>
        <v>36729510.92</v>
      </c>
      <c r="K828" s="77" t="str">
        <f t="shared" si="3"/>
        <v/>
      </c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</row>
    <row r="829" ht="15.75" customHeight="1">
      <c r="A829" s="68" t="s">
        <v>2904</v>
      </c>
      <c r="B829" s="69"/>
      <c r="C829" s="72">
        <f t="shared" si="4"/>
        <v>36739510.92</v>
      </c>
      <c r="D829" s="71">
        <v>0.01</v>
      </c>
      <c r="E829" s="72">
        <f t="shared" si="1"/>
        <v>367395.1092</v>
      </c>
      <c r="F829" s="72">
        <f t="shared" si="2"/>
        <v>37106906.03</v>
      </c>
      <c r="G829" s="79" t="str">
        <f t="shared" si="5"/>
        <v/>
      </c>
      <c r="H829" s="81"/>
      <c r="I829" s="75" t="str">
        <f t="shared" si="6"/>
        <v/>
      </c>
      <c r="J829" s="80">
        <f t="shared" si="7"/>
        <v>37096906.03</v>
      </c>
      <c r="K829" s="77" t="str">
        <f t="shared" si="3"/>
        <v/>
      </c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</row>
    <row r="830" ht="15.75" customHeight="1">
      <c r="A830" s="68" t="s">
        <v>2905</v>
      </c>
      <c r="B830" s="69"/>
      <c r="C830" s="72">
        <f t="shared" si="4"/>
        <v>37106906.03</v>
      </c>
      <c r="D830" s="71">
        <v>0.01</v>
      </c>
      <c r="E830" s="72">
        <f t="shared" si="1"/>
        <v>371069.0603</v>
      </c>
      <c r="F830" s="72">
        <f t="shared" si="2"/>
        <v>37477975.09</v>
      </c>
      <c r="G830" s="79" t="str">
        <f t="shared" si="5"/>
        <v/>
      </c>
      <c r="H830" s="81"/>
      <c r="I830" s="75" t="str">
        <f t="shared" si="6"/>
        <v/>
      </c>
      <c r="J830" s="80">
        <f t="shared" si="7"/>
        <v>37467975.09</v>
      </c>
      <c r="K830" s="77" t="str">
        <f t="shared" si="3"/>
        <v/>
      </c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</row>
    <row r="831" ht="15.75" customHeight="1">
      <c r="A831" s="68" t="s">
        <v>2906</v>
      </c>
      <c r="B831" s="69"/>
      <c r="C831" s="72">
        <f t="shared" si="4"/>
        <v>37477975.09</v>
      </c>
      <c r="D831" s="71">
        <v>0.01</v>
      </c>
      <c r="E831" s="72">
        <f t="shared" si="1"/>
        <v>374779.7509</v>
      </c>
      <c r="F831" s="72">
        <f t="shared" si="2"/>
        <v>37852754.84</v>
      </c>
      <c r="G831" s="79" t="str">
        <f t="shared" si="5"/>
        <v/>
      </c>
      <c r="H831" s="81"/>
      <c r="I831" s="75" t="str">
        <f t="shared" si="6"/>
        <v/>
      </c>
      <c r="J831" s="80">
        <f t="shared" si="7"/>
        <v>37842754.84</v>
      </c>
      <c r="K831" s="77" t="str">
        <f t="shared" si="3"/>
        <v/>
      </c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</row>
    <row r="832" ht="15.75" customHeight="1">
      <c r="A832" s="68" t="s">
        <v>2907</v>
      </c>
      <c r="B832" s="69"/>
      <c r="C832" s="72">
        <f t="shared" si="4"/>
        <v>37852754.84</v>
      </c>
      <c r="D832" s="71">
        <v>0.01</v>
      </c>
      <c r="E832" s="72">
        <f t="shared" si="1"/>
        <v>378527.5484</v>
      </c>
      <c r="F832" s="72">
        <f t="shared" si="2"/>
        <v>38231282.39</v>
      </c>
      <c r="G832" s="79" t="str">
        <f t="shared" si="5"/>
        <v/>
      </c>
      <c r="H832" s="81"/>
      <c r="I832" s="75" t="str">
        <f t="shared" si="6"/>
        <v/>
      </c>
      <c r="J832" s="80">
        <f t="shared" si="7"/>
        <v>38221282.39</v>
      </c>
      <c r="K832" s="77" t="str">
        <f t="shared" si="3"/>
        <v/>
      </c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</row>
    <row r="833" ht="15.75" customHeight="1">
      <c r="A833" s="68" t="s">
        <v>2908</v>
      </c>
      <c r="B833" s="69"/>
      <c r="C833" s="72">
        <f t="shared" si="4"/>
        <v>38231282.39</v>
      </c>
      <c r="D833" s="71">
        <v>0.01</v>
      </c>
      <c r="E833" s="72">
        <f t="shared" si="1"/>
        <v>382312.8239</v>
      </c>
      <c r="F833" s="72">
        <f t="shared" si="2"/>
        <v>38613595.22</v>
      </c>
      <c r="G833" s="79" t="str">
        <f t="shared" si="5"/>
        <v/>
      </c>
      <c r="H833" s="81"/>
      <c r="I833" s="75" t="str">
        <f t="shared" si="6"/>
        <v/>
      </c>
      <c r="J833" s="80">
        <f t="shared" si="7"/>
        <v>38603595.22</v>
      </c>
      <c r="K833" s="77" t="str">
        <f t="shared" si="3"/>
        <v/>
      </c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</row>
    <row r="834" ht="15.75" customHeight="1">
      <c r="A834" s="68" t="s">
        <v>2909</v>
      </c>
      <c r="B834" s="69"/>
      <c r="C834" s="72">
        <f t="shared" si="4"/>
        <v>38613595.22</v>
      </c>
      <c r="D834" s="71">
        <v>0.01</v>
      </c>
      <c r="E834" s="72">
        <f t="shared" si="1"/>
        <v>386135.9522</v>
      </c>
      <c r="F834" s="72">
        <f t="shared" si="2"/>
        <v>38999731.17</v>
      </c>
      <c r="G834" s="79" t="str">
        <f t="shared" si="5"/>
        <v/>
      </c>
      <c r="H834" s="81"/>
      <c r="I834" s="75" t="str">
        <f t="shared" si="6"/>
        <v/>
      </c>
      <c r="J834" s="80">
        <f t="shared" si="7"/>
        <v>38989731.17</v>
      </c>
      <c r="K834" s="77" t="str">
        <f t="shared" si="3"/>
        <v/>
      </c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</row>
    <row r="835" ht="15.75" customHeight="1">
      <c r="A835" s="68" t="s">
        <v>2910</v>
      </c>
      <c r="B835" s="69"/>
      <c r="C835" s="72">
        <f t="shared" si="4"/>
        <v>38999731.17</v>
      </c>
      <c r="D835" s="71">
        <v>0.01</v>
      </c>
      <c r="E835" s="72">
        <f t="shared" si="1"/>
        <v>389997.3117</v>
      </c>
      <c r="F835" s="72">
        <f t="shared" si="2"/>
        <v>39389728.48</v>
      </c>
      <c r="G835" s="79" t="str">
        <f t="shared" si="5"/>
        <v/>
      </c>
      <c r="H835" s="81"/>
      <c r="I835" s="75" t="str">
        <f t="shared" si="6"/>
        <v/>
      </c>
      <c r="J835" s="80">
        <f t="shared" si="7"/>
        <v>39379728.48</v>
      </c>
      <c r="K835" s="77" t="str">
        <f t="shared" si="3"/>
        <v/>
      </c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</row>
    <row r="836" ht="15.75" customHeight="1">
      <c r="A836" s="68" t="s">
        <v>2911</v>
      </c>
      <c r="B836" s="69"/>
      <c r="C836" s="72">
        <f t="shared" si="4"/>
        <v>39389728.48</v>
      </c>
      <c r="D836" s="71">
        <v>0.01</v>
      </c>
      <c r="E836" s="72">
        <f t="shared" si="1"/>
        <v>393897.2848</v>
      </c>
      <c r="F836" s="72">
        <f t="shared" si="2"/>
        <v>39783625.77</v>
      </c>
      <c r="G836" s="79" t="str">
        <f t="shared" si="5"/>
        <v/>
      </c>
      <c r="H836" s="81"/>
      <c r="I836" s="75" t="str">
        <f t="shared" si="6"/>
        <v/>
      </c>
      <c r="J836" s="80">
        <f t="shared" si="7"/>
        <v>39773625.77</v>
      </c>
      <c r="K836" s="77" t="str">
        <f t="shared" si="3"/>
        <v/>
      </c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</row>
    <row r="837" ht="15.75" customHeight="1">
      <c r="A837" s="68" t="s">
        <v>2912</v>
      </c>
      <c r="B837" s="69"/>
      <c r="C837" s="72">
        <f t="shared" si="4"/>
        <v>39783625.77</v>
      </c>
      <c r="D837" s="71">
        <v>0.01</v>
      </c>
      <c r="E837" s="72">
        <f t="shared" si="1"/>
        <v>397836.2577</v>
      </c>
      <c r="F837" s="72">
        <f t="shared" si="2"/>
        <v>40181462.02</v>
      </c>
      <c r="G837" s="79" t="str">
        <f t="shared" si="5"/>
        <v/>
      </c>
      <c r="H837" s="81"/>
      <c r="I837" s="75" t="str">
        <f t="shared" si="6"/>
        <v/>
      </c>
      <c r="J837" s="80">
        <f t="shared" si="7"/>
        <v>40171462.02</v>
      </c>
      <c r="K837" s="77" t="str">
        <f t="shared" si="3"/>
        <v/>
      </c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</row>
    <row r="838" ht="15.75" customHeight="1">
      <c r="A838" s="68" t="s">
        <v>2913</v>
      </c>
      <c r="B838" s="69"/>
      <c r="C838" s="72">
        <f t="shared" si="4"/>
        <v>40181462.02</v>
      </c>
      <c r="D838" s="71">
        <v>0.01</v>
      </c>
      <c r="E838" s="72">
        <f t="shared" si="1"/>
        <v>401814.6202</v>
      </c>
      <c r="F838" s="72">
        <f t="shared" si="2"/>
        <v>40583276.64</v>
      </c>
      <c r="G838" s="79" t="str">
        <f t="shared" si="5"/>
        <v/>
      </c>
      <c r="H838" s="81"/>
      <c r="I838" s="75" t="str">
        <f t="shared" si="6"/>
        <v/>
      </c>
      <c r="J838" s="80">
        <f t="shared" si="7"/>
        <v>40573276.64</v>
      </c>
      <c r="K838" s="77" t="str">
        <f t="shared" si="3"/>
        <v/>
      </c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</row>
    <row r="839" ht="15.75" customHeight="1">
      <c r="A839" s="68" t="s">
        <v>2914</v>
      </c>
      <c r="B839" s="69"/>
      <c r="C839" s="72">
        <f t="shared" si="4"/>
        <v>40583276.64</v>
      </c>
      <c r="D839" s="71">
        <v>0.01</v>
      </c>
      <c r="E839" s="72">
        <f t="shared" si="1"/>
        <v>405832.7664</v>
      </c>
      <c r="F839" s="72">
        <f t="shared" si="2"/>
        <v>40989109.41</v>
      </c>
      <c r="G839" s="79" t="str">
        <f t="shared" si="5"/>
        <v/>
      </c>
      <c r="H839" s="81"/>
      <c r="I839" s="75" t="str">
        <f t="shared" si="6"/>
        <v/>
      </c>
      <c r="J839" s="80">
        <f t="shared" si="7"/>
        <v>40979109.41</v>
      </c>
      <c r="K839" s="77" t="str">
        <f t="shared" si="3"/>
        <v/>
      </c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</row>
    <row r="840" ht="15.75" customHeight="1">
      <c r="A840" s="68" t="s">
        <v>2915</v>
      </c>
      <c r="B840" s="69"/>
      <c r="C840" s="72">
        <f t="shared" si="4"/>
        <v>40989109.41</v>
      </c>
      <c r="D840" s="71">
        <v>0.01</v>
      </c>
      <c r="E840" s="72">
        <f t="shared" si="1"/>
        <v>409891.0941</v>
      </c>
      <c r="F840" s="72">
        <f t="shared" si="2"/>
        <v>41399000.5</v>
      </c>
      <c r="G840" s="79" t="str">
        <f t="shared" si="5"/>
        <v/>
      </c>
      <c r="H840" s="81"/>
      <c r="I840" s="75" t="str">
        <f t="shared" si="6"/>
        <v/>
      </c>
      <c r="J840" s="80">
        <f t="shared" si="7"/>
        <v>41389000.5</v>
      </c>
      <c r="K840" s="77" t="str">
        <f t="shared" si="3"/>
        <v/>
      </c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</row>
    <row r="841" ht="15.75" customHeight="1">
      <c r="A841" s="68" t="s">
        <v>2916</v>
      </c>
      <c r="B841" s="69"/>
      <c r="C841" s="72">
        <f t="shared" si="4"/>
        <v>41399000.5</v>
      </c>
      <c r="D841" s="71">
        <v>0.01</v>
      </c>
      <c r="E841" s="72">
        <f t="shared" si="1"/>
        <v>413990.005</v>
      </c>
      <c r="F841" s="72">
        <f t="shared" si="2"/>
        <v>41812990.51</v>
      </c>
      <c r="G841" s="79" t="str">
        <f t="shared" si="5"/>
        <v/>
      </c>
      <c r="H841" s="81"/>
      <c r="I841" s="75" t="str">
        <f t="shared" si="6"/>
        <v/>
      </c>
      <c r="J841" s="80">
        <f t="shared" si="7"/>
        <v>41802990.51</v>
      </c>
      <c r="K841" s="77" t="str">
        <f t="shared" si="3"/>
        <v/>
      </c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</row>
    <row r="842" ht="15.75" customHeight="1">
      <c r="A842" s="68" t="s">
        <v>2917</v>
      </c>
      <c r="B842" s="69"/>
      <c r="C842" s="72">
        <f t="shared" si="4"/>
        <v>41812990.51</v>
      </c>
      <c r="D842" s="71">
        <v>0.01</v>
      </c>
      <c r="E842" s="72">
        <f t="shared" si="1"/>
        <v>418129.9051</v>
      </c>
      <c r="F842" s="72">
        <f t="shared" si="2"/>
        <v>42231120.41</v>
      </c>
      <c r="G842" s="79" t="str">
        <f t="shared" si="5"/>
        <v/>
      </c>
      <c r="H842" s="81"/>
      <c r="I842" s="75" t="str">
        <f t="shared" si="6"/>
        <v/>
      </c>
      <c r="J842" s="80">
        <f t="shared" si="7"/>
        <v>42221120.41</v>
      </c>
      <c r="K842" s="77" t="str">
        <f t="shared" si="3"/>
        <v/>
      </c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</row>
    <row r="843" ht="15.75" customHeight="1">
      <c r="A843" s="68" t="s">
        <v>2918</v>
      </c>
      <c r="B843" s="69"/>
      <c r="C843" s="72">
        <f t="shared" si="4"/>
        <v>42231120.41</v>
      </c>
      <c r="D843" s="71">
        <v>0.01</v>
      </c>
      <c r="E843" s="72">
        <f t="shared" si="1"/>
        <v>422311.2041</v>
      </c>
      <c r="F843" s="72">
        <f t="shared" si="2"/>
        <v>42653431.62</v>
      </c>
      <c r="G843" s="79" t="str">
        <f t="shared" si="5"/>
        <v/>
      </c>
      <c r="H843" s="81"/>
      <c r="I843" s="75" t="str">
        <f t="shared" si="6"/>
        <v/>
      </c>
      <c r="J843" s="80">
        <f t="shared" si="7"/>
        <v>42643431.62</v>
      </c>
      <c r="K843" s="77" t="str">
        <f t="shared" si="3"/>
        <v/>
      </c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</row>
    <row r="844" ht="15.75" customHeight="1">
      <c r="A844" s="68" t="s">
        <v>2919</v>
      </c>
      <c r="B844" s="69"/>
      <c r="C844" s="72">
        <f t="shared" si="4"/>
        <v>42653431.62</v>
      </c>
      <c r="D844" s="71">
        <v>0.01</v>
      </c>
      <c r="E844" s="72">
        <f t="shared" si="1"/>
        <v>426534.3162</v>
      </c>
      <c r="F844" s="72">
        <f t="shared" si="2"/>
        <v>43079965.93</v>
      </c>
      <c r="G844" s="79" t="str">
        <f t="shared" si="5"/>
        <v/>
      </c>
      <c r="H844" s="81"/>
      <c r="I844" s="75" t="str">
        <f t="shared" si="6"/>
        <v/>
      </c>
      <c r="J844" s="80">
        <f t="shared" si="7"/>
        <v>43069965.93</v>
      </c>
      <c r="K844" s="77" t="str">
        <f t="shared" si="3"/>
        <v/>
      </c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</row>
    <row r="845" ht="15.75" customHeight="1">
      <c r="A845" s="68" t="s">
        <v>2920</v>
      </c>
      <c r="B845" s="69"/>
      <c r="C845" s="72">
        <f t="shared" si="4"/>
        <v>43079965.93</v>
      </c>
      <c r="D845" s="71">
        <v>0.01</v>
      </c>
      <c r="E845" s="72">
        <f t="shared" si="1"/>
        <v>430799.6593</v>
      </c>
      <c r="F845" s="72">
        <f t="shared" si="2"/>
        <v>43510765.59</v>
      </c>
      <c r="G845" s="79" t="str">
        <f t="shared" si="5"/>
        <v/>
      </c>
      <c r="H845" s="81"/>
      <c r="I845" s="75" t="str">
        <f t="shared" si="6"/>
        <v/>
      </c>
      <c r="J845" s="80">
        <f t="shared" si="7"/>
        <v>43500765.59</v>
      </c>
      <c r="K845" s="77" t="str">
        <f t="shared" si="3"/>
        <v/>
      </c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</row>
    <row r="846" ht="15.75" customHeight="1">
      <c r="A846" s="68" t="s">
        <v>2921</v>
      </c>
      <c r="B846" s="69"/>
      <c r="C846" s="72">
        <f t="shared" si="4"/>
        <v>43510765.59</v>
      </c>
      <c r="D846" s="71">
        <v>0.01</v>
      </c>
      <c r="E846" s="72">
        <f t="shared" si="1"/>
        <v>435107.6559</v>
      </c>
      <c r="F846" s="72">
        <f t="shared" si="2"/>
        <v>43945873.25</v>
      </c>
      <c r="G846" s="79" t="str">
        <f t="shared" si="5"/>
        <v/>
      </c>
      <c r="H846" s="81"/>
      <c r="I846" s="75" t="str">
        <f t="shared" si="6"/>
        <v/>
      </c>
      <c r="J846" s="80">
        <f t="shared" si="7"/>
        <v>43935873.25</v>
      </c>
      <c r="K846" s="77" t="str">
        <f t="shared" si="3"/>
        <v/>
      </c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</row>
    <row r="847" ht="15.75" customHeight="1">
      <c r="A847" s="68" t="s">
        <v>2922</v>
      </c>
      <c r="B847" s="69"/>
      <c r="C847" s="72">
        <f t="shared" si="4"/>
        <v>43945873.25</v>
      </c>
      <c r="D847" s="71">
        <v>0.01</v>
      </c>
      <c r="E847" s="72">
        <f t="shared" si="1"/>
        <v>439458.7325</v>
      </c>
      <c r="F847" s="72">
        <f t="shared" si="2"/>
        <v>44385331.98</v>
      </c>
      <c r="G847" s="79" t="str">
        <f t="shared" si="5"/>
        <v/>
      </c>
      <c r="H847" s="81"/>
      <c r="I847" s="75" t="str">
        <f t="shared" si="6"/>
        <v/>
      </c>
      <c r="J847" s="80">
        <f t="shared" si="7"/>
        <v>44375331.98</v>
      </c>
      <c r="K847" s="77" t="str">
        <f t="shared" si="3"/>
        <v/>
      </c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</row>
    <row r="848" ht="15.75" customHeight="1">
      <c r="A848" s="68" t="s">
        <v>2923</v>
      </c>
      <c r="B848" s="69"/>
      <c r="C848" s="72">
        <f t="shared" si="4"/>
        <v>44385331.98</v>
      </c>
      <c r="D848" s="71">
        <v>0.01</v>
      </c>
      <c r="E848" s="72">
        <f t="shared" si="1"/>
        <v>443853.3198</v>
      </c>
      <c r="F848" s="72">
        <f t="shared" si="2"/>
        <v>44829185.3</v>
      </c>
      <c r="G848" s="79" t="str">
        <f t="shared" si="5"/>
        <v/>
      </c>
      <c r="H848" s="81"/>
      <c r="I848" s="75" t="str">
        <f t="shared" si="6"/>
        <v/>
      </c>
      <c r="J848" s="80">
        <f t="shared" si="7"/>
        <v>44819185.3</v>
      </c>
      <c r="K848" s="77" t="str">
        <f t="shared" si="3"/>
        <v/>
      </c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</row>
    <row r="849" ht="15.75" customHeight="1">
      <c r="A849" s="68" t="s">
        <v>2924</v>
      </c>
      <c r="B849" s="69"/>
      <c r="C849" s="72">
        <f t="shared" si="4"/>
        <v>44829185.3</v>
      </c>
      <c r="D849" s="71">
        <v>0.01</v>
      </c>
      <c r="E849" s="72">
        <f t="shared" si="1"/>
        <v>448291.853</v>
      </c>
      <c r="F849" s="72">
        <f t="shared" si="2"/>
        <v>45277477.15</v>
      </c>
      <c r="G849" s="79" t="str">
        <f t="shared" si="5"/>
        <v/>
      </c>
      <c r="H849" s="81"/>
      <c r="I849" s="75" t="str">
        <f t="shared" si="6"/>
        <v/>
      </c>
      <c r="J849" s="80">
        <f t="shared" si="7"/>
        <v>45267477.15</v>
      </c>
      <c r="K849" s="77" t="str">
        <f t="shared" si="3"/>
        <v/>
      </c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</row>
    <row r="850" ht="15.75" customHeight="1">
      <c r="A850" s="68" t="s">
        <v>2925</v>
      </c>
      <c r="B850" s="69"/>
      <c r="C850" s="72">
        <f t="shared" si="4"/>
        <v>45277477.15</v>
      </c>
      <c r="D850" s="71">
        <v>0.01</v>
      </c>
      <c r="E850" s="72">
        <f t="shared" si="1"/>
        <v>452774.7715</v>
      </c>
      <c r="F850" s="72">
        <f t="shared" si="2"/>
        <v>45730251.93</v>
      </c>
      <c r="G850" s="79" t="str">
        <f t="shared" si="5"/>
        <v/>
      </c>
      <c r="H850" s="81"/>
      <c r="I850" s="75" t="str">
        <f t="shared" si="6"/>
        <v/>
      </c>
      <c r="J850" s="80">
        <f t="shared" si="7"/>
        <v>45720251.93</v>
      </c>
      <c r="K850" s="77" t="str">
        <f t="shared" si="3"/>
        <v/>
      </c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</row>
    <row r="851" ht="15.75" customHeight="1">
      <c r="A851" s="68" t="s">
        <v>2926</v>
      </c>
      <c r="B851" s="69"/>
      <c r="C851" s="72">
        <f t="shared" si="4"/>
        <v>45730251.93</v>
      </c>
      <c r="D851" s="71">
        <v>0.01</v>
      </c>
      <c r="E851" s="72">
        <f t="shared" si="1"/>
        <v>457302.5193</v>
      </c>
      <c r="F851" s="72">
        <f t="shared" si="2"/>
        <v>46187554.45</v>
      </c>
      <c r="G851" s="79" t="str">
        <f t="shared" si="5"/>
        <v/>
      </c>
      <c r="H851" s="81"/>
      <c r="I851" s="75" t="str">
        <f t="shared" si="6"/>
        <v/>
      </c>
      <c r="J851" s="80">
        <f t="shared" si="7"/>
        <v>46177554.45</v>
      </c>
      <c r="K851" s="77" t="str">
        <f t="shared" si="3"/>
        <v/>
      </c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</row>
    <row r="852" ht="15.75" customHeight="1">
      <c r="A852" s="68" t="s">
        <v>2927</v>
      </c>
      <c r="B852" s="69"/>
      <c r="C852" s="72">
        <f t="shared" si="4"/>
        <v>46187554.45</v>
      </c>
      <c r="D852" s="71">
        <v>0.01</v>
      </c>
      <c r="E852" s="72">
        <f t="shared" si="1"/>
        <v>461875.5445</v>
      </c>
      <c r="F852" s="72">
        <f t="shared" si="2"/>
        <v>46649429.99</v>
      </c>
      <c r="G852" s="79" t="str">
        <f t="shared" si="5"/>
        <v/>
      </c>
      <c r="H852" s="81"/>
      <c r="I852" s="75" t="str">
        <f t="shared" si="6"/>
        <v/>
      </c>
      <c r="J852" s="80">
        <f t="shared" si="7"/>
        <v>46639429.99</v>
      </c>
      <c r="K852" s="77" t="str">
        <f t="shared" si="3"/>
        <v/>
      </c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</row>
    <row r="853" ht="15.75" customHeight="1">
      <c r="A853" s="68" t="s">
        <v>2928</v>
      </c>
      <c r="B853" s="69"/>
      <c r="C853" s="72">
        <f t="shared" si="4"/>
        <v>46649429.99</v>
      </c>
      <c r="D853" s="71">
        <v>0.01</v>
      </c>
      <c r="E853" s="72">
        <f t="shared" si="1"/>
        <v>466494.2999</v>
      </c>
      <c r="F853" s="72">
        <f t="shared" si="2"/>
        <v>47115924.29</v>
      </c>
      <c r="G853" s="79" t="str">
        <f t="shared" si="5"/>
        <v/>
      </c>
      <c r="H853" s="81"/>
      <c r="I853" s="75" t="str">
        <f t="shared" si="6"/>
        <v/>
      </c>
      <c r="J853" s="80">
        <f t="shared" si="7"/>
        <v>47105924.29</v>
      </c>
      <c r="K853" s="77" t="str">
        <f t="shared" si="3"/>
        <v/>
      </c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</row>
    <row r="854" ht="15.75" customHeight="1">
      <c r="A854" s="68" t="s">
        <v>2929</v>
      </c>
      <c r="B854" s="69"/>
      <c r="C854" s="72">
        <f t="shared" si="4"/>
        <v>47115924.29</v>
      </c>
      <c r="D854" s="71">
        <v>0.01</v>
      </c>
      <c r="E854" s="72">
        <f t="shared" si="1"/>
        <v>471159.2429</v>
      </c>
      <c r="F854" s="72">
        <f t="shared" si="2"/>
        <v>47587083.53</v>
      </c>
      <c r="G854" s="79" t="str">
        <f t="shared" si="5"/>
        <v/>
      </c>
      <c r="H854" s="81"/>
      <c r="I854" s="75" t="str">
        <f t="shared" si="6"/>
        <v/>
      </c>
      <c r="J854" s="80">
        <f t="shared" si="7"/>
        <v>47577083.53</v>
      </c>
      <c r="K854" s="77" t="str">
        <f t="shared" si="3"/>
        <v/>
      </c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</row>
    <row r="855" ht="15.75" customHeight="1">
      <c r="A855" s="68" t="s">
        <v>2930</v>
      </c>
      <c r="B855" s="69"/>
      <c r="C855" s="72">
        <f t="shared" si="4"/>
        <v>47587083.53</v>
      </c>
      <c r="D855" s="71">
        <v>0.01</v>
      </c>
      <c r="E855" s="72">
        <f t="shared" si="1"/>
        <v>475870.8353</v>
      </c>
      <c r="F855" s="72">
        <f t="shared" si="2"/>
        <v>48062954.37</v>
      </c>
      <c r="G855" s="79" t="str">
        <f t="shared" si="5"/>
        <v/>
      </c>
      <c r="H855" s="81"/>
      <c r="I855" s="75" t="str">
        <f t="shared" si="6"/>
        <v/>
      </c>
      <c r="J855" s="80">
        <f t="shared" si="7"/>
        <v>48052954.37</v>
      </c>
      <c r="K855" s="77" t="str">
        <f t="shared" si="3"/>
        <v/>
      </c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</row>
    <row r="856" ht="15.75" customHeight="1">
      <c r="A856" s="68" t="s">
        <v>2931</v>
      </c>
      <c r="B856" s="69"/>
      <c r="C856" s="72">
        <f t="shared" si="4"/>
        <v>48062954.37</v>
      </c>
      <c r="D856" s="71">
        <v>0.01</v>
      </c>
      <c r="E856" s="72">
        <f t="shared" si="1"/>
        <v>480629.5437</v>
      </c>
      <c r="F856" s="72">
        <f t="shared" si="2"/>
        <v>48543583.91</v>
      </c>
      <c r="G856" s="79" t="str">
        <f t="shared" si="5"/>
        <v/>
      </c>
      <c r="H856" s="81"/>
      <c r="I856" s="75" t="str">
        <f t="shared" si="6"/>
        <v/>
      </c>
      <c r="J856" s="80">
        <f t="shared" si="7"/>
        <v>48533583.91</v>
      </c>
      <c r="K856" s="77" t="str">
        <f t="shared" si="3"/>
        <v/>
      </c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</row>
    <row r="857" ht="15.75" customHeight="1">
      <c r="A857" s="68" t="s">
        <v>2932</v>
      </c>
      <c r="B857" s="69"/>
      <c r="C857" s="72">
        <f t="shared" si="4"/>
        <v>48543583.91</v>
      </c>
      <c r="D857" s="71">
        <v>0.01</v>
      </c>
      <c r="E857" s="72">
        <f t="shared" si="1"/>
        <v>485435.8391</v>
      </c>
      <c r="F857" s="72">
        <f t="shared" si="2"/>
        <v>49029019.75</v>
      </c>
      <c r="G857" s="79" t="str">
        <f t="shared" si="5"/>
        <v/>
      </c>
      <c r="H857" s="81"/>
      <c r="I857" s="75" t="str">
        <f t="shared" si="6"/>
        <v/>
      </c>
      <c r="J857" s="80">
        <f t="shared" si="7"/>
        <v>49019019.75</v>
      </c>
      <c r="K857" s="77" t="str">
        <f t="shared" si="3"/>
        <v/>
      </c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</row>
    <row r="858" ht="15.75" customHeight="1">
      <c r="A858" s="68" t="s">
        <v>2933</v>
      </c>
      <c r="B858" s="69"/>
      <c r="C858" s="72">
        <f t="shared" si="4"/>
        <v>49029019.75</v>
      </c>
      <c r="D858" s="71">
        <v>0.01</v>
      </c>
      <c r="E858" s="72">
        <f t="shared" si="1"/>
        <v>490290.1975</v>
      </c>
      <c r="F858" s="72">
        <f t="shared" si="2"/>
        <v>49519309.95</v>
      </c>
      <c r="G858" s="79" t="str">
        <f t="shared" si="5"/>
        <v/>
      </c>
      <c r="H858" s="81"/>
      <c r="I858" s="75" t="str">
        <f t="shared" si="6"/>
        <v/>
      </c>
      <c r="J858" s="80">
        <f t="shared" si="7"/>
        <v>49509309.95</v>
      </c>
      <c r="K858" s="77" t="str">
        <f t="shared" si="3"/>
        <v/>
      </c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</row>
    <row r="859" ht="15.75" customHeight="1">
      <c r="A859" s="68" t="s">
        <v>2934</v>
      </c>
      <c r="B859" s="69"/>
      <c r="C859" s="72">
        <f t="shared" si="4"/>
        <v>49519309.95</v>
      </c>
      <c r="D859" s="71">
        <v>0.01</v>
      </c>
      <c r="E859" s="72">
        <f t="shared" si="1"/>
        <v>495193.0995</v>
      </c>
      <c r="F859" s="72">
        <f t="shared" si="2"/>
        <v>50014503.05</v>
      </c>
      <c r="G859" s="79" t="str">
        <f t="shared" si="5"/>
        <v/>
      </c>
      <c r="H859" s="81"/>
      <c r="I859" s="75" t="str">
        <f t="shared" si="6"/>
        <v/>
      </c>
      <c r="J859" s="80">
        <f t="shared" si="7"/>
        <v>50004503.05</v>
      </c>
      <c r="K859" s="77" t="str">
        <f t="shared" si="3"/>
        <v/>
      </c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</row>
    <row r="860" ht="15.75" customHeight="1">
      <c r="A860" s="68" t="s">
        <v>2935</v>
      </c>
      <c r="B860" s="69"/>
      <c r="C860" s="72">
        <f t="shared" si="4"/>
        <v>50014503.05</v>
      </c>
      <c r="D860" s="71">
        <v>0.01</v>
      </c>
      <c r="E860" s="72">
        <f t="shared" si="1"/>
        <v>500145.0305</v>
      </c>
      <c r="F860" s="72">
        <f t="shared" si="2"/>
        <v>50514648.08</v>
      </c>
      <c r="G860" s="79" t="str">
        <f t="shared" si="5"/>
        <v/>
      </c>
      <c r="H860" s="81"/>
      <c r="I860" s="75" t="str">
        <f t="shared" si="6"/>
        <v/>
      </c>
      <c r="J860" s="80">
        <f t="shared" si="7"/>
        <v>50504648.08</v>
      </c>
      <c r="K860" s="77" t="str">
        <f t="shared" si="3"/>
        <v/>
      </c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</row>
    <row r="861" ht="15.75" customHeight="1">
      <c r="A861" s="68" t="s">
        <v>2936</v>
      </c>
      <c r="B861" s="69"/>
      <c r="C861" s="72">
        <f t="shared" si="4"/>
        <v>50514648.08</v>
      </c>
      <c r="D861" s="71">
        <v>0.01</v>
      </c>
      <c r="E861" s="72">
        <f t="shared" si="1"/>
        <v>505146.4808</v>
      </c>
      <c r="F861" s="72">
        <f t="shared" si="2"/>
        <v>51019794.56</v>
      </c>
      <c r="G861" s="79" t="str">
        <f t="shared" si="5"/>
        <v/>
      </c>
      <c r="H861" s="81"/>
      <c r="I861" s="75" t="str">
        <f t="shared" si="6"/>
        <v/>
      </c>
      <c r="J861" s="80">
        <f t="shared" si="7"/>
        <v>51009794.56</v>
      </c>
      <c r="K861" s="77" t="str">
        <f t="shared" si="3"/>
        <v/>
      </c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</row>
    <row r="862" ht="15.75" customHeight="1">
      <c r="A862" s="68" t="s">
        <v>2937</v>
      </c>
      <c r="B862" s="69"/>
      <c r="C862" s="72">
        <f t="shared" si="4"/>
        <v>51019794.56</v>
      </c>
      <c r="D862" s="71">
        <v>0.01</v>
      </c>
      <c r="E862" s="72">
        <f t="shared" si="1"/>
        <v>510197.9456</v>
      </c>
      <c r="F862" s="72">
        <f t="shared" si="2"/>
        <v>51529992.5</v>
      </c>
      <c r="G862" s="79" t="str">
        <f t="shared" si="5"/>
        <v/>
      </c>
      <c r="H862" s="81"/>
      <c r="I862" s="75" t="str">
        <f t="shared" si="6"/>
        <v/>
      </c>
      <c r="J862" s="80">
        <f t="shared" si="7"/>
        <v>51519992.5</v>
      </c>
      <c r="K862" s="77" t="str">
        <f t="shared" si="3"/>
        <v/>
      </c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</row>
    <row r="863" ht="15.75" customHeight="1">
      <c r="A863" s="68" t="s">
        <v>2938</v>
      </c>
      <c r="B863" s="69"/>
      <c r="C863" s="72">
        <f t="shared" si="4"/>
        <v>51529992.5</v>
      </c>
      <c r="D863" s="71">
        <v>0.01</v>
      </c>
      <c r="E863" s="72">
        <f t="shared" si="1"/>
        <v>515299.925</v>
      </c>
      <c r="F863" s="72">
        <f t="shared" si="2"/>
        <v>52045292.43</v>
      </c>
      <c r="G863" s="79" t="str">
        <f t="shared" si="5"/>
        <v/>
      </c>
      <c r="H863" s="81"/>
      <c r="I863" s="75" t="str">
        <f t="shared" si="6"/>
        <v/>
      </c>
      <c r="J863" s="80">
        <f t="shared" si="7"/>
        <v>52035292.43</v>
      </c>
      <c r="K863" s="77" t="str">
        <f t="shared" si="3"/>
        <v/>
      </c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</row>
    <row r="864" ht="15.75" customHeight="1">
      <c r="A864" s="68" t="s">
        <v>2939</v>
      </c>
      <c r="B864" s="69"/>
      <c r="C864" s="72">
        <f t="shared" si="4"/>
        <v>52045292.43</v>
      </c>
      <c r="D864" s="71">
        <v>0.01</v>
      </c>
      <c r="E864" s="72">
        <f t="shared" si="1"/>
        <v>520452.9243</v>
      </c>
      <c r="F864" s="72">
        <f t="shared" si="2"/>
        <v>52565745.35</v>
      </c>
      <c r="G864" s="79" t="str">
        <f t="shared" si="5"/>
        <v/>
      </c>
      <c r="H864" s="81"/>
      <c r="I864" s="75" t="str">
        <f t="shared" si="6"/>
        <v/>
      </c>
      <c r="J864" s="80">
        <f t="shared" si="7"/>
        <v>52555745.35</v>
      </c>
      <c r="K864" s="77" t="str">
        <f t="shared" si="3"/>
        <v/>
      </c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</row>
    <row r="865" ht="15.75" customHeight="1">
      <c r="A865" s="68" t="s">
        <v>2940</v>
      </c>
      <c r="B865" s="69"/>
      <c r="C865" s="72">
        <f t="shared" si="4"/>
        <v>52565745.35</v>
      </c>
      <c r="D865" s="71">
        <v>0.01</v>
      </c>
      <c r="E865" s="72">
        <f t="shared" si="1"/>
        <v>525657.4535</v>
      </c>
      <c r="F865" s="72">
        <f t="shared" si="2"/>
        <v>53091402.81</v>
      </c>
      <c r="G865" s="79" t="str">
        <f t="shared" si="5"/>
        <v/>
      </c>
      <c r="H865" s="81"/>
      <c r="I865" s="75" t="str">
        <f t="shared" si="6"/>
        <v/>
      </c>
      <c r="J865" s="80">
        <f t="shared" si="7"/>
        <v>53081402.81</v>
      </c>
      <c r="K865" s="77" t="str">
        <f t="shared" si="3"/>
        <v/>
      </c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</row>
    <row r="866" ht="15.75" customHeight="1">
      <c r="A866" s="68" t="s">
        <v>2941</v>
      </c>
      <c r="B866" s="69"/>
      <c r="C866" s="72">
        <f t="shared" si="4"/>
        <v>53091402.81</v>
      </c>
      <c r="D866" s="71">
        <v>0.01</v>
      </c>
      <c r="E866" s="72">
        <f t="shared" si="1"/>
        <v>530914.0281</v>
      </c>
      <c r="F866" s="72">
        <f t="shared" si="2"/>
        <v>53622316.84</v>
      </c>
      <c r="G866" s="79" t="str">
        <f t="shared" si="5"/>
        <v/>
      </c>
      <c r="H866" s="81"/>
      <c r="I866" s="75" t="str">
        <f t="shared" si="6"/>
        <v/>
      </c>
      <c r="J866" s="80">
        <f t="shared" si="7"/>
        <v>53612316.84</v>
      </c>
      <c r="K866" s="77" t="str">
        <f t="shared" si="3"/>
        <v/>
      </c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</row>
    <row r="867" ht="15.75" customHeight="1">
      <c r="A867" s="68" t="s">
        <v>2942</v>
      </c>
      <c r="B867" s="69"/>
      <c r="C867" s="72">
        <f t="shared" si="4"/>
        <v>53622316.84</v>
      </c>
      <c r="D867" s="71">
        <v>0.01</v>
      </c>
      <c r="E867" s="72">
        <f t="shared" si="1"/>
        <v>536223.1684</v>
      </c>
      <c r="F867" s="72">
        <f t="shared" si="2"/>
        <v>54158540</v>
      </c>
      <c r="G867" s="79" t="str">
        <f t="shared" si="5"/>
        <v/>
      </c>
      <c r="H867" s="81"/>
      <c r="I867" s="75" t="str">
        <f t="shared" si="6"/>
        <v/>
      </c>
      <c r="J867" s="80">
        <f t="shared" si="7"/>
        <v>54148540</v>
      </c>
      <c r="K867" s="77" t="str">
        <f t="shared" si="3"/>
        <v/>
      </c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</row>
    <row r="868" ht="15.75" customHeight="1">
      <c r="A868" s="68" t="s">
        <v>2943</v>
      </c>
      <c r="B868" s="69"/>
      <c r="C868" s="72">
        <f t="shared" si="4"/>
        <v>54158540</v>
      </c>
      <c r="D868" s="71">
        <v>0.01</v>
      </c>
      <c r="E868" s="72">
        <f t="shared" si="1"/>
        <v>541585.4</v>
      </c>
      <c r="F868" s="72">
        <f t="shared" si="2"/>
        <v>54700125.4</v>
      </c>
      <c r="G868" s="79" t="str">
        <f t="shared" si="5"/>
        <v/>
      </c>
      <c r="H868" s="81"/>
      <c r="I868" s="75" t="str">
        <f t="shared" si="6"/>
        <v/>
      </c>
      <c r="J868" s="80">
        <f t="shared" si="7"/>
        <v>54690125.4</v>
      </c>
      <c r="K868" s="77" t="str">
        <f t="shared" si="3"/>
        <v/>
      </c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</row>
    <row r="869" ht="15.75" customHeight="1">
      <c r="A869" s="68" t="s">
        <v>2944</v>
      </c>
      <c r="B869" s="69"/>
      <c r="C869" s="72">
        <f t="shared" si="4"/>
        <v>54700125.4</v>
      </c>
      <c r="D869" s="71">
        <v>0.01</v>
      </c>
      <c r="E869" s="72">
        <f t="shared" si="1"/>
        <v>547001.254</v>
      </c>
      <c r="F869" s="72">
        <f t="shared" si="2"/>
        <v>55247126.66</v>
      </c>
      <c r="G869" s="79" t="str">
        <f t="shared" si="5"/>
        <v/>
      </c>
      <c r="H869" s="81"/>
      <c r="I869" s="75" t="str">
        <f t="shared" si="6"/>
        <v/>
      </c>
      <c r="J869" s="80">
        <f t="shared" si="7"/>
        <v>55237126.66</v>
      </c>
      <c r="K869" s="77" t="str">
        <f t="shared" si="3"/>
        <v/>
      </c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</row>
    <row r="870" ht="15.75" customHeight="1">
      <c r="A870" s="68" t="s">
        <v>2945</v>
      </c>
      <c r="B870" s="69"/>
      <c r="C870" s="72">
        <f t="shared" si="4"/>
        <v>55247126.66</v>
      </c>
      <c r="D870" s="71">
        <v>0.01</v>
      </c>
      <c r="E870" s="72">
        <f t="shared" si="1"/>
        <v>552471.2666</v>
      </c>
      <c r="F870" s="72">
        <f t="shared" si="2"/>
        <v>55799597.92</v>
      </c>
      <c r="G870" s="79" t="str">
        <f t="shared" si="5"/>
        <v/>
      </c>
      <c r="H870" s="81"/>
      <c r="I870" s="75" t="str">
        <f t="shared" si="6"/>
        <v/>
      </c>
      <c r="J870" s="80">
        <f t="shared" si="7"/>
        <v>55789597.92</v>
      </c>
      <c r="K870" s="77" t="str">
        <f t="shared" si="3"/>
        <v/>
      </c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</row>
    <row r="871" ht="15.75" customHeight="1">
      <c r="A871" s="68" t="s">
        <v>2946</v>
      </c>
      <c r="B871" s="69"/>
      <c r="C871" s="72">
        <f t="shared" si="4"/>
        <v>55799597.92</v>
      </c>
      <c r="D871" s="71">
        <v>0.01</v>
      </c>
      <c r="E871" s="72">
        <f t="shared" si="1"/>
        <v>557995.9792</v>
      </c>
      <c r="F871" s="72">
        <f t="shared" si="2"/>
        <v>56357593.9</v>
      </c>
      <c r="G871" s="79" t="str">
        <f t="shared" si="5"/>
        <v/>
      </c>
      <c r="H871" s="81"/>
      <c r="I871" s="75" t="str">
        <f t="shared" si="6"/>
        <v/>
      </c>
      <c r="J871" s="80">
        <f t="shared" si="7"/>
        <v>56347593.9</v>
      </c>
      <c r="K871" s="77" t="str">
        <f t="shared" si="3"/>
        <v/>
      </c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</row>
    <row r="872" ht="15.75" customHeight="1">
      <c r="A872" s="68" t="s">
        <v>2947</v>
      </c>
      <c r="B872" s="69"/>
      <c r="C872" s="72">
        <f t="shared" si="4"/>
        <v>56357593.9</v>
      </c>
      <c r="D872" s="71">
        <v>0.01</v>
      </c>
      <c r="E872" s="72">
        <f t="shared" si="1"/>
        <v>563575.939</v>
      </c>
      <c r="F872" s="72">
        <f t="shared" si="2"/>
        <v>56921169.84</v>
      </c>
      <c r="G872" s="79" t="str">
        <f t="shared" si="5"/>
        <v/>
      </c>
      <c r="H872" s="81"/>
      <c r="I872" s="75" t="str">
        <f t="shared" si="6"/>
        <v/>
      </c>
      <c r="J872" s="80">
        <f t="shared" si="7"/>
        <v>56911169.84</v>
      </c>
      <c r="K872" s="77" t="str">
        <f t="shared" si="3"/>
        <v/>
      </c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</row>
    <row r="873" ht="15.75" customHeight="1">
      <c r="A873" s="68" t="s">
        <v>2948</v>
      </c>
      <c r="B873" s="69"/>
      <c r="C873" s="72">
        <f t="shared" si="4"/>
        <v>56921169.84</v>
      </c>
      <c r="D873" s="71">
        <v>0.01</v>
      </c>
      <c r="E873" s="72">
        <f t="shared" si="1"/>
        <v>569211.6984</v>
      </c>
      <c r="F873" s="72">
        <f t="shared" si="2"/>
        <v>57490381.54</v>
      </c>
      <c r="G873" s="79" t="str">
        <f t="shared" si="5"/>
        <v/>
      </c>
      <c r="H873" s="81"/>
      <c r="I873" s="75" t="str">
        <f t="shared" si="6"/>
        <v/>
      </c>
      <c r="J873" s="80">
        <f t="shared" si="7"/>
        <v>57480381.54</v>
      </c>
      <c r="K873" s="77" t="str">
        <f t="shared" si="3"/>
        <v/>
      </c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</row>
    <row r="874" ht="15.75" customHeight="1">
      <c r="A874" s="68" t="s">
        <v>2949</v>
      </c>
      <c r="B874" s="69"/>
      <c r="C874" s="72">
        <f t="shared" si="4"/>
        <v>57490381.54</v>
      </c>
      <c r="D874" s="71">
        <v>0.01</v>
      </c>
      <c r="E874" s="72">
        <f t="shared" si="1"/>
        <v>574903.8154</v>
      </c>
      <c r="F874" s="72">
        <f t="shared" si="2"/>
        <v>58065285.36</v>
      </c>
      <c r="G874" s="79" t="str">
        <f t="shared" si="5"/>
        <v/>
      </c>
      <c r="H874" s="81"/>
      <c r="I874" s="75" t="str">
        <f t="shared" si="6"/>
        <v/>
      </c>
      <c r="J874" s="80">
        <f t="shared" si="7"/>
        <v>58055285.36</v>
      </c>
      <c r="K874" s="77" t="str">
        <f t="shared" si="3"/>
        <v/>
      </c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</row>
    <row r="875" ht="15.75" customHeight="1">
      <c r="A875" s="68" t="s">
        <v>2950</v>
      </c>
      <c r="B875" s="69"/>
      <c r="C875" s="72">
        <f t="shared" si="4"/>
        <v>58065285.36</v>
      </c>
      <c r="D875" s="71">
        <v>0.01</v>
      </c>
      <c r="E875" s="72">
        <f t="shared" si="1"/>
        <v>580652.8536</v>
      </c>
      <c r="F875" s="72">
        <f t="shared" si="2"/>
        <v>58645938.21</v>
      </c>
      <c r="G875" s="79" t="str">
        <f t="shared" si="5"/>
        <v/>
      </c>
      <c r="H875" s="81"/>
      <c r="I875" s="75" t="str">
        <f t="shared" si="6"/>
        <v/>
      </c>
      <c r="J875" s="80">
        <f t="shared" si="7"/>
        <v>58635938.21</v>
      </c>
      <c r="K875" s="77" t="str">
        <f t="shared" si="3"/>
        <v/>
      </c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</row>
    <row r="876" ht="15.75" customHeight="1">
      <c r="A876" s="68" t="s">
        <v>2951</v>
      </c>
      <c r="B876" s="69"/>
      <c r="C876" s="72">
        <f t="shared" si="4"/>
        <v>58645938.21</v>
      </c>
      <c r="D876" s="71">
        <v>0.01</v>
      </c>
      <c r="E876" s="72">
        <f t="shared" si="1"/>
        <v>586459.3821</v>
      </c>
      <c r="F876" s="72">
        <f t="shared" si="2"/>
        <v>59232397.59</v>
      </c>
      <c r="G876" s="79" t="str">
        <f t="shared" si="5"/>
        <v/>
      </c>
      <c r="H876" s="81"/>
      <c r="I876" s="75" t="str">
        <f t="shared" si="6"/>
        <v/>
      </c>
      <c r="J876" s="80">
        <f t="shared" si="7"/>
        <v>59222397.59</v>
      </c>
      <c r="K876" s="77" t="str">
        <f t="shared" si="3"/>
        <v/>
      </c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</row>
    <row r="877" ht="15.75" customHeight="1">
      <c r="A877" s="68" t="s">
        <v>2952</v>
      </c>
      <c r="B877" s="69"/>
      <c r="C877" s="72">
        <f t="shared" si="4"/>
        <v>59232397.59</v>
      </c>
      <c r="D877" s="71">
        <v>0.01</v>
      </c>
      <c r="E877" s="72">
        <f t="shared" si="1"/>
        <v>592323.9759</v>
      </c>
      <c r="F877" s="72">
        <f t="shared" si="2"/>
        <v>59824721.57</v>
      </c>
      <c r="G877" s="79" t="str">
        <f t="shared" si="5"/>
        <v/>
      </c>
      <c r="H877" s="81"/>
      <c r="I877" s="75" t="str">
        <f t="shared" si="6"/>
        <v/>
      </c>
      <c r="J877" s="80">
        <f t="shared" si="7"/>
        <v>59814721.57</v>
      </c>
      <c r="K877" s="77" t="str">
        <f t="shared" si="3"/>
        <v/>
      </c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</row>
    <row r="878" ht="15.75" customHeight="1">
      <c r="A878" s="68" t="s">
        <v>2953</v>
      </c>
      <c r="B878" s="69"/>
      <c r="C878" s="72">
        <f t="shared" si="4"/>
        <v>59824721.57</v>
      </c>
      <c r="D878" s="71">
        <v>0.01</v>
      </c>
      <c r="E878" s="72">
        <f t="shared" si="1"/>
        <v>598247.2157</v>
      </c>
      <c r="F878" s="72">
        <f t="shared" si="2"/>
        <v>60422968.78</v>
      </c>
      <c r="G878" s="79" t="str">
        <f t="shared" si="5"/>
        <v/>
      </c>
      <c r="H878" s="81"/>
      <c r="I878" s="75" t="str">
        <f t="shared" si="6"/>
        <v/>
      </c>
      <c r="J878" s="80">
        <f t="shared" si="7"/>
        <v>60412968.78</v>
      </c>
      <c r="K878" s="77" t="str">
        <f t="shared" si="3"/>
        <v/>
      </c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</row>
    <row r="879" ht="15.75" customHeight="1">
      <c r="A879" s="68" t="s">
        <v>2954</v>
      </c>
      <c r="B879" s="69"/>
      <c r="C879" s="72">
        <f t="shared" si="4"/>
        <v>60422968.78</v>
      </c>
      <c r="D879" s="71">
        <v>0.01</v>
      </c>
      <c r="E879" s="72">
        <f t="shared" si="1"/>
        <v>604229.6878</v>
      </c>
      <c r="F879" s="72">
        <f t="shared" si="2"/>
        <v>61027198.47</v>
      </c>
      <c r="G879" s="79" t="str">
        <f t="shared" si="5"/>
        <v/>
      </c>
      <c r="H879" s="81"/>
      <c r="I879" s="75" t="str">
        <f t="shared" si="6"/>
        <v/>
      </c>
      <c r="J879" s="80">
        <f t="shared" si="7"/>
        <v>61017198.47</v>
      </c>
      <c r="K879" s="77" t="str">
        <f t="shared" si="3"/>
        <v/>
      </c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</row>
    <row r="880" ht="15.75" customHeight="1">
      <c r="A880" s="68" t="s">
        <v>2955</v>
      </c>
      <c r="B880" s="69"/>
      <c r="C880" s="72">
        <f t="shared" si="4"/>
        <v>61027198.47</v>
      </c>
      <c r="D880" s="71">
        <v>0.01</v>
      </c>
      <c r="E880" s="72">
        <f t="shared" si="1"/>
        <v>610271.9847</v>
      </c>
      <c r="F880" s="72">
        <f t="shared" si="2"/>
        <v>61637470.46</v>
      </c>
      <c r="G880" s="79" t="str">
        <f t="shared" si="5"/>
        <v/>
      </c>
      <c r="H880" s="81"/>
      <c r="I880" s="75" t="str">
        <f t="shared" si="6"/>
        <v/>
      </c>
      <c r="J880" s="80">
        <f t="shared" si="7"/>
        <v>61627470.46</v>
      </c>
      <c r="K880" s="77" t="str">
        <f t="shared" si="3"/>
        <v/>
      </c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</row>
    <row r="881" ht="15.75" customHeight="1">
      <c r="A881" s="68" t="s">
        <v>2956</v>
      </c>
      <c r="B881" s="69"/>
      <c r="C881" s="72">
        <f t="shared" si="4"/>
        <v>61637470.46</v>
      </c>
      <c r="D881" s="71">
        <v>0.01</v>
      </c>
      <c r="E881" s="72">
        <f t="shared" si="1"/>
        <v>616374.7046</v>
      </c>
      <c r="F881" s="72">
        <f t="shared" si="2"/>
        <v>62253845.16</v>
      </c>
      <c r="G881" s="79" t="str">
        <f t="shared" si="5"/>
        <v/>
      </c>
      <c r="H881" s="81"/>
      <c r="I881" s="75" t="str">
        <f t="shared" si="6"/>
        <v/>
      </c>
      <c r="J881" s="80">
        <f t="shared" si="7"/>
        <v>62243845.16</v>
      </c>
      <c r="K881" s="77" t="str">
        <f t="shared" si="3"/>
        <v/>
      </c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</row>
    <row r="882" ht="15.75" customHeight="1">
      <c r="A882" s="68" t="s">
        <v>2957</v>
      </c>
      <c r="B882" s="69"/>
      <c r="C882" s="72">
        <f t="shared" si="4"/>
        <v>62253845.16</v>
      </c>
      <c r="D882" s="71">
        <v>0.01</v>
      </c>
      <c r="E882" s="72">
        <f t="shared" si="1"/>
        <v>622538.4516</v>
      </c>
      <c r="F882" s="72">
        <f t="shared" si="2"/>
        <v>62876383.61</v>
      </c>
      <c r="G882" s="79" t="str">
        <f t="shared" si="5"/>
        <v/>
      </c>
      <c r="H882" s="81"/>
      <c r="I882" s="75" t="str">
        <f t="shared" si="6"/>
        <v/>
      </c>
      <c r="J882" s="80">
        <f t="shared" si="7"/>
        <v>62866383.61</v>
      </c>
      <c r="K882" s="77" t="str">
        <f t="shared" si="3"/>
        <v/>
      </c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</row>
    <row r="883" ht="15.75" customHeight="1">
      <c r="A883" s="68" t="s">
        <v>2958</v>
      </c>
      <c r="B883" s="69"/>
      <c r="C883" s="72">
        <f t="shared" si="4"/>
        <v>62876383.61</v>
      </c>
      <c r="D883" s="71">
        <v>0.01</v>
      </c>
      <c r="E883" s="72">
        <f t="shared" si="1"/>
        <v>628763.8361</v>
      </c>
      <c r="F883" s="72">
        <f t="shared" si="2"/>
        <v>63505147.45</v>
      </c>
      <c r="G883" s="79" t="str">
        <f t="shared" si="5"/>
        <v/>
      </c>
      <c r="H883" s="81"/>
      <c r="I883" s="75" t="str">
        <f t="shared" si="6"/>
        <v/>
      </c>
      <c r="J883" s="80">
        <f t="shared" si="7"/>
        <v>63495147.45</v>
      </c>
      <c r="K883" s="77" t="str">
        <f t="shared" si="3"/>
        <v/>
      </c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</row>
    <row r="884" ht="15.75" customHeight="1">
      <c r="A884" s="68" t="s">
        <v>2959</v>
      </c>
      <c r="B884" s="69"/>
      <c r="C884" s="72">
        <f t="shared" si="4"/>
        <v>63505147.45</v>
      </c>
      <c r="D884" s="71">
        <v>0.01</v>
      </c>
      <c r="E884" s="72">
        <f t="shared" si="1"/>
        <v>635051.4745</v>
      </c>
      <c r="F884" s="72">
        <f t="shared" si="2"/>
        <v>64140198.92</v>
      </c>
      <c r="G884" s="79" t="str">
        <f t="shared" si="5"/>
        <v/>
      </c>
      <c r="H884" s="81"/>
      <c r="I884" s="75" t="str">
        <f t="shared" si="6"/>
        <v/>
      </c>
      <c r="J884" s="80">
        <f t="shared" si="7"/>
        <v>64130198.92</v>
      </c>
      <c r="K884" s="77" t="str">
        <f t="shared" si="3"/>
        <v/>
      </c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</row>
    <row r="885" ht="15.75" customHeight="1">
      <c r="A885" s="68" t="s">
        <v>2960</v>
      </c>
      <c r="B885" s="69"/>
      <c r="C885" s="72">
        <f t="shared" si="4"/>
        <v>64140198.92</v>
      </c>
      <c r="D885" s="71">
        <v>0.01</v>
      </c>
      <c r="E885" s="72">
        <f t="shared" si="1"/>
        <v>641401.9892</v>
      </c>
      <c r="F885" s="72">
        <f t="shared" si="2"/>
        <v>64781600.91</v>
      </c>
      <c r="G885" s="79" t="str">
        <f t="shared" si="5"/>
        <v/>
      </c>
      <c r="H885" s="81"/>
      <c r="I885" s="75" t="str">
        <f t="shared" si="6"/>
        <v/>
      </c>
      <c r="J885" s="80">
        <f t="shared" si="7"/>
        <v>64771600.91</v>
      </c>
      <c r="K885" s="77" t="str">
        <f t="shared" si="3"/>
        <v/>
      </c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</row>
    <row r="886" ht="15.75" customHeight="1">
      <c r="A886" s="68" t="s">
        <v>2961</v>
      </c>
      <c r="B886" s="69"/>
      <c r="C886" s="72">
        <f t="shared" si="4"/>
        <v>64781600.91</v>
      </c>
      <c r="D886" s="71">
        <v>0.01</v>
      </c>
      <c r="E886" s="72">
        <f t="shared" si="1"/>
        <v>647816.0091</v>
      </c>
      <c r="F886" s="72">
        <f t="shared" si="2"/>
        <v>65429416.92</v>
      </c>
      <c r="G886" s="79" t="str">
        <f t="shared" si="5"/>
        <v/>
      </c>
      <c r="H886" s="81"/>
      <c r="I886" s="75" t="str">
        <f t="shared" si="6"/>
        <v/>
      </c>
      <c r="J886" s="80">
        <f t="shared" si="7"/>
        <v>65419416.92</v>
      </c>
      <c r="K886" s="77" t="str">
        <f t="shared" si="3"/>
        <v/>
      </c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</row>
    <row r="887" ht="15.75" customHeight="1">
      <c r="A887" s="68" t="s">
        <v>2962</v>
      </c>
      <c r="B887" s="69"/>
      <c r="C887" s="72">
        <f t="shared" si="4"/>
        <v>65429416.92</v>
      </c>
      <c r="D887" s="71">
        <v>0.01</v>
      </c>
      <c r="E887" s="72">
        <f t="shared" si="1"/>
        <v>654294.1692</v>
      </c>
      <c r="F887" s="72">
        <f t="shared" si="2"/>
        <v>66083711.09</v>
      </c>
      <c r="G887" s="79" t="str">
        <f t="shared" si="5"/>
        <v/>
      </c>
      <c r="H887" s="81"/>
      <c r="I887" s="75" t="str">
        <f t="shared" si="6"/>
        <v/>
      </c>
      <c r="J887" s="80">
        <f t="shared" si="7"/>
        <v>66073711.09</v>
      </c>
      <c r="K887" s="77" t="str">
        <f t="shared" si="3"/>
        <v/>
      </c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</row>
    <row r="888" ht="15.75" customHeight="1">
      <c r="A888" s="68" t="s">
        <v>2963</v>
      </c>
      <c r="B888" s="69"/>
      <c r="C888" s="72">
        <f t="shared" si="4"/>
        <v>66083711.09</v>
      </c>
      <c r="D888" s="71">
        <v>0.01</v>
      </c>
      <c r="E888" s="72">
        <f t="shared" si="1"/>
        <v>660837.1109</v>
      </c>
      <c r="F888" s="72">
        <f t="shared" si="2"/>
        <v>66744548.2</v>
      </c>
      <c r="G888" s="79" t="str">
        <f t="shared" si="5"/>
        <v/>
      </c>
      <c r="H888" s="81"/>
      <c r="I888" s="75" t="str">
        <f t="shared" si="6"/>
        <v/>
      </c>
      <c r="J888" s="80">
        <f t="shared" si="7"/>
        <v>66734548.2</v>
      </c>
      <c r="K888" s="77" t="str">
        <f t="shared" si="3"/>
        <v/>
      </c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</row>
    <row r="889" ht="15.75" customHeight="1">
      <c r="A889" s="68" t="s">
        <v>2964</v>
      </c>
      <c r="B889" s="69"/>
      <c r="C889" s="72">
        <f t="shared" si="4"/>
        <v>66744548.2</v>
      </c>
      <c r="D889" s="71">
        <v>0.01</v>
      </c>
      <c r="E889" s="72">
        <f t="shared" si="1"/>
        <v>667445.482</v>
      </c>
      <c r="F889" s="72">
        <f t="shared" si="2"/>
        <v>67411993.68</v>
      </c>
      <c r="G889" s="79" t="str">
        <f t="shared" si="5"/>
        <v/>
      </c>
      <c r="H889" s="81"/>
      <c r="I889" s="75" t="str">
        <f t="shared" si="6"/>
        <v/>
      </c>
      <c r="J889" s="80">
        <f t="shared" si="7"/>
        <v>67401993.68</v>
      </c>
      <c r="K889" s="77" t="str">
        <f t="shared" si="3"/>
        <v/>
      </c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</row>
    <row r="890" ht="15.75" customHeight="1">
      <c r="A890" s="68" t="s">
        <v>2965</v>
      </c>
      <c r="B890" s="69"/>
      <c r="C890" s="72">
        <f t="shared" si="4"/>
        <v>67411993.68</v>
      </c>
      <c r="D890" s="71">
        <v>0.01</v>
      </c>
      <c r="E890" s="72">
        <f t="shared" si="1"/>
        <v>674119.9368</v>
      </c>
      <c r="F890" s="72">
        <f t="shared" si="2"/>
        <v>68086113.62</v>
      </c>
      <c r="G890" s="79" t="str">
        <f t="shared" si="5"/>
        <v/>
      </c>
      <c r="H890" s="81"/>
      <c r="I890" s="75" t="str">
        <f t="shared" si="6"/>
        <v/>
      </c>
      <c r="J890" s="80">
        <f t="shared" si="7"/>
        <v>68076113.62</v>
      </c>
      <c r="K890" s="77" t="str">
        <f t="shared" si="3"/>
        <v/>
      </c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</row>
    <row r="891" ht="15.75" customHeight="1">
      <c r="A891" s="68" t="s">
        <v>2966</v>
      </c>
      <c r="B891" s="69"/>
      <c r="C891" s="72">
        <f t="shared" si="4"/>
        <v>68086113.62</v>
      </c>
      <c r="D891" s="71">
        <v>0.01</v>
      </c>
      <c r="E891" s="72">
        <f t="shared" si="1"/>
        <v>680861.1362</v>
      </c>
      <c r="F891" s="72">
        <f t="shared" si="2"/>
        <v>68766974.76</v>
      </c>
      <c r="G891" s="79" t="str">
        <f t="shared" si="5"/>
        <v/>
      </c>
      <c r="H891" s="81"/>
      <c r="I891" s="75" t="str">
        <f t="shared" si="6"/>
        <v/>
      </c>
      <c r="J891" s="80">
        <f t="shared" si="7"/>
        <v>68756974.76</v>
      </c>
      <c r="K891" s="77" t="str">
        <f t="shared" si="3"/>
        <v/>
      </c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</row>
    <row r="892" ht="15.75" customHeight="1">
      <c r="A892" s="68" t="s">
        <v>2967</v>
      </c>
      <c r="B892" s="69"/>
      <c r="C892" s="72">
        <f t="shared" si="4"/>
        <v>68766974.76</v>
      </c>
      <c r="D892" s="71">
        <v>0.01</v>
      </c>
      <c r="E892" s="72">
        <f t="shared" si="1"/>
        <v>687669.7476</v>
      </c>
      <c r="F892" s="72">
        <f t="shared" si="2"/>
        <v>69454644.5</v>
      </c>
      <c r="G892" s="79" t="str">
        <f t="shared" si="5"/>
        <v/>
      </c>
      <c r="H892" s="81"/>
      <c r="I892" s="75" t="str">
        <f t="shared" si="6"/>
        <v/>
      </c>
      <c r="J892" s="80">
        <f t="shared" si="7"/>
        <v>69444644.5</v>
      </c>
      <c r="K892" s="77" t="str">
        <f t="shared" si="3"/>
        <v/>
      </c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</row>
    <row r="893" ht="15.75" customHeight="1">
      <c r="A893" s="68" t="s">
        <v>2968</v>
      </c>
      <c r="B893" s="69"/>
      <c r="C893" s="72">
        <f t="shared" si="4"/>
        <v>69454644.5</v>
      </c>
      <c r="D893" s="71">
        <v>0.01</v>
      </c>
      <c r="E893" s="72">
        <f t="shared" si="1"/>
        <v>694546.445</v>
      </c>
      <c r="F893" s="72">
        <f t="shared" si="2"/>
        <v>70149190.95</v>
      </c>
      <c r="G893" s="79" t="str">
        <f t="shared" si="5"/>
        <v/>
      </c>
      <c r="H893" s="81"/>
      <c r="I893" s="75" t="str">
        <f t="shared" si="6"/>
        <v/>
      </c>
      <c r="J893" s="80">
        <f t="shared" si="7"/>
        <v>70139190.95</v>
      </c>
      <c r="K893" s="77" t="str">
        <f t="shared" si="3"/>
        <v/>
      </c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</row>
    <row r="894" ht="15.75" customHeight="1">
      <c r="A894" s="68" t="s">
        <v>2969</v>
      </c>
      <c r="B894" s="69"/>
      <c r="C894" s="72">
        <f t="shared" si="4"/>
        <v>70149190.95</v>
      </c>
      <c r="D894" s="71">
        <v>0.01</v>
      </c>
      <c r="E894" s="72">
        <f t="shared" si="1"/>
        <v>701491.9095</v>
      </c>
      <c r="F894" s="72">
        <f t="shared" si="2"/>
        <v>70850682.86</v>
      </c>
      <c r="G894" s="79" t="str">
        <f t="shared" si="5"/>
        <v/>
      </c>
      <c r="H894" s="81"/>
      <c r="I894" s="75" t="str">
        <f t="shared" si="6"/>
        <v/>
      </c>
      <c r="J894" s="80">
        <f t="shared" si="7"/>
        <v>70840682.86</v>
      </c>
      <c r="K894" s="77" t="str">
        <f t="shared" si="3"/>
        <v/>
      </c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</row>
    <row r="895" ht="15.75" customHeight="1">
      <c r="A895" s="68" t="s">
        <v>2970</v>
      </c>
      <c r="B895" s="69"/>
      <c r="C895" s="72">
        <f t="shared" si="4"/>
        <v>70850682.86</v>
      </c>
      <c r="D895" s="71">
        <v>0.01</v>
      </c>
      <c r="E895" s="72">
        <f t="shared" si="1"/>
        <v>708506.8286</v>
      </c>
      <c r="F895" s="72">
        <f t="shared" si="2"/>
        <v>71559189.69</v>
      </c>
      <c r="G895" s="79" t="str">
        <f t="shared" si="5"/>
        <v/>
      </c>
      <c r="H895" s="81"/>
      <c r="I895" s="75" t="str">
        <f t="shared" si="6"/>
        <v/>
      </c>
      <c r="J895" s="80">
        <f t="shared" si="7"/>
        <v>71549189.69</v>
      </c>
      <c r="K895" s="77" t="str">
        <f t="shared" si="3"/>
        <v/>
      </c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</row>
    <row r="896" ht="15.75" customHeight="1">
      <c r="A896" s="68" t="s">
        <v>2971</v>
      </c>
      <c r="B896" s="69"/>
      <c r="C896" s="72">
        <f t="shared" si="4"/>
        <v>71559189.69</v>
      </c>
      <c r="D896" s="71">
        <v>0.01</v>
      </c>
      <c r="E896" s="72">
        <f t="shared" si="1"/>
        <v>715591.8969</v>
      </c>
      <c r="F896" s="72">
        <f t="shared" si="2"/>
        <v>72274781.58</v>
      </c>
      <c r="G896" s="79" t="str">
        <f t="shared" si="5"/>
        <v/>
      </c>
      <c r="H896" s="81"/>
      <c r="I896" s="75" t="str">
        <f t="shared" si="6"/>
        <v/>
      </c>
      <c r="J896" s="80">
        <f t="shared" si="7"/>
        <v>72264781.58</v>
      </c>
      <c r="K896" s="77" t="str">
        <f t="shared" si="3"/>
        <v/>
      </c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</row>
    <row r="897" ht="15.75" customHeight="1">
      <c r="A897" s="68" t="s">
        <v>2972</v>
      </c>
      <c r="B897" s="69"/>
      <c r="C897" s="72">
        <f t="shared" si="4"/>
        <v>72274781.58</v>
      </c>
      <c r="D897" s="71">
        <v>0.01</v>
      </c>
      <c r="E897" s="72">
        <f t="shared" si="1"/>
        <v>722747.8158</v>
      </c>
      <c r="F897" s="72">
        <f t="shared" si="2"/>
        <v>72997529.4</v>
      </c>
      <c r="G897" s="79" t="str">
        <f t="shared" si="5"/>
        <v/>
      </c>
      <c r="H897" s="81"/>
      <c r="I897" s="75" t="str">
        <f t="shared" si="6"/>
        <v/>
      </c>
      <c r="J897" s="80">
        <f t="shared" si="7"/>
        <v>72987529.4</v>
      </c>
      <c r="K897" s="77" t="str">
        <f t="shared" si="3"/>
        <v/>
      </c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</row>
    <row r="898" ht="15.75" customHeight="1">
      <c r="A898" s="68" t="s">
        <v>2973</v>
      </c>
      <c r="B898" s="69"/>
      <c r="C898" s="72">
        <f t="shared" si="4"/>
        <v>72997529.4</v>
      </c>
      <c r="D898" s="71">
        <v>0.01</v>
      </c>
      <c r="E898" s="72">
        <f t="shared" si="1"/>
        <v>729975.294</v>
      </c>
      <c r="F898" s="72">
        <f t="shared" si="2"/>
        <v>73727504.69</v>
      </c>
      <c r="G898" s="79" t="str">
        <f t="shared" si="5"/>
        <v/>
      </c>
      <c r="H898" s="81"/>
      <c r="I898" s="75" t="str">
        <f t="shared" si="6"/>
        <v/>
      </c>
      <c r="J898" s="80">
        <f t="shared" si="7"/>
        <v>73717504.69</v>
      </c>
      <c r="K898" s="77" t="str">
        <f t="shared" si="3"/>
        <v/>
      </c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</row>
    <row r="899" ht="15.75" customHeight="1">
      <c r="A899" s="68" t="s">
        <v>2974</v>
      </c>
      <c r="B899" s="69"/>
      <c r="C899" s="72">
        <f t="shared" si="4"/>
        <v>73727504.69</v>
      </c>
      <c r="D899" s="71">
        <v>0.01</v>
      </c>
      <c r="E899" s="72">
        <f t="shared" si="1"/>
        <v>737275.0469</v>
      </c>
      <c r="F899" s="72">
        <f t="shared" si="2"/>
        <v>74464779.74</v>
      </c>
      <c r="G899" s="79" t="str">
        <f t="shared" si="5"/>
        <v/>
      </c>
      <c r="H899" s="81"/>
      <c r="I899" s="75" t="str">
        <f t="shared" si="6"/>
        <v/>
      </c>
      <c r="J899" s="80">
        <f t="shared" si="7"/>
        <v>74454779.74</v>
      </c>
      <c r="K899" s="77" t="str">
        <f t="shared" si="3"/>
        <v/>
      </c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</row>
    <row r="900" ht="15.75" customHeight="1">
      <c r="A900" s="68" t="s">
        <v>2975</v>
      </c>
      <c r="B900" s="69"/>
      <c r="C900" s="72">
        <f t="shared" si="4"/>
        <v>74464779.74</v>
      </c>
      <c r="D900" s="71">
        <v>0.01</v>
      </c>
      <c r="E900" s="72">
        <f t="shared" si="1"/>
        <v>744647.7974</v>
      </c>
      <c r="F900" s="72">
        <f t="shared" si="2"/>
        <v>75209427.54</v>
      </c>
      <c r="G900" s="79" t="str">
        <f t="shared" si="5"/>
        <v/>
      </c>
      <c r="H900" s="81"/>
      <c r="I900" s="75" t="str">
        <f t="shared" si="6"/>
        <v/>
      </c>
      <c r="J900" s="80">
        <f t="shared" si="7"/>
        <v>75199427.54</v>
      </c>
      <c r="K900" s="77" t="str">
        <f t="shared" si="3"/>
        <v/>
      </c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</row>
    <row r="901" ht="15.75" customHeight="1">
      <c r="A901" s="68" t="s">
        <v>2976</v>
      </c>
      <c r="B901" s="69"/>
      <c r="C901" s="72">
        <f t="shared" si="4"/>
        <v>75209427.54</v>
      </c>
      <c r="D901" s="71">
        <v>0.01</v>
      </c>
      <c r="E901" s="72">
        <f t="shared" si="1"/>
        <v>752094.2754</v>
      </c>
      <c r="F901" s="72">
        <f t="shared" si="2"/>
        <v>75961521.81</v>
      </c>
      <c r="G901" s="79" t="str">
        <f t="shared" si="5"/>
        <v/>
      </c>
      <c r="H901" s="81"/>
      <c r="I901" s="75" t="str">
        <f t="shared" si="6"/>
        <v/>
      </c>
      <c r="J901" s="80">
        <f t="shared" si="7"/>
        <v>75951521.81</v>
      </c>
      <c r="K901" s="77" t="str">
        <f t="shared" si="3"/>
        <v/>
      </c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</row>
    <row r="902" ht="15.75" customHeight="1">
      <c r="A902" s="68" t="s">
        <v>2977</v>
      </c>
      <c r="B902" s="69"/>
      <c r="C902" s="72">
        <f t="shared" si="4"/>
        <v>75961521.81</v>
      </c>
      <c r="D902" s="71">
        <v>0.01</v>
      </c>
      <c r="E902" s="72">
        <f t="shared" si="1"/>
        <v>759615.2181</v>
      </c>
      <c r="F902" s="72">
        <f t="shared" si="2"/>
        <v>76721137.03</v>
      </c>
      <c r="G902" s="79" t="str">
        <f t="shared" si="5"/>
        <v/>
      </c>
      <c r="H902" s="81"/>
      <c r="I902" s="75" t="str">
        <f t="shared" si="6"/>
        <v/>
      </c>
      <c r="J902" s="80">
        <f t="shared" si="7"/>
        <v>76711137.03</v>
      </c>
      <c r="K902" s="77" t="str">
        <f t="shared" si="3"/>
        <v/>
      </c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</row>
    <row r="903" ht="15.75" customHeight="1">
      <c r="A903" s="68" t="s">
        <v>2978</v>
      </c>
      <c r="B903" s="69"/>
      <c r="C903" s="72">
        <f t="shared" si="4"/>
        <v>76721137.03</v>
      </c>
      <c r="D903" s="71">
        <v>0.01</v>
      </c>
      <c r="E903" s="72">
        <f t="shared" si="1"/>
        <v>767211.3703</v>
      </c>
      <c r="F903" s="72">
        <f t="shared" si="2"/>
        <v>77488348.4</v>
      </c>
      <c r="G903" s="79" t="str">
        <f t="shared" si="5"/>
        <v/>
      </c>
      <c r="H903" s="81"/>
      <c r="I903" s="75" t="str">
        <f t="shared" si="6"/>
        <v/>
      </c>
      <c r="J903" s="80">
        <f t="shared" si="7"/>
        <v>77478348.4</v>
      </c>
      <c r="K903" s="77" t="str">
        <f t="shared" si="3"/>
        <v/>
      </c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</row>
    <row r="904" ht="15.75" customHeight="1">
      <c r="A904" s="68" t="s">
        <v>2979</v>
      </c>
      <c r="B904" s="69"/>
      <c r="C904" s="72">
        <f t="shared" si="4"/>
        <v>77488348.4</v>
      </c>
      <c r="D904" s="71">
        <v>0.01</v>
      </c>
      <c r="E904" s="72">
        <f t="shared" si="1"/>
        <v>774883.484</v>
      </c>
      <c r="F904" s="72">
        <f t="shared" si="2"/>
        <v>78263231.89</v>
      </c>
      <c r="G904" s="79" t="str">
        <f t="shared" si="5"/>
        <v/>
      </c>
      <c r="H904" s="81"/>
      <c r="I904" s="75" t="str">
        <f t="shared" si="6"/>
        <v/>
      </c>
      <c r="J904" s="80">
        <f t="shared" si="7"/>
        <v>78253231.89</v>
      </c>
      <c r="K904" s="77" t="str">
        <f t="shared" si="3"/>
        <v/>
      </c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</row>
    <row r="905" ht="15.75" customHeight="1">
      <c r="A905" s="68" t="s">
        <v>2980</v>
      </c>
      <c r="B905" s="69"/>
      <c r="C905" s="72">
        <f t="shared" si="4"/>
        <v>78263231.89</v>
      </c>
      <c r="D905" s="71">
        <v>0.01</v>
      </c>
      <c r="E905" s="72">
        <f t="shared" si="1"/>
        <v>782632.3189</v>
      </c>
      <c r="F905" s="72">
        <f t="shared" si="2"/>
        <v>79045864.21</v>
      </c>
      <c r="G905" s="79" t="str">
        <f t="shared" si="5"/>
        <v/>
      </c>
      <c r="H905" s="81"/>
      <c r="I905" s="75" t="str">
        <f t="shared" si="6"/>
        <v/>
      </c>
      <c r="J905" s="80">
        <f t="shared" si="7"/>
        <v>79035864.21</v>
      </c>
      <c r="K905" s="77" t="str">
        <f t="shared" si="3"/>
        <v/>
      </c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</row>
    <row r="906" ht="15.75" customHeight="1">
      <c r="A906" s="68" t="s">
        <v>2981</v>
      </c>
      <c r="B906" s="69"/>
      <c r="C906" s="72">
        <f t="shared" si="4"/>
        <v>79045864.21</v>
      </c>
      <c r="D906" s="71">
        <v>0.01</v>
      </c>
      <c r="E906" s="72">
        <f t="shared" si="1"/>
        <v>790458.6421</v>
      </c>
      <c r="F906" s="72">
        <f t="shared" si="2"/>
        <v>79836322.85</v>
      </c>
      <c r="G906" s="79" t="str">
        <f t="shared" si="5"/>
        <v/>
      </c>
      <c r="H906" s="81"/>
      <c r="I906" s="75" t="str">
        <f t="shared" si="6"/>
        <v/>
      </c>
      <c r="J906" s="80">
        <f t="shared" si="7"/>
        <v>79826322.85</v>
      </c>
      <c r="K906" s="77" t="str">
        <f t="shared" si="3"/>
        <v/>
      </c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</row>
    <row r="907" ht="15.75" customHeight="1">
      <c r="A907" s="68" t="s">
        <v>2982</v>
      </c>
      <c r="B907" s="69"/>
      <c r="C907" s="72">
        <f t="shared" si="4"/>
        <v>79836322.85</v>
      </c>
      <c r="D907" s="71">
        <v>0.01</v>
      </c>
      <c r="E907" s="72">
        <f t="shared" si="1"/>
        <v>798363.2285</v>
      </c>
      <c r="F907" s="72">
        <f t="shared" si="2"/>
        <v>80634686.08</v>
      </c>
      <c r="G907" s="79" t="str">
        <f t="shared" si="5"/>
        <v/>
      </c>
      <c r="H907" s="81"/>
      <c r="I907" s="75" t="str">
        <f t="shared" si="6"/>
        <v/>
      </c>
      <c r="J907" s="80">
        <f t="shared" si="7"/>
        <v>80624686.08</v>
      </c>
      <c r="K907" s="77" t="str">
        <f t="shared" si="3"/>
        <v/>
      </c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</row>
    <row r="908" ht="15.75" customHeight="1">
      <c r="A908" s="68" t="s">
        <v>2983</v>
      </c>
      <c r="B908" s="69"/>
      <c r="C908" s="72">
        <f t="shared" si="4"/>
        <v>80634686.08</v>
      </c>
      <c r="D908" s="71">
        <v>0.01</v>
      </c>
      <c r="E908" s="72">
        <f t="shared" si="1"/>
        <v>806346.8608</v>
      </c>
      <c r="F908" s="72">
        <f t="shared" si="2"/>
        <v>81441032.94</v>
      </c>
      <c r="G908" s="79" t="str">
        <f t="shared" si="5"/>
        <v/>
      </c>
      <c r="H908" s="81"/>
      <c r="I908" s="75" t="str">
        <f t="shared" si="6"/>
        <v/>
      </c>
      <c r="J908" s="80">
        <f t="shared" si="7"/>
        <v>81431032.94</v>
      </c>
      <c r="K908" s="77" t="str">
        <f t="shared" si="3"/>
        <v/>
      </c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</row>
    <row r="909" ht="15.75" customHeight="1">
      <c r="A909" s="68" t="s">
        <v>2984</v>
      </c>
      <c r="B909" s="69"/>
      <c r="C909" s="72">
        <f t="shared" si="4"/>
        <v>81441032.94</v>
      </c>
      <c r="D909" s="71">
        <v>0.01</v>
      </c>
      <c r="E909" s="72">
        <f t="shared" si="1"/>
        <v>814410.3294</v>
      </c>
      <c r="F909" s="72">
        <f t="shared" si="2"/>
        <v>82255443.27</v>
      </c>
      <c r="G909" s="79" t="str">
        <f t="shared" si="5"/>
        <v/>
      </c>
      <c r="H909" s="81"/>
      <c r="I909" s="75" t="str">
        <f t="shared" si="6"/>
        <v/>
      </c>
      <c r="J909" s="80">
        <f t="shared" si="7"/>
        <v>82245443.27</v>
      </c>
      <c r="K909" s="77" t="str">
        <f t="shared" si="3"/>
        <v/>
      </c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</row>
    <row r="910" ht="15.75" customHeight="1">
      <c r="A910" s="68" t="s">
        <v>2985</v>
      </c>
      <c r="B910" s="69"/>
      <c r="C910" s="72">
        <f t="shared" si="4"/>
        <v>82255443.27</v>
      </c>
      <c r="D910" s="71">
        <v>0.01</v>
      </c>
      <c r="E910" s="72">
        <f t="shared" si="1"/>
        <v>822554.4327</v>
      </c>
      <c r="F910" s="72">
        <f t="shared" si="2"/>
        <v>83077997.7</v>
      </c>
      <c r="G910" s="79" t="str">
        <f t="shared" si="5"/>
        <v/>
      </c>
      <c r="H910" s="81"/>
      <c r="I910" s="75" t="str">
        <f t="shared" si="6"/>
        <v/>
      </c>
      <c r="J910" s="80">
        <f t="shared" si="7"/>
        <v>83067997.7</v>
      </c>
      <c r="K910" s="77" t="str">
        <f t="shared" si="3"/>
        <v/>
      </c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</row>
    <row r="911" ht="15.75" customHeight="1">
      <c r="A911" s="68" t="s">
        <v>2986</v>
      </c>
      <c r="B911" s="69"/>
      <c r="C911" s="72">
        <f t="shared" si="4"/>
        <v>83077997.7</v>
      </c>
      <c r="D911" s="71">
        <v>0.01</v>
      </c>
      <c r="E911" s="72">
        <f t="shared" si="1"/>
        <v>830779.977</v>
      </c>
      <c r="F911" s="72">
        <f t="shared" si="2"/>
        <v>83908777.68</v>
      </c>
      <c r="G911" s="79" t="str">
        <f t="shared" si="5"/>
        <v/>
      </c>
      <c r="H911" s="81"/>
      <c r="I911" s="75" t="str">
        <f t="shared" si="6"/>
        <v/>
      </c>
      <c r="J911" s="80">
        <f t="shared" si="7"/>
        <v>83898777.68</v>
      </c>
      <c r="K911" s="77" t="str">
        <f t="shared" si="3"/>
        <v/>
      </c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</row>
    <row r="912" ht="15.75" customHeight="1">
      <c r="A912" s="68" t="s">
        <v>2987</v>
      </c>
      <c r="B912" s="69"/>
      <c r="C912" s="72">
        <f t="shared" si="4"/>
        <v>83908777.68</v>
      </c>
      <c r="D912" s="71">
        <v>0.01</v>
      </c>
      <c r="E912" s="72">
        <f t="shared" si="1"/>
        <v>839087.7768</v>
      </c>
      <c r="F912" s="72">
        <f t="shared" si="2"/>
        <v>84747865.45</v>
      </c>
      <c r="G912" s="79" t="str">
        <f t="shared" si="5"/>
        <v/>
      </c>
      <c r="H912" s="81"/>
      <c r="I912" s="75" t="str">
        <f t="shared" si="6"/>
        <v/>
      </c>
      <c r="J912" s="80">
        <f t="shared" si="7"/>
        <v>84737865.45</v>
      </c>
      <c r="K912" s="77" t="str">
        <f t="shared" si="3"/>
        <v/>
      </c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</row>
    <row r="913" ht="15.75" customHeight="1">
      <c r="A913" s="68" t="s">
        <v>2988</v>
      </c>
      <c r="B913" s="69"/>
      <c r="C913" s="72">
        <f t="shared" si="4"/>
        <v>84747865.45</v>
      </c>
      <c r="D913" s="71">
        <v>0.01</v>
      </c>
      <c r="E913" s="72">
        <f t="shared" si="1"/>
        <v>847478.6545</v>
      </c>
      <c r="F913" s="72">
        <f t="shared" si="2"/>
        <v>85595344.11</v>
      </c>
      <c r="G913" s="79" t="str">
        <f t="shared" si="5"/>
        <v/>
      </c>
      <c r="H913" s="81"/>
      <c r="I913" s="75" t="str">
        <f t="shared" si="6"/>
        <v/>
      </c>
      <c r="J913" s="80">
        <f t="shared" si="7"/>
        <v>85585344.11</v>
      </c>
      <c r="K913" s="77" t="str">
        <f t="shared" si="3"/>
        <v/>
      </c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</row>
    <row r="914" ht="15.75" customHeight="1">
      <c r="A914" s="68" t="s">
        <v>2989</v>
      </c>
      <c r="B914" s="69"/>
      <c r="C914" s="72">
        <f t="shared" si="4"/>
        <v>85595344.11</v>
      </c>
      <c r="D914" s="71">
        <v>0.01</v>
      </c>
      <c r="E914" s="72">
        <f t="shared" si="1"/>
        <v>855953.4411</v>
      </c>
      <c r="F914" s="72">
        <f t="shared" si="2"/>
        <v>86451297.55</v>
      </c>
      <c r="G914" s="79" t="str">
        <f t="shared" si="5"/>
        <v/>
      </c>
      <c r="H914" s="81"/>
      <c r="I914" s="75" t="str">
        <f t="shared" si="6"/>
        <v/>
      </c>
      <c r="J914" s="80">
        <f t="shared" si="7"/>
        <v>86441297.55</v>
      </c>
      <c r="K914" s="77" t="str">
        <f t="shared" si="3"/>
        <v/>
      </c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</row>
    <row r="915" ht="15.75" customHeight="1">
      <c r="A915" s="68" t="s">
        <v>2990</v>
      </c>
      <c r="B915" s="69"/>
      <c r="C915" s="72">
        <f t="shared" si="4"/>
        <v>86451297.55</v>
      </c>
      <c r="D915" s="71">
        <v>0.01</v>
      </c>
      <c r="E915" s="72">
        <f t="shared" si="1"/>
        <v>864512.9755</v>
      </c>
      <c r="F915" s="72">
        <f t="shared" si="2"/>
        <v>87315810.52</v>
      </c>
      <c r="G915" s="79" t="str">
        <f t="shared" si="5"/>
        <v/>
      </c>
      <c r="H915" s="81"/>
      <c r="I915" s="75" t="str">
        <f t="shared" si="6"/>
        <v/>
      </c>
      <c r="J915" s="80">
        <f t="shared" si="7"/>
        <v>87305810.52</v>
      </c>
      <c r="K915" s="77" t="str">
        <f t="shared" si="3"/>
        <v/>
      </c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</row>
    <row r="916" ht="15.75" customHeight="1">
      <c r="A916" s="68" t="s">
        <v>2991</v>
      </c>
      <c r="B916" s="69"/>
      <c r="C916" s="72">
        <f t="shared" si="4"/>
        <v>87315810.52</v>
      </c>
      <c r="D916" s="71">
        <v>0.01</v>
      </c>
      <c r="E916" s="72">
        <f t="shared" si="1"/>
        <v>873158.1052</v>
      </c>
      <c r="F916" s="72">
        <f t="shared" si="2"/>
        <v>88188968.63</v>
      </c>
      <c r="G916" s="79" t="str">
        <f t="shared" si="5"/>
        <v/>
      </c>
      <c r="H916" s="81"/>
      <c r="I916" s="75" t="str">
        <f t="shared" si="6"/>
        <v/>
      </c>
      <c r="J916" s="80">
        <f t="shared" si="7"/>
        <v>88178968.63</v>
      </c>
      <c r="K916" s="77" t="str">
        <f t="shared" si="3"/>
        <v/>
      </c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</row>
    <row r="917" ht="15.75" customHeight="1">
      <c r="A917" s="68" t="s">
        <v>2992</v>
      </c>
      <c r="B917" s="69"/>
      <c r="C917" s="72">
        <f t="shared" si="4"/>
        <v>88188968.63</v>
      </c>
      <c r="D917" s="71">
        <v>0.01</v>
      </c>
      <c r="E917" s="72">
        <f t="shared" si="1"/>
        <v>881889.6863</v>
      </c>
      <c r="F917" s="72">
        <f t="shared" si="2"/>
        <v>89070858.32</v>
      </c>
      <c r="G917" s="79" t="str">
        <f t="shared" si="5"/>
        <v/>
      </c>
      <c r="H917" s="81"/>
      <c r="I917" s="75" t="str">
        <f t="shared" si="6"/>
        <v/>
      </c>
      <c r="J917" s="80">
        <f t="shared" si="7"/>
        <v>89060858.32</v>
      </c>
      <c r="K917" s="77" t="str">
        <f t="shared" si="3"/>
        <v/>
      </c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</row>
    <row r="918" ht="15.75" customHeight="1">
      <c r="A918" s="68" t="s">
        <v>2993</v>
      </c>
      <c r="B918" s="69"/>
      <c r="C918" s="72">
        <f t="shared" si="4"/>
        <v>89070858.32</v>
      </c>
      <c r="D918" s="71">
        <v>0.01</v>
      </c>
      <c r="E918" s="72">
        <f t="shared" si="1"/>
        <v>890708.5832</v>
      </c>
      <c r="F918" s="72">
        <f t="shared" si="2"/>
        <v>89961566.9</v>
      </c>
      <c r="G918" s="79" t="str">
        <f t="shared" si="5"/>
        <v/>
      </c>
      <c r="H918" s="81"/>
      <c r="I918" s="75" t="str">
        <f t="shared" si="6"/>
        <v/>
      </c>
      <c r="J918" s="80">
        <f t="shared" si="7"/>
        <v>89951566.9</v>
      </c>
      <c r="K918" s="77" t="str">
        <f t="shared" si="3"/>
        <v/>
      </c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</row>
    <row r="919" ht="15.75" customHeight="1">
      <c r="A919" s="68" t="s">
        <v>2994</v>
      </c>
      <c r="B919" s="69"/>
      <c r="C919" s="72">
        <f t="shared" si="4"/>
        <v>89961566.9</v>
      </c>
      <c r="D919" s="71">
        <v>0.01</v>
      </c>
      <c r="E919" s="72">
        <f t="shared" si="1"/>
        <v>899615.669</v>
      </c>
      <c r="F919" s="72">
        <f t="shared" si="2"/>
        <v>90861182.57</v>
      </c>
      <c r="G919" s="79" t="str">
        <f t="shared" si="5"/>
        <v/>
      </c>
      <c r="H919" s="81"/>
      <c r="I919" s="75" t="str">
        <f t="shared" si="6"/>
        <v/>
      </c>
      <c r="J919" s="80">
        <f t="shared" si="7"/>
        <v>90851182.57</v>
      </c>
      <c r="K919" s="77" t="str">
        <f t="shared" si="3"/>
        <v/>
      </c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</row>
    <row r="920" ht="15.75" customHeight="1">
      <c r="A920" s="68" t="s">
        <v>2995</v>
      </c>
      <c r="B920" s="69"/>
      <c r="C920" s="72">
        <f t="shared" si="4"/>
        <v>90861182.57</v>
      </c>
      <c r="D920" s="71">
        <v>0.01</v>
      </c>
      <c r="E920" s="72">
        <f t="shared" si="1"/>
        <v>908611.8257</v>
      </c>
      <c r="F920" s="72">
        <f t="shared" si="2"/>
        <v>91769794.39</v>
      </c>
      <c r="G920" s="79" t="str">
        <f t="shared" si="5"/>
        <v/>
      </c>
      <c r="H920" s="81"/>
      <c r="I920" s="75" t="str">
        <f t="shared" si="6"/>
        <v/>
      </c>
      <c r="J920" s="80">
        <f t="shared" si="7"/>
        <v>91759794.39</v>
      </c>
      <c r="K920" s="77" t="str">
        <f t="shared" si="3"/>
        <v/>
      </c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</row>
    <row r="921" ht="15.75" customHeight="1">
      <c r="A921" s="68" t="s">
        <v>2996</v>
      </c>
      <c r="B921" s="69"/>
      <c r="C921" s="72">
        <f t="shared" si="4"/>
        <v>91769794.39</v>
      </c>
      <c r="D921" s="71">
        <v>0.01</v>
      </c>
      <c r="E921" s="72">
        <f t="shared" si="1"/>
        <v>917697.9439</v>
      </c>
      <c r="F921" s="72">
        <f t="shared" si="2"/>
        <v>92687492.34</v>
      </c>
      <c r="G921" s="79" t="str">
        <f t="shared" si="5"/>
        <v/>
      </c>
      <c r="H921" s="81"/>
      <c r="I921" s="75" t="str">
        <f t="shared" si="6"/>
        <v/>
      </c>
      <c r="J921" s="80">
        <f t="shared" si="7"/>
        <v>92677492.34</v>
      </c>
      <c r="K921" s="77" t="str">
        <f t="shared" si="3"/>
        <v/>
      </c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</row>
    <row r="922" ht="15.75" customHeight="1">
      <c r="A922" s="68" t="s">
        <v>2997</v>
      </c>
      <c r="B922" s="69"/>
      <c r="C922" s="72">
        <f t="shared" si="4"/>
        <v>92687492.34</v>
      </c>
      <c r="D922" s="71">
        <v>0.01</v>
      </c>
      <c r="E922" s="72">
        <f t="shared" si="1"/>
        <v>926874.9234</v>
      </c>
      <c r="F922" s="72">
        <f t="shared" si="2"/>
        <v>93614367.26</v>
      </c>
      <c r="G922" s="79" t="str">
        <f t="shared" si="5"/>
        <v/>
      </c>
      <c r="H922" s="81"/>
      <c r="I922" s="75" t="str">
        <f t="shared" si="6"/>
        <v/>
      </c>
      <c r="J922" s="80">
        <f t="shared" si="7"/>
        <v>93604367.26</v>
      </c>
      <c r="K922" s="77" t="str">
        <f t="shared" si="3"/>
        <v/>
      </c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</row>
    <row r="923" ht="15.75" customHeight="1">
      <c r="A923" s="68" t="s">
        <v>2998</v>
      </c>
      <c r="B923" s="69"/>
      <c r="C923" s="72">
        <f t="shared" si="4"/>
        <v>93614367.26</v>
      </c>
      <c r="D923" s="71">
        <v>0.01</v>
      </c>
      <c r="E923" s="72">
        <f t="shared" si="1"/>
        <v>936143.6726</v>
      </c>
      <c r="F923" s="72">
        <f t="shared" si="2"/>
        <v>94550510.93</v>
      </c>
      <c r="G923" s="79" t="str">
        <f t="shared" si="5"/>
        <v/>
      </c>
      <c r="H923" s="81"/>
      <c r="I923" s="75" t="str">
        <f t="shared" si="6"/>
        <v/>
      </c>
      <c r="J923" s="80">
        <f t="shared" si="7"/>
        <v>94540510.93</v>
      </c>
      <c r="K923" s="77" t="str">
        <f t="shared" si="3"/>
        <v/>
      </c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</row>
    <row r="924" ht="15.75" customHeight="1">
      <c r="A924" s="68" t="s">
        <v>2999</v>
      </c>
      <c r="B924" s="69"/>
      <c r="C924" s="72">
        <f t="shared" si="4"/>
        <v>94550510.93</v>
      </c>
      <c r="D924" s="71">
        <v>0.01</v>
      </c>
      <c r="E924" s="72">
        <f t="shared" si="1"/>
        <v>945505.1093</v>
      </c>
      <c r="F924" s="72">
        <f t="shared" si="2"/>
        <v>95496016.04</v>
      </c>
      <c r="G924" s="79" t="str">
        <f t="shared" si="5"/>
        <v/>
      </c>
      <c r="H924" s="81"/>
      <c r="I924" s="75" t="str">
        <f t="shared" si="6"/>
        <v/>
      </c>
      <c r="J924" s="80">
        <f t="shared" si="7"/>
        <v>95486016.04</v>
      </c>
      <c r="K924" s="77" t="str">
        <f t="shared" si="3"/>
        <v/>
      </c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</row>
    <row r="925" ht="15.75" customHeight="1">
      <c r="A925" s="68" t="s">
        <v>3000</v>
      </c>
      <c r="B925" s="69"/>
      <c r="C925" s="72">
        <f t="shared" si="4"/>
        <v>95496016.04</v>
      </c>
      <c r="D925" s="71">
        <v>0.01</v>
      </c>
      <c r="E925" s="72">
        <f t="shared" si="1"/>
        <v>954960.1604</v>
      </c>
      <c r="F925" s="72">
        <f t="shared" si="2"/>
        <v>96450976.2</v>
      </c>
      <c r="G925" s="79" t="str">
        <f t="shared" si="5"/>
        <v/>
      </c>
      <c r="H925" s="81"/>
      <c r="I925" s="75" t="str">
        <f t="shared" si="6"/>
        <v/>
      </c>
      <c r="J925" s="80">
        <f t="shared" si="7"/>
        <v>96440976.2</v>
      </c>
      <c r="K925" s="77" t="str">
        <f t="shared" si="3"/>
        <v/>
      </c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</row>
    <row r="926" ht="15.75" customHeight="1">
      <c r="A926" s="68" t="s">
        <v>3001</v>
      </c>
      <c r="B926" s="69"/>
      <c r="C926" s="72">
        <f t="shared" si="4"/>
        <v>96450976.2</v>
      </c>
      <c r="D926" s="71">
        <v>0.01</v>
      </c>
      <c r="E926" s="72">
        <f t="shared" si="1"/>
        <v>964509.762</v>
      </c>
      <c r="F926" s="72">
        <f t="shared" si="2"/>
        <v>97415485.96</v>
      </c>
      <c r="G926" s="79" t="str">
        <f t="shared" si="5"/>
        <v/>
      </c>
      <c r="H926" s="81"/>
      <c r="I926" s="75" t="str">
        <f t="shared" si="6"/>
        <v/>
      </c>
      <c r="J926" s="80">
        <f t="shared" si="7"/>
        <v>97405485.96</v>
      </c>
      <c r="K926" s="77" t="str">
        <f t="shared" si="3"/>
        <v/>
      </c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</row>
    <row r="927" ht="15.75" customHeight="1">
      <c r="A927" s="68" t="s">
        <v>3002</v>
      </c>
      <c r="B927" s="69"/>
      <c r="C927" s="72">
        <f t="shared" si="4"/>
        <v>97415485.96</v>
      </c>
      <c r="D927" s="71">
        <v>0.01</v>
      </c>
      <c r="E927" s="72">
        <f t="shared" si="1"/>
        <v>974154.8596</v>
      </c>
      <c r="F927" s="72">
        <f t="shared" si="2"/>
        <v>98389640.82</v>
      </c>
      <c r="G927" s="79" t="str">
        <f t="shared" si="5"/>
        <v/>
      </c>
      <c r="H927" s="81"/>
      <c r="I927" s="75" t="str">
        <f t="shared" si="6"/>
        <v/>
      </c>
      <c r="J927" s="80">
        <f t="shared" si="7"/>
        <v>98379640.82</v>
      </c>
      <c r="K927" s="77" t="str">
        <f t="shared" si="3"/>
        <v/>
      </c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</row>
    <row r="928" ht="15.75" customHeight="1">
      <c r="A928" s="68" t="s">
        <v>3003</v>
      </c>
      <c r="B928" s="69"/>
      <c r="C928" s="72">
        <f t="shared" si="4"/>
        <v>98389640.82</v>
      </c>
      <c r="D928" s="71">
        <v>0.01</v>
      </c>
      <c r="E928" s="72">
        <f t="shared" si="1"/>
        <v>983896.4082</v>
      </c>
      <c r="F928" s="72">
        <f t="shared" si="2"/>
        <v>99373537.23</v>
      </c>
      <c r="G928" s="79" t="str">
        <f t="shared" si="5"/>
        <v/>
      </c>
      <c r="H928" s="81"/>
      <c r="I928" s="75" t="str">
        <f t="shared" si="6"/>
        <v/>
      </c>
      <c r="J928" s="80">
        <f t="shared" si="7"/>
        <v>99363537.23</v>
      </c>
      <c r="K928" s="77" t="str">
        <f t="shared" si="3"/>
        <v/>
      </c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</row>
    <row r="929" ht="15.75" customHeight="1">
      <c r="A929" s="68" t="s">
        <v>3004</v>
      </c>
      <c r="B929" s="69"/>
      <c r="C929" s="72">
        <f t="shared" si="4"/>
        <v>99373537.23</v>
      </c>
      <c r="D929" s="71">
        <v>0.01</v>
      </c>
      <c r="E929" s="72">
        <f t="shared" si="1"/>
        <v>993735.3723</v>
      </c>
      <c r="F929" s="72">
        <f t="shared" si="2"/>
        <v>100367272.6</v>
      </c>
      <c r="G929" s="79" t="str">
        <f t="shared" si="5"/>
        <v/>
      </c>
      <c r="H929" s="81"/>
      <c r="I929" s="75" t="str">
        <f t="shared" si="6"/>
        <v/>
      </c>
      <c r="J929" s="80">
        <f t="shared" si="7"/>
        <v>100357272.6</v>
      </c>
      <c r="K929" s="77" t="str">
        <f t="shared" si="3"/>
        <v/>
      </c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</row>
    <row r="930" ht="15.75" customHeight="1">
      <c r="A930" s="68" t="s">
        <v>3005</v>
      </c>
      <c r="B930" s="69"/>
      <c r="C930" s="72">
        <f t="shared" si="4"/>
        <v>100367272.6</v>
      </c>
      <c r="D930" s="71">
        <v>0.01</v>
      </c>
      <c r="E930" s="72">
        <f t="shared" si="1"/>
        <v>1003672.726</v>
      </c>
      <c r="F930" s="72">
        <f t="shared" si="2"/>
        <v>101370945.3</v>
      </c>
      <c r="G930" s="79" t="str">
        <f t="shared" si="5"/>
        <v/>
      </c>
      <c r="H930" s="81"/>
      <c r="I930" s="75" t="str">
        <f t="shared" si="6"/>
        <v/>
      </c>
      <c r="J930" s="80">
        <f t="shared" si="7"/>
        <v>101360945.3</v>
      </c>
      <c r="K930" s="77" t="str">
        <f t="shared" si="3"/>
        <v/>
      </c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</row>
    <row r="931" ht="15.75" customHeight="1">
      <c r="A931" s="68" t="s">
        <v>3006</v>
      </c>
      <c r="B931" s="69"/>
      <c r="C931" s="72">
        <f t="shared" si="4"/>
        <v>101370945.3</v>
      </c>
      <c r="D931" s="71">
        <v>0.01</v>
      </c>
      <c r="E931" s="72">
        <f t="shared" si="1"/>
        <v>1013709.453</v>
      </c>
      <c r="F931" s="72">
        <f t="shared" si="2"/>
        <v>102384654.8</v>
      </c>
      <c r="G931" s="79" t="str">
        <f t="shared" si="5"/>
        <v/>
      </c>
      <c r="H931" s="81"/>
      <c r="I931" s="75" t="str">
        <f t="shared" si="6"/>
        <v/>
      </c>
      <c r="J931" s="80">
        <f t="shared" si="7"/>
        <v>102374654.8</v>
      </c>
      <c r="K931" s="77" t="str">
        <f t="shared" si="3"/>
        <v/>
      </c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</row>
    <row r="932" ht="15.75" customHeight="1">
      <c r="A932" s="68" t="s">
        <v>3007</v>
      </c>
      <c r="B932" s="69"/>
      <c r="C932" s="72">
        <f t="shared" si="4"/>
        <v>102384654.8</v>
      </c>
      <c r="D932" s="71">
        <v>0.01</v>
      </c>
      <c r="E932" s="72">
        <f t="shared" si="1"/>
        <v>1023846.548</v>
      </c>
      <c r="F932" s="72">
        <f t="shared" si="2"/>
        <v>103408501.3</v>
      </c>
      <c r="G932" s="79" t="str">
        <f t="shared" si="5"/>
        <v/>
      </c>
      <c r="H932" s="81"/>
      <c r="I932" s="75" t="str">
        <f t="shared" si="6"/>
        <v/>
      </c>
      <c r="J932" s="80">
        <f t="shared" si="7"/>
        <v>103398501.3</v>
      </c>
      <c r="K932" s="77" t="str">
        <f t="shared" si="3"/>
        <v/>
      </c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</row>
    <row r="933" ht="15.75" customHeight="1">
      <c r="A933" s="68" t="s">
        <v>3008</v>
      </c>
      <c r="B933" s="69"/>
      <c r="C933" s="72">
        <f t="shared" si="4"/>
        <v>103408501.3</v>
      </c>
      <c r="D933" s="71">
        <v>0.01</v>
      </c>
      <c r="E933" s="72">
        <f t="shared" si="1"/>
        <v>1034085.013</v>
      </c>
      <c r="F933" s="72">
        <f t="shared" si="2"/>
        <v>104442586.3</v>
      </c>
      <c r="G933" s="79" t="str">
        <f t="shared" si="5"/>
        <v/>
      </c>
      <c r="H933" s="81"/>
      <c r="I933" s="75" t="str">
        <f t="shared" si="6"/>
        <v/>
      </c>
      <c r="J933" s="80">
        <f t="shared" si="7"/>
        <v>104432586.3</v>
      </c>
      <c r="K933" s="77" t="str">
        <f t="shared" si="3"/>
        <v/>
      </c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</row>
    <row r="934" ht="15.75" customHeight="1">
      <c r="A934" s="68" t="s">
        <v>3009</v>
      </c>
      <c r="B934" s="69"/>
      <c r="C934" s="72">
        <f t="shared" si="4"/>
        <v>104442586.3</v>
      </c>
      <c r="D934" s="71">
        <v>0.01</v>
      </c>
      <c r="E934" s="72">
        <f t="shared" si="1"/>
        <v>1044425.863</v>
      </c>
      <c r="F934" s="72">
        <f t="shared" si="2"/>
        <v>105487012.2</v>
      </c>
      <c r="G934" s="79" t="str">
        <f t="shared" si="5"/>
        <v/>
      </c>
      <c r="H934" s="81"/>
      <c r="I934" s="75" t="str">
        <f t="shared" si="6"/>
        <v/>
      </c>
      <c r="J934" s="80">
        <f t="shared" si="7"/>
        <v>105477012.2</v>
      </c>
      <c r="K934" s="77" t="str">
        <f t="shared" si="3"/>
        <v/>
      </c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</row>
    <row r="935" ht="15.75" customHeight="1">
      <c r="A935" s="68" t="s">
        <v>3010</v>
      </c>
      <c r="B935" s="69"/>
      <c r="C935" s="72">
        <f t="shared" si="4"/>
        <v>105487012.2</v>
      </c>
      <c r="D935" s="71">
        <v>0.01</v>
      </c>
      <c r="E935" s="72">
        <f t="shared" si="1"/>
        <v>1054870.122</v>
      </c>
      <c r="F935" s="72">
        <f t="shared" si="2"/>
        <v>106541882.3</v>
      </c>
      <c r="G935" s="79" t="str">
        <f t="shared" si="5"/>
        <v/>
      </c>
      <c r="H935" s="81"/>
      <c r="I935" s="75" t="str">
        <f t="shared" si="6"/>
        <v/>
      </c>
      <c r="J935" s="80">
        <f t="shared" si="7"/>
        <v>106531882.3</v>
      </c>
      <c r="K935" s="77" t="str">
        <f t="shared" si="3"/>
        <v/>
      </c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</row>
    <row r="936" ht="15.75" customHeight="1">
      <c r="A936" s="68" t="s">
        <v>3011</v>
      </c>
      <c r="B936" s="69"/>
      <c r="C936" s="72">
        <f t="shared" si="4"/>
        <v>106541882.3</v>
      </c>
      <c r="D936" s="71">
        <v>0.01</v>
      </c>
      <c r="E936" s="72">
        <f t="shared" si="1"/>
        <v>1065418.823</v>
      </c>
      <c r="F936" s="72">
        <f t="shared" si="2"/>
        <v>107607301.2</v>
      </c>
      <c r="G936" s="79" t="str">
        <f t="shared" si="5"/>
        <v/>
      </c>
      <c r="H936" s="81"/>
      <c r="I936" s="75" t="str">
        <f t="shared" si="6"/>
        <v/>
      </c>
      <c r="J936" s="80">
        <f t="shared" si="7"/>
        <v>107597301.2</v>
      </c>
      <c r="K936" s="77" t="str">
        <f t="shared" si="3"/>
        <v/>
      </c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</row>
    <row r="937" ht="15.75" customHeight="1">
      <c r="A937" s="68" t="s">
        <v>3012</v>
      </c>
      <c r="B937" s="69"/>
      <c r="C937" s="72">
        <f t="shared" si="4"/>
        <v>107607301.2</v>
      </c>
      <c r="D937" s="71">
        <v>0.01</v>
      </c>
      <c r="E937" s="72">
        <f t="shared" si="1"/>
        <v>1076073.012</v>
      </c>
      <c r="F937" s="72">
        <f t="shared" si="2"/>
        <v>108683374.2</v>
      </c>
      <c r="G937" s="79" t="str">
        <f t="shared" si="5"/>
        <v/>
      </c>
      <c r="H937" s="81"/>
      <c r="I937" s="75" t="str">
        <f t="shared" si="6"/>
        <v/>
      </c>
      <c r="J937" s="80">
        <f t="shared" si="7"/>
        <v>108673374.2</v>
      </c>
      <c r="K937" s="77" t="str">
        <f t="shared" si="3"/>
        <v/>
      </c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</row>
    <row r="938" ht="15.75" customHeight="1">
      <c r="A938" s="68" t="s">
        <v>3013</v>
      </c>
      <c r="B938" s="69"/>
      <c r="C938" s="72">
        <f t="shared" si="4"/>
        <v>108683374.2</v>
      </c>
      <c r="D938" s="71">
        <v>0.01</v>
      </c>
      <c r="E938" s="72">
        <f t="shared" si="1"/>
        <v>1086833.742</v>
      </c>
      <c r="F938" s="72">
        <f t="shared" si="2"/>
        <v>109770207.9</v>
      </c>
      <c r="G938" s="79" t="str">
        <f t="shared" si="5"/>
        <v/>
      </c>
      <c r="H938" s="81"/>
      <c r="I938" s="75" t="str">
        <f t="shared" si="6"/>
        <v/>
      </c>
      <c r="J938" s="80">
        <f t="shared" si="7"/>
        <v>109760207.9</v>
      </c>
      <c r="K938" s="77" t="str">
        <f t="shared" si="3"/>
        <v/>
      </c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</row>
    <row r="939" ht="15.75" customHeight="1">
      <c r="A939" s="68" t="s">
        <v>3014</v>
      </c>
      <c r="B939" s="69"/>
      <c r="C939" s="72">
        <f t="shared" si="4"/>
        <v>109770207.9</v>
      </c>
      <c r="D939" s="71">
        <v>0.01</v>
      </c>
      <c r="E939" s="72">
        <f t="shared" si="1"/>
        <v>1097702.079</v>
      </c>
      <c r="F939" s="72">
        <f t="shared" si="2"/>
        <v>110867910</v>
      </c>
      <c r="G939" s="79" t="str">
        <f t="shared" si="5"/>
        <v/>
      </c>
      <c r="H939" s="81"/>
      <c r="I939" s="75" t="str">
        <f t="shared" si="6"/>
        <v/>
      </c>
      <c r="J939" s="80">
        <f t="shared" si="7"/>
        <v>110857910</v>
      </c>
      <c r="K939" s="77" t="str">
        <f t="shared" si="3"/>
        <v/>
      </c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</row>
    <row r="940" ht="15.75" customHeight="1">
      <c r="A940" s="68" t="s">
        <v>3015</v>
      </c>
      <c r="B940" s="69"/>
      <c r="C940" s="72">
        <f t="shared" si="4"/>
        <v>110867910</v>
      </c>
      <c r="D940" s="71">
        <v>0.01</v>
      </c>
      <c r="E940" s="72">
        <f t="shared" si="1"/>
        <v>1108679.1</v>
      </c>
      <c r="F940" s="72">
        <f t="shared" si="2"/>
        <v>111976589.1</v>
      </c>
      <c r="G940" s="79" t="str">
        <f t="shared" si="5"/>
        <v/>
      </c>
      <c r="H940" s="81"/>
      <c r="I940" s="75" t="str">
        <f t="shared" si="6"/>
        <v/>
      </c>
      <c r="J940" s="80">
        <f t="shared" si="7"/>
        <v>111966589.1</v>
      </c>
      <c r="K940" s="77" t="str">
        <f t="shared" si="3"/>
        <v/>
      </c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</row>
    <row r="941" ht="15.75" customHeight="1">
      <c r="A941" s="68" t="s">
        <v>3016</v>
      </c>
      <c r="B941" s="69"/>
      <c r="C941" s="72">
        <f t="shared" si="4"/>
        <v>111976589.1</v>
      </c>
      <c r="D941" s="71">
        <v>0.01</v>
      </c>
      <c r="E941" s="72">
        <f t="shared" si="1"/>
        <v>1119765.891</v>
      </c>
      <c r="F941" s="72">
        <f t="shared" si="2"/>
        <v>113096355</v>
      </c>
      <c r="G941" s="79" t="str">
        <f t="shared" si="5"/>
        <v/>
      </c>
      <c r="H941" s="81"/>
      <c r="I941" s="75" t="str">
        <f t="shared" si="6"/>
        <v/>
      </c>
      <c r="J941" s="80">
        <f t="shared" si="7"/>
        <v>113086355</v>
      </c>
      <c r="K941" s="77" t="str">
        <f t="shared" si="3"/>
        <v/>
      </c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</row>
    <row r="942" ht="15.75" customHeight="1">
      <c r="A942" s="68" t="s">
        <v>3017</v>
      </c>
      <c r="B942" s="69"/>
      <c r="C942" s="72">
        <f t="shared" si="4"/>
        <v>113096355</v>
      </c>
      <c r="D942" s="71">
        <v>0.01</v>
      </c>
      <c r="E942" s="72">
        <f t="shared" si="1"/>
        <v>1130963.55</v>
      </c>
      <c r="F942" s="72">
        <f t="shared" si="2"/>
        <v>114227318.5</v>
      </c>
      <c r="G942" s="79" t="str">
        <f t="shared" si="5"/>
        <v/>
      </c>
      <c r="H942" s="81"/>
      <c r="I942" s="75" t="str">
        <f t="shared" si="6"/>
        <v/>
      </c>
      <c r="J942" s="80">
        <f t="shared" si="7"/>
        <v>114217318.5</v>
      </c>
      <c r="K942" s="77" t="str">
        <f t="shared" si="3"/>
        <v/>
      </c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</row>
    <row r="943" ht="15.75" customHeight="1">
      <c r="A943" s="68" t="s">
        <v>3018</v>
      </c>
      <c r="B943" s="69"/>
      <c r="C943" s="72">
        <f t="shared" si="4"/>
        <v>114227318.5</v>
      </c>
      <c r="D943" s="71">
        <v>0.01</v>
      </c>
      <c r="E943" s="72">
        <f t="shared" si="1"/>
        <v>1142273.185</v>
      </c>
      <c r="F943" s="72">
        <f t="shared" si="2"/>
        <v>115369591.7</v>
      </c>
      <c r="G943" s="79" t="str">
        <f t="shared" si="5"/>
        <v/>
      </c>
      <c r="H943" s="81"/>
      <c r="I943" s="75" t="str">
        <f t="shared" si="6"/>
        <v/>
      </c>
      <c r="J943" s="80">
        <f t="shared" si="7"/>
        <v>115359591.7</v>
      </c>
      <c r="K943" s="77" t="str">
        <f t="shared" si="3"/>
        <v/>
      </c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</row>
    <row r="944" ht="15.75" customHeight="1">
      <c r="A944" s="68" t="s">
        <v>3019</v>
      </c>
      <c r="B944" s="69"/>
      <c r="C944" s="72">
        <f t="shared" si="4"/>
        <v>115369591.7</v>
      </c>
      <c r="D944" s="71">
        <v>0.01</v>
      </c>
      <c r="E944" s="72">
        <f t="shared" si="1"/>
        <v>1153695.917</v>
      </c>
      <c r="F944" s="72">
        <f t="shared" si="2"/>
        <v>116523287.6</v>
      </c>
      <c r="G944" s="79" t="str">
        <f t="shared" si="5"/>
        <v/>
      </c>
      <c r="H944" s="81"/>
      <c r="I944" s="75" t="str">
        <f t="shared" si="6"/>
        <v/>
      </c>
      <c r="J944" s="80">
        <f t="shared" si="7"/>
        <v>116513287.6</v>
      </c>
      <c r="K944" s="77" t="str">
        <f t="shared" si="3"/>
        <v/>
      </c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</row>
    <row r="945" ht="15.75" customHeight="1">
      <c r="A945" s="68" t="s">
        <v>3020</v>
      </c>
      <c r="B945" s="69"/>
      <c r="C945" s="72">
        <f t="shared" si="4"/>
        <v>116523287.6</v>
      </c>
      <c r="D945" s="71">
        <v>0.01</v>
      </c>
      <c r="E945" s="72">
        <f t="shared" si="1"/>
        <v>1165232.876</v>
      </c>
      <c r="F945" s="72">
        <f t="shared" si="2"/>
        <v>117688520.5</v>
      </c>
      <c r="G945" s="79" t="str">
        <f t="shared" si="5"/>
        <v/>
      </c>
      <c r="H945" s="81"/>
      <c r="I945" s="75" t="str">
        <f t="shared" si="6"/>
        <v/>
      </c>
      <c r="J945" s="80">
        <f t="shared" si="7"/>
        <v>117678520.5</v>
      </c>
      <c r="K945" s="77" t="str">
        <f t="shared" si="3"/>
        <v/>
      </c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</row>
    <row r="946" ht="15.75" customHeight="1">
      <c r="A946" s="68" t="s">
        <v>3021</v>
      </c>
      <c r="B946" s="69"/>
      <c r="C946" s="72">
        <f t="shared" si="4"/>
        <v>117688520.5</v>
      </c>
      <c r="D946" s="71">
        <v>0.01</v>
      </c>
      <c r="E946" s="72">
        <f t="shared" si="1"/>
        <v>1176885.205</v>
      </c>
      <c r="F946" s="72">
        <f t="shared" si="2"/>
        <v>118865405.7</v>
      </c>
      <c r="G946" s="79" t="str">
        <f t="shared" si="5"/>
        <v/>
      </c>
      <c r="H946" s="81"/>
      <c r="I946" s="75" t="str">
        <f t="shared" si="6"/>
        <v/>
      </c>
      <c r="J946" s="80">
        <f t="shared" si="7"/>
        <v>118855405.7</v>
      </c>
      <c r="K946" s="77" t="str">
        <f t="shared" si="3"/>
        <v/>
      </c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</row>
    <row r="947" ht="15.75" customHeight="1">
      <c r="A947" s="68" t="s">
        <v>3022</v>
      </c>
      <c r="B947" s="69"/>
      <c r="C947" s="72">
        <f t="shared" si="4"/>
        <v>118865405.7</v>
      </c>
      <c r="D947" s="71">
        <v>0.01</v>
      </c>
      <c r="E947" s="72">
        <f t="shared" si="1"/>
        <v>1188654.057</v>
      </c>
      <c r="F947" s="72">
        <f t="shared" si="2"/>
        <v>120054059.8</v>
      </c>
      <c r="G947" s="79" t="str">
        <f t="shared" si="5"/>
        <v/>
      </c>
      <c r="H947" s="81"/>
      <c r="I947" s="75" t="str">
        <f t="shared" si="6"/>
        <v/>
      </c>
      <c r="J947" s="80">
        <f t="shared" si="7"/>
        <v>120044059.8</v>
      </c>
      <c r="K947" s="77" t="str">
        <f t="shared" si="3"/>
        <v/>
      </c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</row>
    <row r="948" ht="15.75" customHeight="1">
      <c r="A948" s="68" t="s">
        <v>3023</v>
      </c>
      <c r="B948" s="69"/>
      <c r="C948" s="72">
        <f t="shared" si="4"/>
        <v>120054059.8</v>
      </c>
      <c r="D948" s="71">
        <v>0.01</v>
      </c>
      <c r="E948" s="72">
        <f t="shared" si="1"/>
        <v>1200540.598</v>
      </c>
      <c r="F948" s="72">
        <f t="shared" si="2"/>
        <v>121254600.4</v>
      </c>
      <c r="G948" s="79" t="str">
        <f t="shared" si="5"/>
        <v/>
      </c>
      <c r="H948" s="81"/>
      <c r="I948" s="75" t="str">
        <f t="shared" si="6"/>
        <v/>
      </c>
      <c r="J948" s="80">
        <f t="shared" si="7"/>
        <v>121244600.4</v>
      </c>
      <c r="K948" s="77" t="str">
        <f t="shared" si="3"/>
        <v/>
      </c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</row>
    <row r="949" ht="15.75" customHeight="1">
      <c r="A949" s="68" t="s">
        <v>3024</v>
      </c>
      <c r="B949" s="69"/>
      <c r="C949" s="72">
        <f t="shared" si="4"/>
        <v>121254600.4</v>
      </c>
      <c r="D949" s="71">
        <v>0.01</v>
      </c>
      <c r="E949" s="72">
        <f t="shared" si="1"/>
        <v>1212546.004</v>
      </c>
      <c r="F949" s="72">
        <f t="shared" si="2"/>
        <v>122467146.4</v>
      </c>
      <c r="G949" s="79" t="str">
        <f t="shared" si="5"/>
        <v/>
      </c>
      <c r="H949" s="81"/>
      <c r="I949" s="75" t="str">
        <f t="shared" si="6"/>
        <v/>
      </c>
      <c r="J949" s="80">
        <f t="shared" si="7"/>
        <v>122457146.4</v>
      </c>
      <c r="K949" s="77" t="str">
        <f t="shared" si="3"/>
        <v/>
      </c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</row>
    <row r="950" ht="15.75" customHeight="1">
      <c r="A950" s="68" t="s">
        <v>3025</v>
      </c>
      <c r="B950" s="69"/>
      <c r="C950" s="72">
        <f t="shared" si="4"/>
        <v>122467146.4</v>
      </c>
      <c r="D950" s="71">
        <v>0.01</v>
      </c>
      <c r="E950" s="72">
        <f t="shared" si="1"/>
        <v>1224671.464</v>
      </c>
      <c r="F950" s="72">
        <f t="shared" si="2"/>
        <v>123691817.8</v>
      </c>
      <c r="G950" s="79" t="str">
        <f t="shared" si="5"/>
        <v/>
      </c>
      <c r="H950" s="81"/>
      <c r="I950" s="75" t="str">
        <f t="shared" si="6"/>
        <v/>
      </c>
      <c r="J950" s="80">
        <f t="shared" si="7"/>
        <v>123681817.8</v>
      </c>
      <c r="K950" s="77" t="str">
        <f t="shared" si="3"/>
        <v/>
      </c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</row>
    <row r="951" ht="15.75" customHeight="1">
      <c r="A951" s="68" t="s">
        <v>3026</v>
      </c>
      <c r="B951" s="69"/>
      <c r="C951" s="72">
        <f t="shared" si="4"/>
        <v>123691817.8</v>
      </c>
      <c r="D951" s="71">
        <v>0.01</v>
      </c>
      <c r="E951" s="72">
        <f t="shared" si="1"/>
        <v>1236918.178</v>
      </c>
      <c r="F951" s="72">
        <f t="shared" si="2"/>
        <v>124928736</v>
      </c>
      <c r="G951" s="79" t="str">
        <f t="shared" si="5"/>
        <v/>
      </c>
      <c r="H951" s="81"/>
      <c r="I951" s="75" t="str">
        <f t="shared" si="6"/>
        <v/>
      </c>
      <c r="J951" s="80">
        <f t="shared" si="7"/>
        <v>124918736</v>
      </c>
      <c r="K951" s="77" t="str">
        <f t="shared" si="3"/>
        <v/>
      </c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</row>
    <row r="952" ht="15.75" customHeight="1">
      <c r="A952" s="68" t="s">
        <v>3027</v>
      </c>
      <c r="B952" s="69"/>
      <c r="C952" s="72">
        <f t="shared" si="4"/>
        <v>124928736</v>
      </c>
      <c r="D952" s="71">
        <v>0.01</v>
      </c>
      <c r="E952" s="72">
        <f t="shared" si="1"/>
        <v>1249287.36</v>
      </c>
      <c r="F952" s="72">
        <f t="shared" si="2"/>
        <v>126178023.4</v>
      </c>
      <c r="G952" s="79" t="str">
        <f t="shared" si="5"/>
        <v/>
      </c>
      <c r="H952" s="81"/>
      <c r="I952" s="75" t="str">
        <f t="shared" si="6"/>
        <v/>
      </c>
      <c r="J952" s="80">
        <f t="shared" si="7"/>
        <v>126168023.4</v>
      </c>
      <c r="K952" s="77" t="str">
        <f t="shared" si="3"/>
        <v/>
      </c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</row>
    <row r="953" ht="15.75" customHeight="1">
      <c r="A953" s="68" t="s">
        <v>3028</v>
      </c>
      <c r="B953" s="69"/>
      <c r="C953" s="72">
        <f t="shared" si="4"/>
        <v>126178023.4</v>
      </c>
      <c r="D953" s="71">
        <v>0.01</v>
      </c>
      <c r="E953" s="72">
        <f t="shared" si="1"/>
        <v>1261780.234</v>
      </c>
      <c r="F953" s="72">
        <f t="shared" si="2"/>
        <v>127439803.6</v>
      </c>
      <c r="G953" s="79" t="str">
        <f t="shared" si="5"/>
        <v/>
      </c>
      <c r="H953" s="81"/>
      <c r="I953" s="75" t="str">
        <f t="shared" si="6"/>
        <v/>
      </c>
      <c r="J953" s="80">
        <f t="shared" si="7"/>
        <v>127429803.6</v>
      </c>
      <c r="K953" s="77" t="str">
        <f t="shared" si="3"/>
        <v/>
      </c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</row>
    <row r="954" ht="15.75" customHeight="1">
      <c r="A954" s="68" t="s">
        <v>3029</v>
      </c>
      <c r="B954" s="69"/>
      <c r="C954" s="72">
        <f t="shared" si="4"/>
        <v>127439803.6</v>
      </c>
      <c r="D954" s="71">
        <v>0.01</v>
      </c>
      <c r="E954" s="72">
        <f t="shared" si="1"/>
        <v>1274398.036</v>
      </c>
      <c r="F954" s="72">
        <f t="shared" si="2"/>
        <v>128714201.6</v>
      </c>
      <c r="G954" s="79" t="str">
        <f t="shared" si="5"/>
        <v/>
      </c>
      <c r="H954" s="81"/>
      <c r="I954" s="75" t="str">
        <f t="shared" si="6"/>
        <v/>
      </c>
      <c r="J954" s="80">
        <f t="shared" si="7"/>
        <v>128704201.6</v>
      </c>
      <c r="K954" s="77" t="str">
        <f t="shared" si="3"/>
        <v/>
      </c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</row>
    <row r="955" ht="15.75" customHeight="1">
      <c r="A955" s="68" t="s">
        <v>3030</v>
      </c>
      <c r="B955" s="69"/>
      <c r="C955" s="72">
        <f t="shared" si="4"/>
        <v>128714201.6</v>
      </c>
      <c r="D955" s="71">
        <v>0.01</v>
      </c>
      <c r="E955" s="72">
        <f t="shared" si="1"/>
        <v>1287142.016</v>
      </c>
      <c r="F955" s="72">
        <f t="shared" si="2"/>
        <v>130001343.7</v>
      </c>
      <c r="G955" s="79" t="str">
        <f t="shared" si="5"/>
        <v/>
      </c>
      <c r="H955" s="81"/>
      <c r="I955" s="75" t="str">
        <f t="shared" si="6"/>
        <v/>
      </c>
      <c r="J955" s="80">
        <f t="shared" si="7"/>
        <v>129991343.7</v>
      </c>
      <c r="K955" s="77" t="str">
        <f t="shared" si="3"/>
        <v/>
      </c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</row>
    <row r="956" ht="15.75" customHeight="1">
      <c r="A956" s="68" t="s">
        <v>3031</v>
      </c>
      <c r="B956" s="69"/>
      <c r="C956" s="72">
        <f t="shared" si="4"/>
        <v>130001343.7</v>
      </c>
      <c r="D956" s="71">
        <v>0.01</v>
      </c>
      <c r="E956" s="72">
        <f t="shared" si="1"/>
        <v>1300013.437</v>
      </c>
      <c r="F956" s="72">
        <f t="shared" si="2"/>
        <v>131301357.1</v>
      </c>
      <c r="G956" s="79" t="str">
        <f t="shared" si="5"/>
        <v/>
      </c>
      <c r="H956" s="81"/>
      <c r="I956" s="75" t="str">
        <f t="shared" si="6"/>
        <v/>
      </c>
      <c r="J956" s="80">
        <f t="shared" si="7"/>
        <v>131291357.1</v>
      </c>
      <c r="K956" s="77" t="str">
        <f t="shared" si="3"/>
        <v/>
      </c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</row>
    <row r="957" ht="15.75" customHeight="1">
      <c r="A957" s="68" t="s">
        <v>3032</v>
      </c>
      <c r="B957" s="69"/>
      <c r="C957" s="72">
        <f t="shared" si="4"/>
        <v>131301357.1</v>
      </c>
      <c r="D957" s="71">
        <v>0.01</v>
      </c>
      <c r="E957" s="72">
        <f t="shared" si="1"/>
        <v>1313013.571</v>
      </c>
      <c r="F957" s="72">
        <f t="shared" si="2"/>
        <v>132614370.7</v>
      </c>
      <c r="G957" s="79" t="str">
        <f t="shared" si="5"/>
        <v/>
      </c>
      <c r="H957" s="81"/>
      <c r="I957" s="75" t="str">
        <f t="shared" si="6"/>
        <v/>
      </c>
      <c r="J957" s="80">
        <f t="shared" si="7"/>
        <v>132604370.7</v>
      </c>
      <c r="K957" s="77" t="str">
        <f t="shared" si="3"/>
        <v/>
      </c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</row>
    <row r="958" ht="15.75" customHeight="1">
      <c r="A958" s="68" t="s">
        <v>3033</v>
      </c>
      <c r="B958" s="69"/>
      <c r="C958" s="72">
        <f t="shared" si="4"/>
        <v>132614370.7</v>
      </c>
      <c r="D958" s="71">
        <v>0.01</v>
      </c>
      <c r="E958" s="72">
        <f t="shared" si="1"/>
        <v>1326143.707</v>
      </c>
      <c r="F958" s="72">
        <f t="shared" si="2"/>
        <v>133940514.4</v>
      </c>
      <c r="G958" s="79" t="str">
        <f t="shared" si="5"/>
        <v/>
      </c>
      <c r="H958" s="81"/>
      <c r="I958" s="75" t="str">
        <f t="shared" si="6"/>
        <v/>
      </c>
      <c r="J958" s="80">
        <f t="shared" si="7"/>
        <v>133930514.4</v>
      </c>
      <c r="K958" s="77" t="str">
        <f t="shared" si="3"/>
        <v/>
      </c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</row>
    <row r="959" ht="15.75" customHeight="1">
      <c r="A959" s="68" t="s">
        <v>3034</v>
      </c>
      <c r="B959" s="69"/>
      <c r="C959" s="72">
        <f t="shared" si="4"/>
        <v>133940514.4</v>
      </c>
      <c r="D959" s="71">
        <v>0.01</v>
      </c>
      <c r="E959" s="72">
        <f t="shared" si="1"/>
        <v>1339405.144</v>
      </c>
      <c r="F959" s="72">
        <f t="shared" si="2"/>
        <v>135279919.5</v>
      </c>
      <c r="G959" s="79" t="str">
        <f t="shared" si="5"/>
        <v/>
      </c>
      <c r="H959" s="81"/>
      <c r="I959" s="75" t="str">
        <f t="shared" si="6"/>
        <v/>
      </c>
      <c r="J959" s="80">
        <f t="shared" si="7"/>
        <v>135269919.5</v>
      </c>
      <c r="K959" s="77" t="str">
        <f t="shared" si="3"/>
        <v/>
      </c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</row>
    <row r="960" ht="15.75" customHeight="1">
      <c r="A960" s="68" t="s">
        <v>3035</v>
      </c>
      <c r="B960" s="69"/>
      <c r="C960" s="72">
        <f t="shared" si="4"/>
        <v>135279919.5</v>
      </c>
      <c r="D960" s="71">
        <v>0.01</v>
      </c>
      <c r="E960" s="72">
        <f t="shared" si="1"/>
        <v>1352799.195</v>
      </c>
      <c r="F960" s="72">
        <f t="shared" si="2"/>
        <v>136632718.7</v>
      </c>
      <c r="G960" s="79" t="str">
        <f t="shared" si="5"/>
        <v/>
      </c>
      <c r="H960" s="81"/>
      <c r="I960" s="75" t="str">
        <f t="shared" si="6"/>
        <v/>
      </c>
      <c r="J960" s="80">
        <f t="shared" si="7"/>
        <v>136622718.7</v>
      </c>
      <c r="K960" s="77" t="str">
        <f t="shared" si="3"/>
        <v/>
      </c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</row>
    <row r="961" ht="15.75" customHeight="1">
      <c r="A961" s="68" t="s">
        <v>3036</v>
      </c>
      <c r="B961" s="69"/>
      <c r="C961" s="72">
        <f t="shared" si="4"/>
        <v>136632718.7</v>
      </c>
      <c r="D961" s="71">
        <v>0.01</v>
      </c>
      <c r="E961" s="72">
        <f t="shared" si="1"/>
        <v>1366327.187</v>
      </c>
      <c r="F961" s="72">
        <f t="shared" si="2"/>
        <v>137999045.9</v>
      </c>
      <c r="G961" s="79" t="str">
        <f t="shared" si="5"/>
        <v/>
      </c>
      <c r="H961" s="81"/>
      <c r="I961" s="75" t="str">
        <f t="shared" si="6"/>
        <v/>
      </c>
      <c r="J961" s="80">
        <f t="shared" si="7"/>
        <v>137989045.9</v>
      </c>
      <c r="K961" s="77" t="str">
        <f t="shared" si="3"/>
        <v/>
      </c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</row>
    <row r="962" ht="15.75" customHeight="1">
      <c r="A962" s="68" t="s">
        <v>3037</v>
      </c>
      <c r="B962" s="69"/>
      <c r="C962" s="72">
        <f t="shared" si="4"/>
        <v>137999045.9</v>
      </c>
      <c r="D962" s="71">
        <v>0.01</v>
      </c>
      <c r="E962" s="72">
        <f t="shared" si="1"/>
        <v>1379990.459</v>
      </c>
      <c r="F962" s="72">
        <f t="shared" si="2"/>
        <v>139379036.4</v>
      </c>
      <c r="G962" s="79" t="str">
        <f t="shared" si="5"/>
        <v/>
      </c>
      <c r="H962" s="81"/>
      <c r="I962" s="75" t="str">
        <f t="shared" si="6"/>
        <v/>
      </c>
      <c r="J962" s="80">
        <f t="shared" si="7"/>
        <v>139369036.4</v>
      </c>
      <c r="K962" s="77" t="str">
        <f t="shared" si="3"/>
        <v/>
      </c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</row>
    <row r="963" ht="15.75" customHeight="1">
      <c r="A963" s="68" t="s">
        <v>3038</v>
      </c>
      <c r="B963" s="69"/>
      <c r="C963" s="72">
        <f t="shared" si="4"/>
        <v>139379036.4</v>
      </c>
      <c r="D963" s="71">
        <v>0.01</v>
      </c>
      <c r="E963" s="72">
        <f t="shared" si="1"/>
        <v>1393790.364</v>
      </c>
      <c r="F963" s="72">
        <f t="shared" si="2"/>
        <v>140772826.7</v>
      </c>
      <c r="G963" s="79" t="str">
        <f t="shared" si="5"/>
        <v/>
      </c>
      <c r="H963" s="81"/>
      <c r="I963" s="75" t="str">
        <f t="shared" si="6"/>
        <v/>
      </c>
      <c r="J963" s="80">
        <f t="shared" si="7"/>
        <v>140762826.7</v>
      </c>
      <c r="K963" s="77" t="str">
        <f t="shared" si="3"/>
        <v/>
      </c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</row>
    <row r="964" ht="15.75" customHeight="1">
      <c r="A964" s="68" t="s">
        <v>3039</v>
      </c>
      <c r="B964" s="69"/>
      <c r="C964" s="72">
        <f t="shared" si="4"/>
        <v>140772826.7</v>
      </c>
      <c r="D964" s="71">
        <v>0.01</v>
      </c>
      <c r="E964" s="72">
        <f t="shared" si="1"/>
        <v>1407728.267</v>
      </c>
      <c r="F964" s="72">
        <f t="shared" si="2"/>
        <v>142180555</v>
      </c>
      <c r="G964" s="79" t="str">
        <f t="shared" si="5"/>
        <v/>
      </c>
      <c r="H964" s="81"/>
      <c r="I964" s="75" t="str">
        <f t="shared" si="6"/>
        <v/>
      </c>
      <c r="J964" s="80">
        <f t="shared" si="7"/>
        <v>142170555</v>
      </c>
      <c r="K964" s="77" t="str">
        <f t="shared" si="3"/>
        <v/>
      </c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</row>
    <row r="965" ht="15.75" customHeight="1">
      <c r="A965" s="68" t="s">
        <v>3040</v>
      </c>
      <c r="B965" s="69"/>
      <c r="C965" s="72">
        <f t="shared" si="4"/>
        <v>142180555</v>
      </c>
      <c r="D965" s="71">
        <v>0.01</v>
      </c>
      <c r="E965" s="72">
        <f t="shared" si="1"/>
        <v>1421805.55</v>
      </c>
      <c r="F965" s="72">
        <f t="shared" si="2"/>
        <v>143602360.5</v>
      </c>
      <c r="G965" s="79" t="str">
        <f t="shared" si="5"/>
        <v/>
      </c>
      <c r="H965" s="81"/>
      <c r="I965" s="75" t="str">
        <f t="shared" si="6"/>
        <v/>
      </c>
      <c r="J965" s="80">
        <f t="shared" si="7"/>
        <v>143592360.5</v>
      </c>
      <c r="K965" s="77" t="str">
        <f t="shared" si="3"/>
        <v/>
      </c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</row>
    <row r="966" ht="15.75" customHeight="1">
      <c r="A966" s="68" t="s">
        <v>3041</v>
      </c>
      <c r="B966" s="69"/>
      <c r="C966" s="72">
        <f t="shared" si="4"/>
        <v>143602360.5</v>
      </c>
      <c r="D966" s="71">
        <v>0.01</v>
      </c>
      <c r="E966" s="72">
        <f t="shared" si="1"/>
        <v>1436023.605</v>
      </c>
      <c r="F966" s="72">
        <f t="shared" si="2"/>
        <v>145038384.1</v>
      </c>
      <c r="G966" s="79" t="str">
        <f t="shared" si="5"/>
        <v/>
      </c>
      <c r="H966" s="81"/>
      <c r="I966" s="75" t="str">
        <f t="shared" si="6"/>
        <v/>
      </c>
      <c r="J966" s="80">
        <f t="shared" si="7"/>
        <v>145028384.1</v>
      </c>
      <c r="K966" s="77" t="str">
        <f t="shared" si="3"/>
        <v/>
      </c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</row>
    <row r="967" ht="15.75" customHeight="1">
      <c r="A967" s="68" t="s">
        <v>3042</v>
      </c>
      <c r="B967" s="69"/>
      <c r="C967" s="72">
        <f t="shared" si="4"/>
        <v>145038384.1</v>
      </c>
      <c r="D967" s="71">
        <v>0.01</v>
      </c>
      <c r="E967" s="72">
        <f t="shared" si="1"/>
        <v>1450383.841</v>
      </c>
      <c r="F967" s="72">
        <f t="shared" si="2"/>
        <v>146488768</v>
      </c>
      <c r="G967" s="79" t="str">
        <f t="shared" si="5"/>
        <v/>
      </c>
      <c r="H967" s="81"/>
      <c r="I967" s="75" t="str">
        <f t="shared" si="6"/>
        <v/>
      </c>
      <c r="J967" s="80">
        <f t="shared" si="7"/>
        <v>146478768</v>
      </c>
      <c r="K967" s="77" t="str">
        <f t="shared" si="3"/>
        <v/>
      </c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</row>
    <row r="968" ht="15.75" customHeight="1">
      <c r="A968" s="68" t="s">
        <v>3043</v>
      </c>
      <c r="B968" s="69"/>
      <c r="C968" s="72">
        <f t="shared" si="4"/>
        <v>146488768</v>
      </c>
      <c r="D968" s="71">
        <v>0.01</v>
      </c>
      <c r="E968" s="72">
        <f t="shared" si="1"/>
        <v>1464887.68</v>
      </c>
      <c r="F968" s="72">
        <f t="shared" si="2"/>
        <v>147953655.7</v>
      </c>
      <c r="G968" s="79" t="str">
        <f t="shared" si="5"/>
        <v/>
      </c>
      <c r="H968" s="81"/>
      <c r="I968" s="75" t="str">
        <f t="shared" si="6"/>
        <v/>
      </c>
      <c r="J968" s="80">
        <f t="shared" si="7"/>
        <v>147943655.7</v>
      </c>
      <c r="K968" s="77" t="str">
        <f t="shared" si="3"/>
        <v/>
      </c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</row>
    <row r="969" ht="15.75" customHeight="1">
      <c r="A969" s="68" t="s">
        <v>3044</v>
      </c>
      <c r="B969" s="69"/>
      <c r="C969" s="72">
        <f t="shared" si="4"/>
        <v>147953655.7</v>
      </c>
      <c r="D969" s="71">
        <v>0.01</v>
      </c>
      <c r="E969" s="72">
        <f t="shared" si="1"/>
        <v>1479536.557</v>
      </c>
      <c r="F969" s="72">
        <f t="shared" si="2"/>
        <v>149433192.2</v>
      </c>
      <c r="G969" s="79" t="str">
        <f t="shared" si="5"/>
        <v/>
      </c>
      <c r="H969" s="81"/>
      <c r="I969" s="75" t="str">
        <f t="shared" si="6"/>
        <v/>
      </c>
      <c r="J969" s="80">
        <f t="shared" si="7"/>
        <v>149423192.2</v>
      </c>
      <c r="K969" s="77" t="str">
        <f t="shared" si="3"/>
        <v/>
      </c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</row>
    <row r="970" ht="15.75" customHeight="1">
      <c r="A970" s="68" t="s">
        <v>3045</v>
      </c>
      <c r="B970" s="69"/>
      <c r="C970" s="72">
        <f t="shared" si="4"/>
        <v>149433192.2</v>
      </c>
      <c r="D970" s="71">
        <v>0.01</v>
      </c>
      <c r="E970" s="72">
        <f t="shared" si="1"/>
        <v>1494331.922</v>
      </c>
      <c r="F970" s="72">
        <f t="shared" si="2"/>
        <v>150927524.1</v>
      </c>
      <c r="G970" s="79" t="str">
        <f t="shared" si="5"/>
        <v/>
      </c>
      <c r="H970" s="81"/>
      <c r="I970" s="75" t="str">
        <f t="shared" si="6"/>
        <v/>
      </c>
      <c r="J970" s="80">
        <f t="shared" si="7"/>
        <v>150917524.1</v>
      </c>
      <c r="K970" s="77" t="str">
        <f t="shared" si="3"/>
        <v/>
      </c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</row>
    <row r="971" ht="15.75" customHeight="1">
      <c r="A971" s="68" t="s">
        <v>3046</v>
      </c>
      <c r="B971" s="69"/>
      <c r="C971" s="72">
        <f t="shared" si="4"/>
        <v>150927524.1</v>
      </c>
      <c r="D971" s="71">
        <v>0.01</v>
      </c>
      <c r="E971" s="72">
        <f t="shared" si="1"/>
        <v>1509275.241</v>
      </c>
      <c r="F971" s="72">
        <f t="shared" si="2"/>
        <v>152436799.4</v>
      </c>
      <c r="G971" s="79" t="str">
        <f t="shared" si="5"/>
        <v/>
      </c>
      <c r="H971" s="81"/>
      <c r="I971" s="75" t="str">
        <f t="shared" si="6"/>
        <v/>
      </c>
      <c r="J971" s="80">
        <f t="shared" si="7"/>
        <v>152426799.4</v>
      </c>
      <c r="K971" s="77" t="str">
        <f t="shared" si="3"/>
        <v/>
      </c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</row>
    <row r="972" ht="15.75" customHeight="1">
      <c r="A972" s="68" t="s">
        <v>3047</v>
      </c>
      <c r="B972" s="69"/>
      <c r="C972" s="72">
        <f t="shared" si="4"/>
        <v>152436799.4</v>
      </c>
      <c r="D972" s="71">
        <v>0.01</v>
      </c>
      <c r="E972" s="72">
        <f t="shared" si="1"/>
        <v>1524367.994</v>
      </c>
      <c r="F972" s="72">
        <f t="shared" si="2"/>
        <v>153961167.4</v>
      </c>
      <c r="G972" s="79" t="str">
        <f t="shared" si="5"/>
        <v/>
      </c>
      <c r="H972" s="81"/>
      <c r="I972" s="75" t="str">
        <f t="shared" si="6"/>
        <v/>
      </c>
      <c r="J972" s="80">
        <f t="shared" si="7"/>
        <v>153951167.4</v>
      </c>
      <c r="K972" s="77" t="str">
        <f t="shared" si="3"/>
        <v/>
      </c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</row>
    <row r="973" ht="15.75" customHeight="1">
      <c r="A973" s="68" t="s">
        <v>3048</v>
      </c>
      <c r="B973" s="69"/>
      <c r="C973" s="72">
        <f t="shared" si="4"/>
        <v>153961167.4</v>
      </c>
      <c r="D973" s="71">
        <v>0.01</v>
      </c>
      <c r="E973" s="72">
        <f t="shared" si="1"/>
        <v>1539611.674</v>
      </c>
      <c r="F973" s="72">
        <f t="shared" si="2"/>
        <v>155500779.1</v>
      </c>
      <c r="G973" s="79" t="str">
        <f t="shared" si="5"/>
        <v/>
      </c>
      <c r="H973" s="81"/>
      <c r="I973" s="75" t="str">
        <f t="shared" si="6"/>
        <v/>
      </c>
      <c r="J973" s="80">
        <f t="shared" si="7"/>
        <v>155490779.1</v>
      </c>
      <c r="K973" s="77" t="str">
        <f t="shared" si="3"/>
        <v/>
      </c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</row>
    <row r="974" ht="15.75" customHeight="1">
      <c r="A974" s="68" t="s">
        <v>3049</v>
      </c>
      <c r="B974" s="69"/>
      <c r="C974" s="72">
        <f t="shared" si="4"/>
        <v>155500779.1</v>
      </c>
      <c r="D974" s="71">
        <v>0.01</v>
      </c>
      <c r="E974" s="72">
        <f t="shared" si="1"/>
        <v>1555007.791</v>
      </c>
      <c r="F974" s="72">
        <f t="shared" si="2"/>
        <v>157055786.8</v>
      </c>
      <c r="G974" s="79" t="str">
        <f t="shared" si="5"/>
        <v/>
      </c>
      <c r="H974" s="81"/>
      <c r="I974" s="75" t="str">
        <f t="shared" si="6"/>
        <v/>
      </c>
      <c r="J974" s="80">
        <f t="shared" si="7"/>
        <v>157045786.8</v>
      </c>
      <c r="K974" s="77" t="str">
        <f t="shared" si="3"/>
        <v/>
      </c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</row>
    <row r="975" ht="15.75" customHeight="1">
      <c r="A975" s="68" t="s">
        <v>3050</v>
      </c>
      <c r="B975" s="69"/>
      <c r="C975" s="72">
        <f t="shared" si="4"/>
        <v>157055786.8</v>
      </c>
      <c r="D975" s="71">
        <v>0.01</v>
      </c>
      <c r="E975" s="72">
        <f t="shared" si="1"/>
        <v>1570557.868</v>
      </c>
      <c r="F975" s="72">
        <f t="shared" si="2"/>
        <v>158626344.7</v>
      </c>
      <c r="G975" s="79" t="str">
        <f t="shared" si="5"/>
        <v/>
      </c>
      <c r="H975" s="81"/>
      <c r="I975" s="75" t="str">
        <f t="shared" si="6"/>
        <v/>
      </c>
      <c r="J975" s="80">
        <f t="shared" si="7"/>
        <v>158616344.7</v>
      </c>
      <c r="K975" s="77" t="str">
        <f t="shared" si="3"/>
        <v/>
      </c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</row>
    <row r="976" ht="15.75" customHeight="1">
      <c r="A976" s="68" t="s">
        <v>3051</v>
      </c>
      <c r="B976" s="69"/>
      <c r="C976" s="72">
        <f t="shared" si="4"/>
        <v>158626344.7</v>
      </c>
      <c r="D976" s="71">
        <v>0.01</v>
      </c>
      <c r="E976" s="72">
        <f t="shared" si="1"/>
        <v>1586263.447</v>
      </c>
      <c r="F976" s="72">
        <f t="shared" si="2"/>
        <v>160212608.2</v>
      </c>
      <c r="G976" s="79" t="str">
        <f t="shared" si="5"/>
        <v/>
      </c>
      <c r="H976" s="81"/>
      <c r="I976" s="75" t="str">
        <f t="shared" si="6"/>
        <v/>
      </c>
      <c r="J976" s="80">
        <f t="shared" si="7"/>
        <v>160202608.2</v>
      </c>
      <c r="K976" s="77" t="str">
        <f t="shared" si="3"/>
        <v/>
      </c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</row>
    <row r="977" ht="15.75" customHeight="1">
      <c r="A977" s="68" t="s">
        <v>3052</v>
      </c>
      <c r="B977" s="69"/>
      <c r="C977" s="72">
        <f t="shared" si="4"/>
        <v>160212608.2</v>
      </c>
      <c r="D977" s="71">
        <v>0.01</v>
      </c>
      <c r="E977" s="72">
        <f t="shared" si="1"/>
        <v>1602126.082</v>
      </c>
      <c r="F977" s="72">
        <f t="shared" si="2"/>
        <v>161814734.2</v>
      </c>
      <c r="G977" s="79" t="str">
        <f t="shared" si="5"/>
        <v/>
      </c>
      <c r="H977" s="81"/>
      <c r="I977" s="75" t="str">
        <f t="shared" si="6"/>
        <v/>
      </c>
      <c r="J977" s="80">
        <f t="shared" si="7"/>
        <v>161804734.2</v>
      </c>
      <c r="K977" s="77" t="str">
        <f t="shared" si="3"/>
        <v/>
      </c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</row>
    <row r="978" ht="15.75" customHeight="1">
      <c r="A978" s="68" t="s">
        <v>3053</v>
      </c>
      <c r="B978" s="69"/>
      <c r="C978" s="72">
        <f t="shared" si="4"/>
        <v>161814734.2</v>
      </c>
      <c r="D978" s="71">
        <v>0.01</v>
      </c>
      <c r="E978" s="72">
        <f t="shared" si="1"/>
        <v>1618147.342</v>
      </c>
      <c r="F978" s="72">
        <f t="shared" si="2"/>
        <v>163432881.6</v>
      </c>
      <c r="G978" s="79" t="str">
        <f t="shared" si="5"/>
        <v/>
      </c>
      <c r="H978" s="81"/>
      <c r="I978" s="75" t="str">
        <f t="shared" si="6"/>
        <v/>
      </c>
      <c r="J978" s="80">
        <f t="shared" si="7"/>
        <v>163422881.6</v>
      </c>
      <c r="K978" s="77" t="str">
        <f t="shared" si="3"/>
        <v/>
      </c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</row>
    <row r="979" ht="15.75" customHeight="1">
      <c r="A979" s="68" t="s">
        <v>3054</v>
      </c>
      <c r="B979" s="69"/>
      <c r="C979" s="72">
        <f t="shared" si="4"/>
        <v>163432881.6</v>
      </c>
      <c r="D979" s="71">
        <v>0.01</v>
      </c>
      <c r="E979" s="72">
        <f t="shared" si="1"/>
        <v>1634328.816</v>
      </c>
      <c r="F979" s="72">
        <f t="shared" si="2"/>
        <v>165067210.4</v>
      </c>
      <c r="G979" s="79" t="str">
        <f t="shared" si="5"/>
        <v/>
      </c>
      <c r="H979" s="81"/>
      <c r="I979" s="75" t="str">
        <f t="shared" si="6"/>
        <v/>
      </c>
      <c r="J979" s="80">
        <f t="shared" si="7"/>
        <v>165057210.4</v>
      </c>
      <c r="K979" s="77" t="str">
        <f t="shared" si="3"/>
        <v/>
      </c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</row>
    <row r="980" ht="15.75" customHeight="1">
      <c r="A980" s="68" t="s">
        <v>3055</v>
      </c>
      <c r="B980" s="69"/>
      <c r="C980" s="72">
        <f t="shared" si="4"/>
        <v>165067210.4</v>
      </c>
      <c r="D980" s="71">
        <v>0.01</v>
      </c>
      <c r="E980" s="72">
        <f t="shared" si="1"/>
        <v>1650672.104</v>
      </c>
      <c r="F980" s="72">
        <f t="shared" si="2"/>
        <v>166717882.5</v>
      </c>
      <c r="G980" s="79" t="str">
        <f t="shared" si="5"/>
        <v/>
      </c>
      <c r="H980" s="81"/>
      <c r="I980" s="75" t="str">
        <f t="shared" si="6"/>
        <v/>
      </c>
      <c r="J980" s="80">
        <f t="shared" si="7"/>
        <v>166707882.5</v>
      </c>
      <c r="K980" s="77" t="str">
        <f t="shared" si="3"/>
        <v/>
      </c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</row>
    <row r="981" ht="15.75" customHeight="1">
      <c r="A981" s="68" t="s">
        <v>3056</v>
      </c>
      <c r="B981" s="69"/>
      <c r="C981" s="72">
        <f t="shared" si="4"/>
        <v>166717882.5</v>
      </c>
      <c r="D981" s="71">
        <v>0.01</v>
      </c>
      <c r="E981" s="72">
        <f t="shared" si="1"/>
        <v>1667178.825</v>
      </c>
      <c r="F981" s="72">
        <f t="shared" si="2"/>
        <v>168385061.3</v>
      </c>
      <c r="G981" s="79" t="str">
        <f t="shared" si="5"/>
        <v/>
      </c>
      <c r="H981" s="81"/>
      <c r="I981" s="75" t="str">
        <f t="shared" si="6"/>
        <v/>
      </c>
      <c r="J981" s="80">
        <f t="shared" si="7"/>
        <v>168375061.3</v>
      </c>
      <c r="K981" s="77" t="str">
        <f t="shared" si="3"/>
        <v/>
      </c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</row>
    <row r="982" ht="15.75" customHeight="1">
      <c r="A982" s="68" t="s">
        <v>3057</v>
      </c>
      <c r="B982" s="69"/>
      <c r="C982" s="72">
        <f t="shared" si="4"/>
        <v>168385061.3</v>
      </c>
      <c r="D982" s="71">
        <v>0.01</v>
      </c>
      <c r="E982" s="72">
        <f t="shared" si="1"/>
        <v>1683850.613</v>
      </c>
      <c r="F982" s="72">
        <f t="shared" si="2"/>
        <v>170068911.9</v>
      </c>
      <c r="G982" s="79" t="str">
        <f t="shared" si="5"/>
        <v/>
      </c>
      <c r="H982" s="81"/>
      <c r="I982" s="75" t="str">
        <f t="shared" si="6"/>
        <v/>
      </c>
      <c r="J982" s="80">
        <f t="shared" si="7"/>
        <v>170058911.9</v>
      </c>
      <c r="K982" s="77" t="str">
        <f t="shared" si="3"/>
        <v/>
      </c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</row>
    <row r="983" ht="15.75" customHeight="1">
      <c r="A983" s="68" t="s">
        <v>3058</v>
      </c>
      <c r="B983" s="69"/>
      <c r="C983" s="72">
        <f t="shared" si="4"/>
        <v>170068911.9</v>
      </c>
      <c r="D983" s="71">
        <v>0.01</v>
      </c>
      <c r="E983" s="72">
        <f t="shared" si="1"/>
        <v>1700689.119</v>
      </c>
      <c r="F983" s="72">
        <f t="shared" si="2"/>
        <v>171769601.1</v>
      </c>
      <c r="G983" s="79" t="str">
        <f t="shared" si="5"/>
        <v/>
      </c>
      <c r="H983" s="81"/>
      <c r="I983" s="75" t="str">
        <f t="shared" si="6"/>
        <v/>
      </c>
      <c r="J983" s="80">
        <f t="shared" si="7"/>
        <v>171759601.1</v>
      </c>
      <c r="K983" s="77" t="str">
        <f t="shared" si="3"/>
        <v/>
      </c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</row>
    <row r="984" ht="15.75" customHeight="1">
      <c r="A984" s="68" t="s">
        <v>3059</v>
      </c>
      <c r="B984" s="69"/>
      <c r="C984" s="72">
        <f t="shared" si="4"/>
        <v>171769601.1</v>
      </c>
      <c r="D984" s="71">
        <v>0.01</v>
      </c>
      <c r="E984" s="72">
        <f t="shared" si="1"/>
        <v>1717696.011</v>
      </c>
      <c r="F984" s="72">
        <f t="shared" si="2"/>
        <v>173487297.1</v>
      </c>
      <c r="G984" s="79" t="str">
        <f t="shared" si="5"/>
        <v/>
      </c>
      <c r="H984" s="81"/>
      <c r="I984" s="75" t="str">
        <f t="shared" si="6"/>
        <v/>
      </c>
      <c r="J984" s="80">
        <f t="shared" si="7"/>
        <v>173477297.1</v>
      </c>
      <c r="K984" s="77" t="str">
        <f t="shared" si="3"/>
        <v/>
      </c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</row>
    <row r="985" ht="15.75" customHeight="1">
      <c r="A985" s="68" t="s">
        <v>3060</v>
      </c>
      <c r="B985" s="69"/>
      <c r="C985" s="72">
        <f t="shared" si="4"/>
        <v>173487297.1</v>
      </c>
      <c r="D985" s="71">
        <v>0.01</v>
      </c>
      <c r="E985" s="72">
        <f t="shared" si="1"/>
        <v>1734872.971</v>
      </c>
      <c r="F985" s="72">
        <f t="shared" si="2"/>
        <v>175222170</v>
      </c>
      <c r="G985" s="79" t="str">
        <f t="shared" si="5"/>
        <v/>
      </c>
      <c r="H985" s="81"/>
      <c r="I985" s="75" t="str">
        <f t="shared" si="6"/>
        <v/>
      </c>
      <c r="J985" s="80">
        <f t="shared" si="7"/>
        <v>175212170</v>
      </c>
      <c r="K985" s="77" t="str">
        <f t="shared" si="3"/>
        <v/>
      </c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</row>
    <row r="986" ht="15.75" customHeight="1">
      <c r="A986" s="68" t="s">
        <v>3061</v>
      </c>
      <c r="B986" s="69"/>
      <c r="C986" s="72">
        <f t="shared" si="4"/>
        <v>175222170</v>
      </c>
      <c r="D986" s="71">
        <v>0.01</v>
      </c>
      <c r="E986" s="72">
        <f t="shared" si="1"/>
        <v>1752221.7</v>
      </c>
      <c r="F986" s="72">
        <f t="shared" si="2"/>
        <v>176974391.7</v>
      </c>
      <c r="G986" s="79" t="str">
        <f t="shared" si="5"/>
        <v/>
      </c>
      <c r="H986" s="81"/>
      <c r="I986" s="75" t="str">
        <f t="shared" si="6"/>
        <v/>
      </c>
      <c r="J986" s="80">
        <f t="shared" si="7"/>
        <v>176964391.7</v>
      </c>
      <c r="K986" s="77" t="str">
        <f t="shared" si="3"/>
        <v/>
      </c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</row>
    <row r="987" ht="15.75" customHeight="1">
      <c r="A987" s="68" t="s">
        <v>3062</v>
      </c>
      <c r="B987" s="69"/>
      <c r="C987" s="72">
        <f t="shared" si="4"/>
        <v>176974391.7</v>
      </c>
      <c r="D987" s="71">
        <v>0.01</v>
      </c>
      <c r="E987" s="72">
        <f t="shared" si="1"/>
        <v>1769743.917</v>
      </c>
      <c r="F987" s="72">
        <f t="shared" si="2"/>
        <v>178744135.7</v>
      </c>
      <c r="G987" s="79" t="str">
        <f t="shared" si="5"/>
        <v/>
      </c>
      <c r="H987" s="81"/>
      <c r="I987" s="75" t="str">
        <f t="shared" si="6"/>
        <v/>
      </c>
      <c r="J987" s="80">
        <f t="shared" si="7"/>
        <v>178734135.7</v>
      </c>
      <c r="K987" s="77" t="str">
        <f t="shared" si="3"/>
        <v/>
      </c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</row>
    <row r="988" ht="15.75" customHeight="1">
      <c r="A988" s="68" t="s">
        <v>3063</v>
      </c>
      <c r="B988" s="69"/>
      <c r="C988" s="72">
        <f t="shared" si="4"/>
        <v>178744135.7</v>
      </c>
      <c r="D988" s="71">
        <v>0.01</v>
      </c>
      <c r="E988" s="72">
        <f t="shared" si="1"/>
        <v>1787441.357</v>
      </c>
      <c r="F988" s="72">
        <f t="shared" si="2"/>
        <v>180531577</v>
      </c>
      <c r="G988" s="79" t="str">
        <f t="shared" si="5"/>
        <v/>
      </c>
      <c r="H988" s="81"/>
      <c r="I988" s="75" t="str">
        <f t="shared" si="6"/>
        <v/>
      </c>
      <c r="J988" s="80">
        <f t="shared" si="7"/>
        <v>180521577</v>
      </c>
      <c r="K988" s="77" t="str">
        <f t="shared" si="3"/>
        <v/>
      </c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</row>
    <row r="989" ht="15.75" customHeight="1">
      <c r="A989" s="68" t="s">
        <v>3064</v>
      </c>
      <c r="B989" s="69"/>
      <c r="C989" s="72">
        <f t="shared" si="4"/>
        <v>180531577</v>
      </c>
      <c r="D989" s="71">
        <v>0.01</v>
      </c>
      <c r="E989" s="72">
        <f t="shared" si="1"/>
        <v>1805315.77</v>
      </c>
      <c r="F989" s="72">
        <f t="shared" si="2"/>
        <v>182336892.8</v>
      </c>
      <c r="G989" s="79" t="str">
        <f t="shared" si="5"/>
        <v/>
      </c>
      <c r="H989" s="81"/>
      <c r="I989" s="75" t="str">
        <f t="shared" si="6"/>
        <v/>
      </c>
      <c r="J989" s="80">
        <f t="shared" si="7"/>
        <v>182326892.8</v>
      </c>
      <c r="K989" s="77" t="str">
        <f t="shared" si="3"/>
        <v/>
      </c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</row>
    <row r="990" ht="15.75" customHeight="1">
      <c r="A990" s="68" t="s">
        <v>3065</v>
      </c>
      <c r="B990" s="69"/>
      <c r="C990" s="72">
        <f t="shared" si="4"/>
        <v>182336892.8</v>
      </c>
      <c r="D990" s="71">
        <v>0.01</v>
      </c>
      <c r="E990" s="72">
        <f t="shared" si="1"/>
        <v>1823368.928</v>
      </c>
      <c r="F990" s="72">
        <f t="shared" si="2"/>
        <v>184160261.7</v>
      </c>
      <c r="G990" s="79" t="str">
        <f t="shared" si="5"/>
        <v/>
      </c>
      <c r="H990" s="81"/>
      <c r="I990" s="75" t="str">
        <f t="shared" si="6"/>
        <v/>
      </c>
      <c r="J990" s="80">
        <f t="shared" si="7"/>
        <v>184150261.7</v>
      </c>
      <c r="K990" s="77" t="str">
        <f t="shared" si="3"/>
        <v/>
      </c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</row>
    <row r="991" ht="15.75" customHeight="1">
      <c r="A991" s="68" t="s">
        <v>3066</v>
      </c>
      <c r="B991" s="69"/>
      <c r="C991" s="72">
        <f t="shared" si="4"/>
        <v>184160261.7</v>
      </c>
      <c r="D991" s="71">
        <v>0.01</v>
      </c>
      <c r="E991" s="72">
        <f t="shared" si="1"/>
        <v>1841602.617</v>
      </c>
      <c r="F991" s="72">
        <f t="shared" si="2"/>
        <v>186001864.3</v>
      </c>
      <c r="G991" s="79" t="str">
        <f t="shared" si="5"/>
        <v/>
      </c>
      <c r="H991" s="81"/>
      <c r="I991" s="75" t="str">
        <f t="shared" si="6"/>
        <v/>
      </c>
      <c r="J991" s="80">
        <f t="shared" si="7"/>
        <v>185991864.3</v>
      </c>
      <c r="K991" s="77" t="str">
        <f t="shared" si="3"/>
        <v/>
      </c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</row>
    <row r="992" ht="15.75" customHeight="1">
      <c r="A992" s="68" t="s">
        <v>3067</v>
      </c>
      <c r="B992" s="69"/>
      <c r="C992" s="72">
        <f t="shared" si="4"/>
        <v>186001864.3</v>
      </c>
      <c r="D992" s="71">
        <v>0.01</v>
      </c>
      <c r="E992" s="72">
        <f t="shared" si="1"/>
        <v>1860018.643</v>
      </c>
      <c r="F992" s="72">
        <f t="shared" si="2"/>
        <v>187861883</v>
      </c>
      <c r="G992" s="79" t="str">
        <f t="shared" si="5"/>
        <v/>
      </c>
      <c r="H992" s="81"/>
      <c r="I992" s="75" t="str">
        <f t="shared" si="6"/>
        <v/>
      </c>
      <c r="J992" s="80">
        <f t="shared" si="7"/>
        <v>187851883</v>
      </c>
      <c r="K992" s="77" t="str">
        <f t="shared" si="3"/>
        <v/>
      </c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</row>
    <row r="993" ht="15.75" customHeight="1">
      <c r="A993" s="68" t="s">
        <v>3068</v>
      </c>
      <c r="B993" s="69"/>
      <c r="C993" s="72">
        <f t="shared" si="4"/>
        <v>187861883</v>
      </c>
      <c r="D993" s="71">
        <v>0.01</v>
      </c>
      <c r="E993" s="72">
        <f t="shared" si="1"/>
        <v>1878618.83</v>
      </c>
      <c r="F993" s="72">
        <f t="shared" si="2"/>
        <v>189740501.8</v>
      </c>
      <c r="G993" s="79" t="str">
        <f t="shared" si="5"/>
        <v/>
      </c>
      <c r="H993" s="81"/>
      <c r="I993" s="75" t="str">
        <f t="shared" si="6"/>
        <v/>
      </c>
      <c r="J993" s="80">
        <f t="shared" si="7"/>
        <v>189730501.8</v>
      </c>
      <c r="K993" s="77" t="str">
        <f t="shared" si="3"/>
        <v/>
      </c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</row>
    <row r="994" ht="15.75" customHeight="1">
      <c r="A994" s="68" t="s">
        <v>3069</v>
      </c>
      <c r="B994" s="69"/>
      <c r="C994" s="72">
        <f t="shared" si="4"/>
        <v>189740501.8</v>
      </c>
      <c r="D994" s="71">
        <v>0.01</v>
      </c>
      <c r="E994" s="72">
        <f t="shared" si="1"/>
        <v>1897405.018</v>
      </c>
      <c r="F994" s="72">
        <f t="shared" si="2"/>
        <v>191637906.8</v>
      </c>
      <c r="G994" s="79" t="str">
        <f t="shared" si="5"/>
        <v/>
      </c>
      <c r="H994" s="81"/>
      <c r="I994" s="75" t="str">
        <f t="shared" si="6"/>
        <v/>
      </c>
      <c r="J994" s="80">
        <f t="shared" si="7"/>
        <v>191627906.8</v>
      </c>
      <c r="K994" s="77" t="str">
        <f t="shared" si="3"/>
        <v/>
      </c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</row>
    <row r="995" ht="15.75" customHeight="1">
      <c r="A995" s="68" t="s">
        <v>3070</v>
      </c>
      <c r="B995" s="69"/>
      <c r="C995" s="72">
        <f t="shared" si="4"/>
        <v>191637906.8</v>
      </c>
      <c r="D995" s="71">
        <v>0.01</v>
      </c>
      <c r="E995" s="72">
        <f t="shared" si="1"/>
        <v>1916379.068</v>
      </c>
      <c r="F995" s="72">
        <f t="shared" si="2"/>
        <v>193554285.9</v>
      </c>
      <c r="G995" s="79" t="str">
        <f t="shared" si="5"/>
        <v/>
      </c>
      <c r="H995" s="81"/>
      <c r="I995" s="75" t="str">
        <f t="shared" si="6"/>
        <v/>
      </c>
      <c r="J995" s="80">
        <f t="shared" si="7"/>
        <v>193544285.9</v>
      </c>
      <c r="K995" s="77" t="str">
        <f t="shared" si="3"/>
        <v/>
      </c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</row>
    <row r="996" ht="15.75" customHeight="1">
      <c r="A996" s="68" t="s">
        <v>3071</v>
      </c>
      <c r="B996" s="69"/>
      <c r="C996" s="72">
        <f t="shared" si="4"/>
        <v>193554285.9</v>
      </c>
      <c r="D996" s="71">
        <v>0.01</v>
      </c>
      <c r="E996" s="72">
        <f t="shared" si="1"/>
        <v>1935542.859</v>
      </c>
      <c r="F996" s="72">
        <f t="shared" si="2"/>
        <v>195489828.7</v>
      </c>
      <c r="G996" s="79" t="str">
        <f t="shared" si="5"/>
        <v/>
      </c>
      <c r="H996" s="81"/>
      <c r="I996" s="75" t="str">
        <f t="shared" si="6"/>
        <v/>
      </c>
      <c r="J996" s="80">
        <f t="shared" si="7"/>
        <v>195479828.7</v>
      </c>
      <c r="K996" s="77" t="str">
        <f t="shared" si="3"/>
        <v/>
      </c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</row>
    <row r="997" ht="15.75" customHeight="1">
      <c r="A997" s="68" t="s">
        <v>3072</v>
      </c>
      <c r="B997" s="69"/>
      <c r="C997" s="72">
        <f t="shared" si="4"/>
        <v>195489828.7</v>
      </c>
      <c r="D997" s="71">
        <v>0.01</v>
      </c>
      <c r="E997" s="72">
        <f t="shared" si="1"/>
        <v>1954898.287</v>
      </c>
      <c r="F997" s="72">
        <f t="shared" si="2"/>
        <v>197444727</v>
      </c>
      <c r="G997" s="79" t="str">
        <f t="shared" si="5"/>
        <v/>
      </c>
      <c r="H997" s="81"/>
      <c r="I997" s="75" t="str">
        <f t="shared" si="6"/>
        <v/>
      </c>
      <c r="J997" s="80">
        <f t="shared" si="7"/>
        <v>197434727</v>
      </c>
      <c r="K997" s="77" t="str">
        <f t="shared" si="3"/>
        <v/>
      </c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</row>
    <row r="998" ht="15.75" customHeight="1">
      <c r="A998" s="68" t="s">
        <v>3073</v>
      </c>
      <c r="B998" s="69"/>
      <c r="C998" s="72">
        <f t="shared" si="4"/>
        <v>197444727</v>
      </c>
      <c r="D998" s="71">
        <v>0.01</v>
      </c>
      <c r="E998" s="72">
        <f t="shared" si="1"/>
        <v>1974447.27</v>
      </c>
      <c r="F998" s="72">
        <f t="shared" si="2"/>
        <v>199419174.3</v>
      </c>
      <c r="G998" s="79" t="str">
        <f t="shared" si="5"/>
        <v/>
      </c>
      <c r="H998" s="81"/>
      <c r="I998" s="75" t="str">
        <f t="shared" si="6"/>
        <v/>
      </c>
      <c r="J998" s="80">
        <f t="shared" si="7"/>
        <v>199409174.3</v>
      </c>
      <c r="K998" s="77" t="str">
        <f t="shared" si="3"/>
        <v/>
      </c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</row>
    <row r="999" ht="15.75" customHeight="1">
      <c r="A999" s="68" t="s">
        <v>3074</v>
      </c>
      <c r="B999" s="69"/>
      <c r="C999" s="72">
        <f t="shared" si="4"/>
        <v>199419174.3</v>
      </c>
      <c r="D999" s="71">
        <v>0.01</v>
      </c>
      <c r="E999" s="72">
        <f t="shared" si="1"/>
        <v>1994191.743</v>
      </c>
      <c r="F999" s="72">
        <f t="shared" si="2"/>
        <v>201413366</v>
      </c>
      <c r="G999" s="79" t="str">
        <f t="shared" si="5"/>
        <v/>
      </c>
      <c r="H999" s="81"/>
      <c r="I999" s="75" t="str">
        <f t="shared" si="6"/>
        <v/>
      </c>
      <c r="J999" s="80">
        <f t="shared" si="7"/>
        <v>201403366</v>
      </c>
      <c r="K999" s="77" t="str">
        <f t="shared" si="3"/>
        <v/>
      </c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</row>
    <row r="1000" ht="15.75" customHeight="1">
      <c r="A1000" s="68" t="s">
        <v>3075</v>
      </c>
      <c r="B1000" s="69"/>
      <c r="C1000" s="72">
        <f t="shared" si="4"/>
        <v>201413366</v>
      </c>
      <c r="D1000" s="71">
        <v>0.01</v>
      </c>
      <c r="E1000" s="72">
        <f t="shared" si="1"/>
        <v>2014133.66</v>
      </c>
      <c r="F1000" s="72">
        <f t="shared" si="2"/>
        <v>203427499.7</v>
      </c>
      <c r="G1000" s="79" t="str">
        <f t="shared" si="5"/>
        <v/>
      </c>
      <c r="H1000" s="81"/>
      <c r="I1000" s="75" t="str">
        <f t="shared" si="6"/>
        <v/>
      </c>
      <c r="J1000" s="80">
        <f t="shared" si="7"/>
        <v>203417499.7</v>
      </c>
      <c r="K1000" s="77" t="str">
        <f t="shared" si="3"/>
        <v/>
      </c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</row>
    <row r="1001" ht="15.75" customHeight="1">
      <c r="A1001" s="68" t="s">
        <v>3076</v>
      </c>
      <c r="B1001" s="69"/>
      <c r="C1001" s="72">
        <f t="shared" si="4"/>
        <v>203427499.7</v>
      </c>
      <c r="D1001" s="71">
        <v>0.01</v>
      </c>
      <c r="E1001" s="72">
        <f t="shared" si="1"/>
        <v>2034274.997</v>
      </c>
      <c r="F1001" s="72">
        <f t="shared" si="2"/>
        <v>205461774.7</v>
      </c>
      <c r="G1001" s="79" t="str">
        <f t="shared" si="5"/>
        <v/>
      </c>
      <c r="H1001" s="81"/>
      <c r="I1001" s="75" t="str">
        <f t="shared" si="6"/>
        <v/>
      </c>
      <c r="J1001" s="80">
        <f t="shared" si="7"/>
        <v>205451774.7</v>
      </c>
      <c r="K1001" s="77" t="str">
        <f t="shared" si="3"/>
        <v/>
      </c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</row>
    <row r="1002" ht="15.75" customHeight="1">
      <c r="A1002" s="68" t="s">
        <v>3077</v>
      </c>
      <c r="B1002" s="69"/>
      <c r="C1002" s="72">
        <f t="shared" si="4"/>
        <v>205461774.7</v>
      </c>
      <c r="D1002" s="71">
        <v>0.01</v>
      </c>
      <c r="E1002" s="72">
        <f t="shared" si="1"/>
        <v>2054617.747</v>
      </c>
      <c r="F1002" s="72">
        <f t="shared" si="2"/>
        <v>207516392.5</v>
      </c>
      <c r="G1002" s="79" t="str">
        <f t="shared" si="5"/>
        <v/>
      </c>
      <c r="H1002" s="81"/>
      <c r="I1002" s="75" t="str">
        <f t="shared" si="6"/>
        <v/>
      </c>
      <c r="J1002" s="80">
        <f t="shared" si="7"/>
        <v>207506392.5</v>
      </c>
      <c r="K1002" s="77" t="str">
        <f t="shared" si="3"/>
        <v/>
      </c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</row>
    <row r="1003" ht="15.75" customHeight="1">
      <c r="A1003" s="68" t="s">
        <v>3078</v>
      </c>
      <c r="B1003" s="69"/>
      <c r="C1003" s="72">
        <f t="shared" si="4"/>
        <v>207516392.5</v>
      </c>
      <c r="D1003" s="71">
        <v>0.01</v>
      </c>
      <c r="E1003" s="72">
        <f t="shared" si="1"/>
        <v>2075163.925</v>
      </c>
      <c r="F1003" s="72">
        <f t="shared" si="2"/>
        <v>209591556.4</v>
      </c>
      <c r="G1003" s="79" t="str">
        <f t="shared" si="5"/>
        <v/>
      </c>
      <c r="H1003" s="81"/>
      <c r="I1003" s="75" t="str">
        <f t="shared" si="6"/>
        <v/>
      </c>
      <c r="J1003" s="80">
        <f t="shared" si="7"/>
        <v>209581556.4</v>
      </c>
      <c r="K1003" s="77" t="str">
        <f t="shared" si="3"/>
        <v/>
      </c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</row>
  </sheetData>
  <mergeCells count="3">
    <mergeCell ref="A1:K1"/>
    <mergeCell ref="A2:F2"/>
    <mergeCell ref="G2:K2"/>
  </mergeCells>
  <conditionalFormatting sqref="M9">
    <cfRule type="colorScale" priority="1">
      <colorScale>
        <cfvo type="min"/>
        <cfvo type="max"/>
        <color rgb="FFFFFFFF"/>
        <color rgb="FF57BB8A"/>
      </colorScale>
    </cfRule>
  </conditionalFormatting>
  <conditionalFormatting sqref="G4:H1003">
    <cfRule type="cellIs" dxfId="2" priority="2" operator="greaterThan">
      <formula>0</formula>
    </cfRule>
  </conditionalFormatting>
  <conditionalFormatting sqref="G4:H1003">
    <cfRule type="cellIs" dxfId="3" priority="3" operator="lessThan">
      <formula>0</formula>
    </cfRule>
  </conditionalFormatting>
  <conditionalFormatting sqref="I4:I1003">
    <cfRule type="cellIs" dxfId="2" priority="4" operator="greaterThan">
      <formula>0</formula>
    </cfRule>
  </conditionalFormatting>
  <conditionalFormatting sqref="I4:I1003">
    <cfRule type="cellIs" dxfId="3" priority="5" operator="lessThan">
      <formula>0</formula>
    </cfRule>
  </conditionalFormatting>
  <conditionalFormatting sqref="K1:K1003">
    <cfRule type="cellIs" dxfId="0" priority="6" operator="greaterThan">
      <formula>0</formula>
    </cfRule>
  </conditionalFormatting>
  <conditionalFormatting sqref="K1:K1003">
    <cfRule type="cellIs" dxfId="3" priority="7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29"/>
    <col customWidth="1" min="2" max="2" width="14.43"/>
    <col customWidth="1" min="3" max="3" width="13.0"/>
    <col customWidth="1" min="4" max="5" width="26.0"/>
    <col customWidth="1" min="6" max="7" width="17.86"/>
    <col customWidth="1" min="8" max="8" width="17.57"/>
    <col customWidth="1" min="9" max="9" width="15.71"/>
  </cols>
  <sheetData>
    <row r="1" ht="30.0" customHeight="1">
      <c r="A1" s="82" t="s">
        <v>3079</v>
      </c>
      <c r="B1" s="82" t="s">
        <v>3080</v>
      </c>
      <c r="C1" s="82" t="s">
        <v>3081</v>
      </c>
      <c r="D1" s="82" t="s">
        <v>3082</v>
      </c>
      <c r="E1" s="82" t="s">
        <v>0</v>
      </c>
      <c r="F1" s="82" t="s">
        <v>3083</v>
      </c>
      <c r="G1" s="83" t="s">
        <v>3084</v>
      </c>
      <c r="H1" s="83" t="s">
        <v>3085</v>
      </c>
      <c r="I1" s="82" t="s">
        <v>3086</v>
      </c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</row>
    <row r="2" ht="15.0" customHeight="1">
      <c r="A2" s="85">
        <v>1.0</v>
      </c>
      <c r="B2" s="86">
        <v>46301.0</v>
      </c>
      <c r="C2" s="86">
        <v>46301.0</v>
      </c>
      <c r="D2" s="87" t="s">
        <v>3087</v>
      </c>
      <c r="E2" s="85" t="s">
        <v>3088</v>
      </c>
      <c r="F2" s="87">
        <v>200.0</v>
      </c>
      <c r="G2" s="88">
        <v>15300.0</v>
      </c>
      <c r="H2" s="88"/>
      <c r="I2" s="85" t="str">
        <f t="shared" ref="I2:I1000" si="1">IF(H2="","",H2-G2)</f>
        <v/>
      </c>
    </row>
    <row r="3" ht="15.0" customHeight="1">
      <c r="A3" s="85">
        <v>2.0</v>
      </c>
      <c r="B3" s="85" t="s">
        <v>3089</v>
      </c>
      <c r="C3" s="85"/>
      <c r="D3" s="85" t="s">
        <v>3090</v>
      </c>
      <c r="E3" s="85" t="s">
        <v>3091</v>
      </c>
      <c r="F3" s="85">
        <v>75.0</v>
      </c>
      <c r="G3" s="88">
        <v>23497.5</v>
      </c>
      <c r="H3" s="88"/>
      <c r="I3" s="85" t="str">
        <f t="shared" si="1"/>
        <v/>
      </c>
    </row>
    <row r="4" ht="15.0" customHeight="1">
      <c r="A4" s="85"/>
      <c r="B4" s="85"/>
      <c r="C4" s="85"/>
      <c r="D4" s="85"/>
      <c r="E4" s="85"/>
      <c r="F4" s="85"/>
      <c r="G4" s="88"/>
      <c r="H4" s="88"/>
      <c r="I4" s="85" t="str">
        <f t="shared" si="1"/>
        <v/>
      </c>
    </row>
    <row r="5" ht="15.0" customHeight="1">
      <c r="A5" s="85"/>
      <c r="B5" s="85"/>
      <c r="C5" s="85"/>
      <c r="D5" s="85"/>
      <c r="E5" s="85"/>
      <c r="F5" s="85"/>
      <c r="G5" s="88"/>
      <c r="H5" s="88"/>
      <c r="I5" s="85" t="str">
        <f t="shared" si="1"/>
        <v/>
      </c>
    </row>
    <row r="6" ht="15.0" customHeight="1">
      <c r="A6" s="85"/>
      <c r="B6" s="85"/>
      <c r="C6" s="85"/>
      <c r="D6" s="85"/>
      <c r="E6" s="85"/>
      <c r="F6" s="85"/>
      <c r="G6" s="88"/>
      <c r="H6" s="88"/>
      <c r="I6" s="85" t="str">
        <f t="shared" si="1"/>
        <v/>
      </c>
    </row>
    <row r="7" ht="15.0" customHeight="1">
      <c r="A7" s="85"/>
      <c r="B7" s="85"/>
      <c r="C7" s="85"/>
      <c r="D7" s="85"/>
      <c r="E7" s="85"/>
      <c r="F7" s="85"/>
      <c r="G7" s="88"/>
      <c r="H7" s="88"/>
      <c r="I7" s="85" t="str">
        <f t="shared" si="1"/>
        <v/>
      </c>
    </row>
    <row r="8" ht="15.0" customHeight="1">
      <c r="A8" s="85"/>
      <c r="B8" s="85"/>
      <c r="C8" s="85"/>
      <c r="D8" s="85"/>
      <c r="E8" s="85"/>
      <c r="F8" s="85"/>
      <c r="G8" s="88"/>
      <c r="H8" s="88"/>
      <c r="I8" s="85" t="str">
        <f t="shared" si="1"/>
        <v/>
      </c>
    </row>
    <row r="9" ht="15.0" customHeight="1">
      <c r="A9" s="85"/>
      <c r="B9" s="85"/>
      <c r="C9" s="85"/>
      <c r="D9" s="85"/>
      <c r="E9" s="85"/>
      <c r="F9" s="85"/>
      <c r="G9" s="88"/>
      <c r="H9" s="88"/>
      <c r="I9" s="85" t="str">
        <f t="shared" si="1"/>
        <v/>
      </c>
    </row>
    <row r="10" ht="15.0" customHeight="1">
      <c r="A10" s="85"/>
      <c r="B10" s="85"/>
      <c r="C10" s="85"/>
      <c r="D10" s="85"/>
      <c r="E10" s="85"/>
      <c r="F10" s="85"/>
      <c r="G10" s="88"/>
      <c r="H10" s="88"/>
      <c r="I10" s="85" t="str">
        <f t="shared" si="1"/>
        <v/>
      </c>
    </row>
    <row r="11" ht="15.0" customHeight="1">
      <c r="A11" s="85"/>
      <c r="B11" s="85"/>
      <c r="C11" s="85"/>
      <c r="D11" s="85"/>
      <c r="E11" s="85"/>
      <c r="F11" s="85"/>
      <c r="G11" s="88"/>
      <c r="H11" s="88"/>
      <c r="I11" s="85" t="str">
        <f t="shared" si="1"/>
        <v/>
      </c>
    </row>
    <row r="12" ht="15.0" customHeight="1">
      <c r="A12" s="85"/>
      <c r="B12" s="85"/>
      <c r="C12" s="85"/>
      <c r="D12" s="85"/>
      <c r="E12" s="85"/>
      <c r="F12" s="85"/>
      <c r="G12" s="88"/>
      <c r="H12" s="88"/>
      <c r="I12" s="85" t="str">
        <f t="shared" si="1"/>
        <v/>
      </c>
    </row>
    <row r="13" ht="15.0" customHeight="1">
      <c r="A13" s="85"/>
      <c r="B13" s="85"/>
      <c r="C13" s="85"/>
      <c r="D13" s="85"/>
      <c r="E13" s="85"/>
      <c r="F13" s="85"/>
      <c r="G13" s="88"/>
      <c r="H13" s="88"/>
      <c r="I13" s="85" t="str">
        <f t="shared" si="1"/>
        <v/>
      </c>
    </row>
    <row r="14" ht="15.0" customHeight="1">
      <c r="A14" s="85"/>
      <c r="B14" s="85"/>
      <c r="C14" s="85"/>
      <c r="D14" s="85"/>
      <c r="E14" s="85"/>
      <c r="F14" s="85"/>
      <c r="G14" s="88"/>
      <c r="H14" s="88"/>
      <c r="I14" s="85" t="str">
        <f t="shared" si="1"/>
        <v/>
      </c>
    </row>
    <row r="15" ht="15.0" customHeight="1">
      <c r="A15" s="85"/>
      <c r="B15" s="85"/>
      <c r="C15" s="85"/>
      <c r="D15" s="85"/>
      <c r="E15" s="85"/>
      <c r="F15" s="85"/>
      <c r="G15" s="88"/>
      <c r="H15" s="88"/>
      <c r="I15" s="85" t="str">
        <f t="shared" si="1"/>
        <v/>
      </c>
    </row>
    <row r="16" ht="15.0" customHeight="1">
      <c r="A16" s="85"/>
      <c r="B16" s="85"/>
      <c r="C16" s="85"/>
      <c r="D16" s="85"/>
      <c r="E16" s="85"/>
      <c r="F16" s="85"/>
      <c r="G16" s="88"/>
      <c r="H16" s="88"/>
      <c r="I16" s="85" t="str">
        <f t="shared" si="1"/>
        <v/>
      </c>
    </row>
    <row r="17" ht="15.0" customHeight="1">
      <c r="A17" s="85"/>
      <c r="B17" s="85"/>
      <c r="C17" s="85"/>
      <c r="D17" s="85"/>
      <c r="E17" s="85"/>
      <c r="F17" s="85"/>
      <c r="G17" s="88"/>
      <c r="H17" s="88"/>
      <c r="I17" s="85" t="str">
        <f t="shared" si="1"/>
        <v/>
      </c>
    </row>
    <row r="18" ht="15.0" customHeight="1">
      <c r="A18" s="85"/>
      <c r="B18" s="85"/>
      <c r="C18" s="85"/>
      <c r="D18" s="85"/>
      <c r="E18" s="85"/>
      <c r="F18" s="85"/>
      <c r="G18" s="88"/>
      <c r="H18" s="88"/>
      <c r="I18" s="85" t="str">
        <f t="shared" si="1"/>
        <v/>
      </c>
    </row>
    <row r="19" ht="15.0" customHeight="1">
      <c r="A19" s="85"/>
      <c r="B19" s="85"/>
      <c r="C19" s="85"/>
      <c r="D19" s="85"/>
      <c r="E19" s="85"/>
      <c r="F19" s="85"/>
      <c r="G19" s="88"/>
      <c r="H19" s="88"/>
      <c r="I19" s="85" t="str">
        <f t="shared" si="1"/>
        <v/>
      </c>
    </row>
    <row r="20" ht="15.0" customHeight="1">
      <c r="A20" s="85"/>
      <c r="B20" s="85"/>
      <c r="C20" s="85"/>
      <c r="D20" s="85"/>
      <c r="E20" s="85"/>
      <c r="F20" s="85"/>
      <c r="G20" s="88"/>
      <c r="H20" s="88"/>
      <c r="I20" s="85" t="str">
        <f t="shared" si="1"/>
        <v/>
      </c>
    </row>
    <row r="21" ht="15.0" customHeight="1">
      <c r="A21" s="85"/>
      <c r="B21" s="85"/>
      <c r="C21" s="85"/>
      <c r="D21" s="85"/>
      <c r="E21" s="85"/>
      <c r="F21" s="85"/>
      <c r="G21" s="88"/>
      <c r="H21" s="88"/>
      <c r="I21" s="85" t="str">
        <f t="shared" si="1"/>
        <v/>
      </c>
    </row>
    <row r="22" ht="15.0" customHeight="1">
      <c r="A22" s="85"/>
      <c r="B22" s="85"/>
      <c r="C22" s="85"/>
      <c r="D22" s="85"/>
      <c r="E22" s="85"/>
      <c r="F22" s="85"/>
      <c r="G22" s="88"/>
      <c r="H22" s="88"/>
      <c r="I22" s="85" t="str">
        <f t="shared" si="1"/>
        <v/>
      </c>
    </row>
    <row r="23" ht="15.75" customHeight="1">
      <c r="A23" s="85"/>
      <c r="B23" s="85"/>
      <c r="C23" s="85"/>
      <c r="D23" s="85"/>
      <c r="E23" s="85"/>
      <c r="F23" s="85"/>
      <c r="G23" s="88"/>
      <c r="H23" s="88"/>
      <c r="I23" s="85" t="str">
        <f t="shared" si="1"/>
        <v/>
      </c>
    </row>
    <row r="24" ht="15.75" customHeight="1">
      <c r="A24" s="85"/>
      <c r="B24" s="85"/>
      <c r="C24" s="85"/>
      <c r="D24" s="85"/>
      <c r="E24" s="85"/>
      <c r="F24" s="85"/>
      <c r="G24" s="88"/>
      <c r="H24" s="88"/>
      <c r="I24" s="85" t="str">
        <f t="shared" si="1"/>
        <v/>
      </c>
    </row>
    <row r="25" ht="15.75" customHeight="1">
      <c r="A25" s="85"/>
      <c r="B25" s="85"/>
      <c r="C25" s="85"/>
      <c r="D25" s="85"/>
      <c r="E25" s="85"/>
      <c r="F25" s="85"/>
      <c r="G25" s="88"/>
      <c r="H25" s="88"/>
      <c r="I25" s="85" t="str">
        <f t="shared" si="1"/>
        <v/>
      </c>
    </row>
    <row r="26" ht="15.75" customHeight="1">
      <c r="A26" s="85"/>
      <c r="B26" s="85"/>
      <c r="C26" s="85"/>
      <c r="D26" s="85"/>
      <c r="E26" s="85"/>
      <c r="F26" s="85"/>
      <c r="G26" s="88"/>
      <c r="H26" s="88"/>
      <c r="I26" s="85" t="str">
        <f t="shared" si="1"/>
        <v/>
      </c>
    </row>
    <row r="27" ht="15.75" customHeight="1">
      <c r="A27" s="85"/>
      <c r="B27" s="85"/>
      <c r="C27" s="85"/>
      <c r="D27" s="85"/>
      <c r="E27" s="85"/>
      <c r="F27" s="85"/>
      <c r="G27" s="88"/>
      <c r="H27" s="88"/>
      <c r="I27" s="85" t="str">
        <f t="shared" si="1"/>
        <v/>
      </c>
    </row>
    <row r="28" ht="15.75" customHeight="1">
      <c r="A28" s="85"/>
      <c r="B28" s="85"/>
      <c r="C28" s="85"/>
      <c r="D28" s="85"/>
      <c r="E28" s="85"/>
      <c r="F28" s="85"/>
      <c r="G28" s="88"/>
      <c r="H28" s="88"/>
      <c r="I28" s="85" t="str">
        <f t="shared" si="1"/>
        <v/>
      </c>
    </row>
    <row r="29" ht="15.75" customHeight="1">
      <c r="A29" s="85"/>
      <c r="B29" s="85"/>
      <c r="C29" s="85"/>
      <c r="D29" s="85"/>
      <c r="E29" s="85"/>
      <c r="F29" s="85"/>
      <c r="G29" s="88"/>
      <c r="H29" s="88"/>
      <c r="I29" s="85" t="str">
        <f t="shared" si="1"/>
        <v/>
      </c>
    </row>
    <row r="30" ht="15.75" customHeight="1">
      <c r="A30" s="85"/>
      <c r="B30" s="85"/>
      <c r="C30" s="85"/>
      <c r="D30" s="85"/>
      <c r="E30" s="85"/>
      <c r="F30" s="85"/>
      <c r="G30" s="88"/>
      <c r="H30" s="88"/>
      <c r="I30" s="85" t="str">
        <f t="shared" si="1"/>
        <v/>
      </c>
    </row>
    <row r="31" ht="15.75" customHeight="1">
      <c r="A31" s="85"/>
      <c r="B31" s="85"/>
      <c r="C31" s="85"/>
      <c r="D31" s="85"/>
      <c r="E31" s="85"/>
      <c r="F31" s="85"/>
      <c r="G31" s="88"/>
      <c r="H31" s="88"/>
      <c r="I31" s="85" t="str">
        <f t="shared" si="1"/>
        <v/>
      </c>
    </row>
    <row r="32" ht="15.75" customHeight="1">
      <c r="A32" s="85"/>
      <c r="B32" s="85"/>
      <c r="C32" s="85"/>
      <c r="D32" s="85"/>
      <c r="E32" s="85"/>
      <c r="F32" s="85"/>
      <c r="G32" s="88"/>
      <c r="H32" s="88"/>
      <c r="I32" s="85" t="str">
        <f t="shared" si="1"/>
        <v/>
      </c>
    </row>
    <row r="33" ht="15.75" customHeight="1">
      <c r="A33" s="85"/>
      <c r="B33" s="85"/>
      <c r="C33" s="85"/>
      <c r="D33" s="85"/>
      <c r="E33" s="85"/>
      <c r="F33" s="85"/>
      <c r="G33" s="88"/>
      <c r="H33" s="88"/>
      <c r="I33" s="85" t="str">
        <f t="shared" si="1"/>
        <v/>
      </c>
    </row>
    <row r="34" ht="15.75" customHeight="1">
      <c r="A34" s="85"/>
      <c r="B34" s="85"/>
      <c r="C34" s="85"/>
      <c r="D34" s="85"/>
      <c r="E34" s="85"/>
      <c r="F34" s="85"/>
      <c r="G34" s="88"/>
      <c r="H34" s="88"/>
      <c r="I34" s="85" t="str">
        <f t="shared" si="1"/>
        <v/>
      </c>
    </row>
    <row r="35" ht="15.75" customHeight="1">
      <c r="A35" s="85"/>
      <c r="B35" s="85"/>
      <c r="C35" s="85"/>
      <c r="D35" s="85"/>
      <c r="E35" s="85"/>
      <c r="F35" s="85"/>
      <c r="G35" s="88"/>
      <c r="H35" s="88"/>
      <c r="I35" s="85" t="str">
        <f t="shared" si="1"/>
        <v/>
      </c>
    </row>
    <row r="36" ht="15.75" customHeight="1">
      <c r="A36" s="85"/>
      <c r="B36" s="85"/>
      <c r="C36" s="85"/>
      <c r="D36" s="85"/>
      <c r="E36" s="85"/>
      <c r="F36" s="85"/>
      <c r="G36" s="88"/>
      <c r="H36" s="88"/>
      <c r="I36" s="85" t="str">
        <f t="shared" si="1"/>
        <v/>
      </c>
    </row>
    <row r="37" ht="15.75" customHeight="1">
      <c r="A37" s="85"/>
      <c r="B37" s="85"/>
      <c r="C37" s="85"/>
      <c r="D37" s="85"/>
      <c r="E37" s="85"/>
      <c r="F37" s="85"/>
      <c r="G37" s="88"/>
      <c r="H37" s="88"/>
      <c r="I37" s="85" t="str">
        <f t="shared" si="1"/>
        <v/>
      </c>
    </row>
    <row r="38" ht="15.75" customHeight="1">
      <c r="A38" s="85"/>
      <c r="B38" s="85"/>
      <c r="C38" s="85"/>
      <c r="D38" s="85"/>
      <c r="E38" s="85"/>
      <c r="F38" s="85"/>
      <c r="G38" s="88"/>
      <c r="H38" s="88"/>
      <c r="I38" s="85" t="str">
        <f t="shared" si="1"/>
        <v/>
      </c>
    </row>
    <row r="39" ht="15.75" customHeight="1">
      <c r="A39" s="85"/>
      <c r="B39" s="85"/>
      <c r="C39" s="85"/>
      <c r="D39" s="85"/>
      <c r="E39" s="85"/>
      <c r="F39" s="85"/>
      <c r="G39" s="88"/>
      <c r="H39" s="88"/>
      <c r="I39" s="85" t="str">
        <f t="shared" si="1"/>
        <v/>
      </c>
    </row>
    <row r="40" ht="15.75" customHeight="1">
      <c r="A40" s="85"/>
      <c r="B40" s="85"/>
      <c r="C40" s="85"/>
      <c r="D40" s="85"/>
      <c r="E40" s="85"/>
      <c r="F40" s="85"/>
      <c r="G40" s="88"/>
      <c r="H40" s="88"/>
      <c r="I40" s="85" t="str">
        <f t="shared" si="1"/>
        <v/>
      </c>
    </row>
    <row r="41" ht="15.75" customHeight="1">
      <c r="A41" s="85"/>
      <c r="B41" s="85"/>
      <c r="C41" s="85"/>
      <c r="D41" s="85"/>
      <c r="E41" s="85"/>
      <c r="F41" s="85"/>
      <c r="G41" s="88"/>
      <c r="H41" s="88"/>
      <c r="I41" s="85" t="str">
        <f t="shared" si="1"/>
        <v/>
      </c>
    </row>
    <row r="42" ht="15.75" customHeight="1">
      <c r="A42" s="85"/>
      <c r="B42" s="85"/>
      <c r="C42" s="85"/>
      <c r="D42" s="85"/>
      <c r="E42" s="85"/>
      <c r="F42" s="85"/>
      <c r="G42" s="88"/>
      <c r="H42" s="88"/>
      <c r="I42" s="85" t="str">
        <f t="shared" si="1"/>
        <v/>
      </c>
    </row>
    <row r="43" ht="15.75" customHeight="1">
      <c r="A43" s="85"/>
      <c r="B43" s="85"/>
      <c r="C43" s="85"/>
      <c r="D43" s="85"/>
      <c r="E43" s="85"/>
      <c r="F43" s="85"/>
      <c r="G43" s="88"/>
      <c r="H43" s="88"/>
      <c r="I43" s="85" t="str">
        <f t="shared" si="1"/>
        <v/>
      </c>
    </row>
    <row r="44" ht="15.75" customHeight="1">
      <c r="A44" s="85"/>
      <c r="B44" s="85"/>
      <c r="C44" s="85"/>
      <c r="D44" s="85"/>
      <c r="E44" s="85"/>
      <c r="F44" s="85"/>
      <c r="G44" s="88"/>
      <c r="H44" s="88"/>
      <c r="I44" s="85" t="str">
        <f t="shared" si="1"/>
        <v/>
      </c>
    </row>
    <row r="45" ht="15.75" customHeight="1">
      <c r="A45" s="85"/>
      <c r="B45" s="85"/>
      <c r="C45" s="85"/>
      <c r="D45" s="85"/>
      <c r="E45" s="85"/>
      <c r="F45" s="85"/>
      <c r="G45" s="88"/>
      <c r="H45" s="88"/>
      <c r="I45" s="85" t="str">
        <f t="shared" si="1"/>
        <v/>
      </c>
    </row>
    <row r="46" ht="15.75" customHeight="1">
      <c r="A46" s="85"/>
      <c r="B46" s="85"/>
      <c r="C46" s="85"/>
      <c r="D46" s="85"/>
      <c r="E46" s="85"/>
      <c r="F46" s="85"/>
      <c r="G46" s="88"/>
      <c r="H46" s="88"/>
      <c r="I46" s="85" t="str">
        <f t="shared" si="1"/>
        <v/>
      </c>
    </row>
    <row r="47" ht="15.75" customHeight="1">
      <c r="A47" s="85"/>
      <c r="B47" s="85"/>
      <c r="C47" s="85"/>
      <c r="D47" s="85"/>
      <c r="E47" s="85"/>
      <c r="F47" s="85"/>
      <c r="G47" s="88"/>
      <c r="H47" s="88"/>
      <c r="I47" s="85" t="str">
        <f t="shared" si="1"/>
        <v/>
      </c>
    </row>
    <row r="48" ht="15.75" customHeight="1">
      <c r="A48" s="85"/>
      <c r="B48" s="85"/>
      <c r="C48" s="85"/>
      <c r="D48" s="85"/>
      <c r="E48" s="85"/>
      <c r="F48" s="85"/>
      <c r="G48" s="88"/>
      <c r="H48" s="88"/>
      <c r="I48" s="85" t="str">
        <f t="shared" si="1"/>
        <v/>
      </c>
    </row>
    <row r="49" ht="15.75" customHeight="1">
      <c r="A49" s="85"/>
      <c r="B49" s="85"/>
      <c r="C49" s="85"/>
      <c r="D49" s="85"/>
      <c r="E49" s="85"/>
      <c r="F49" s="85"/>
      <c r="G49" s="88"/>
      <c r="H49" s="88"/>
      <c r="I49" s="85" t="str">
        <f t="shared" si="1"/>
        <v/>
      </c>
    </row>
    <row r="50" ht="15.75" customHeight="1">
      <c r="A50" s="85"/>
      <c r="B50" s="85"/>
      <c r="C50" s="85"/>
      <c r="D50" s="85"/>
      <c r="E50" s="85"/>
      <c r="F50" s="85"/>
      <c r="G50" s="88"/>
      <c r="H50" s="88"/>
      <c r="I50" s="85" t="str">
        <f t="shared" si="1"/>
        <v/>
      </c>
    </row>
    <row r="51" ht="15.75" customHeight="1">
      <c r="A51" s="85"/>
      <c r="B51" s="85"/>
      <c r="C51" s="85"/>
      <c r="D51" s="85"/>
      <c r="E51" s="85"/>
      <c r="F51" s="85"/>
      <c r="G51" s="88"/>
      <c r="H51" s="88"/>
      <c r="I51" s="85" t="str">
        <f t="shared" si="1"/>
        <v/>
      </c>
    </row>
    <row r="52" ht="15.75" customHeight="1">
      <c r="A52" s="85"/>
      <c r="B52" s="85"/>
      <c r="C52" s="85"/>
      <c r="D52" s="85"/>
      <c r="E52" s="85"/>
      <c r="F52" s="85"/>
      <c r="G52" s="88"/>
      <c r="H52" s="88"/>
      <c r="I52" s="85" t="str">
        <f t="shared" si="1"/>
        <v/>
      </c>
    </row>
    <row r="53" ht="15.75" customHeight="1">
      <c r="A53" s="85"/>
      <c r="B53" s="85"/>
      <c r="C53" s="85"/>
      <c r="D53" s="85"/>
      <c r="E53" s="85"/>
      <c r="F53" s="85"/>
      <c r="G53" s="88"/>
      <c r="H53" s="88"/>
      <c r="I53" s="85" t="str">
        <f t="shared" si="1"/>
        <v/>
      </c>
    </row>
    <row r="54" ht="15.75" customHeight="1">
      <c r="A54" s="85"/>
      <c r="B54" s="85"/>
      <c r="C54" s="85"/>
      <c r="D54" s="85"/>
      <c r="E54" s="85"/>
      <c r="F54" s="85"/>
      <c r="G54" s="88"/>
      <c r="H54" s="88"/>
      <c r="I54" s="85" t="str">
        <f t="shared" si="1"/>
        <v/>
      </c>
    </row>
    <row r="55" ht="15.75" customHeight="1">
      <c r="A55" s="85"/>
      <c r="B55" s="85"/>
      <c r="C55" s="85"/>
      <c r="D55" s="85"/>
      <c r="E55" s="85"/>
      <c r="F55" s="85"/>
      <c r="G55" s="88"/>
      <c r="H55" s="88"/>
      <c r="I55" s="85" t="str">
        <f t="shared" si="1"/>
        <v/>
      </c>
    </row>
    <row r="56" ht="15.75" customHeight="1">
      <c r="A56" s="85"/>
      <c r="B56" s="85"/>
      <c r="C56" s="85"/>
      <c r="D56" s="85"/>
      <c r="E56" s="85"/>
      <c r="F56" s="85"/>
      <c r="G56" s="88"/>
      <c r="H56" s="88"/>
      <c r="I56" s="85" t="str">
        <f t="shared" si="1"/>
        <v/>
      </c>
    </row>
    <row r="57" ht="15.75" customHeight="1">
      <c r="A57" s="85"/>
      <c r="B57" s="85"/>
      <c r="C57" s="85"/>
      <c r="D57" s="85"/>
      <c r="E57" s="85"/>
      <c r="F57" s="85"/>
      <c r="G57" s="88"/>
      <c r="H57" s="88"/>
      <c r="I57" s="85" t="str">
        <f t="shared" si="1"/>
        <v/>
      </c>
    </row>
    <row r="58" ht="15.75" customHeight="1">
      <c r="A58" s="85"/>
      <c r="B58" s="85"/>
      <c r="C58" s="85"/>
      <c r="D58" s="85"/>
      <c r="E58" s="85"/>
      <c r="F58" s="85"/>
      <c r="G58" s="88"/>
      <c r="H58" s="88"/>
      <c r="I58" s="85" t="str">
        <f t="shared" si="1"/>
        <v/>
      </c>
    </row>
    <row r="59" ht="15.75" customHeight="1">
      <c r="A59" s="85"/>
      <c r="B59" s="85"/>
      <c r="C59" s="85"/>
      <c r="D59" s="85"/>
      <c r="E59" s="85"/>
      <c r="F59" s="85"/>
      <c r="G59" s="88"/>
      <c r="H59" s="88"/>
      <c r="I59" s="85" t="str">
        <f t="shared" si="1"/>
        <v/>
      </c>
    </row>
    <row r="60" ht="15.75" customHeight="1">
      <c r="A60" s="85"/>
      <c r="B60" s="85"/>
      <c r="C60" s="85"/>
      <c r="D60" s="85"/>
      <c r="E60" s="85"/>
      <c r="F60" s="85"/>
      <c r="G60" s="88"/>
      <c r="H60" s="88"/>
      <c r="I60" s="85" t="str">
        <f t="shared" si="1"/>
        <v/>
      </c>
    </row>
    <row r="61" ht="15.75" customHeight="1">
      <c r="A61" s="85"/>
      <c r="B61" s="85"/>
      <c r="C61" s="85"/>
      <c r="D61" s="85"/>
      <c r="E61" s="85"/>
      <c r="F61" s="85"/>
      <c r="G61" s="88"/>
      <c r="H61" s="88"/>
      <c r="I61" s="85" t="str">
        <f t="shared" si="1"/>
        <v/>
      </c>
    </row>
    <row r="62" ht="15.75" customHeight="1">
      <c r="A62" s="85"/>
      <c r="B62" s="85"/>
      <c r="C62" s="85"/>
      <c r="D62" s="85"/>
      <c r="E62" s="85"/>
      <c r="F62" s="85"/>
      <c r="G62" s="88"/>
      <c r="H62" s="88"/>
      <c r="I62" s="85" t="str">
        <f t="shared" si="1"/>
        <v/>
      </c>
    </row>
    <row r="63" ht="15.75" customHeight="1">
      <c r="A63" s="85"/>
      <c r="B63" s="85"/>
      <c r="C63" s="85"/>
      <c r="D63" s="85"/>
      <c r="E63" s="85"/>
      <c r="F63" s="85"/>
      <c r="G63" s="88"/>
      <c r="H63" s="88"/>
      <c r="I63" s="85" t="str">
        <f t="shared" si="1"/>
        <v/>
      </c>
    </row>
    <row r="64" ht="15.75" customHeight="1">
      <c r="A64" s="85"/>
      <c r="B64" s="85"/>
      <c r="C64" s="85"/>
      <c r="D64" s="85"/>
      <c r="E64" s="85"/>
      <c r="F64" s="85"/>
      <c r="G64" s="88"/>
      <c r="H64" s="88"/>
      <c r="I64" s="85" t="str">
        <f t="shared" si="1"/>
        <v/>
      </c>
    </row>
    <row r="65" ht="15.75" customHeight="1">
      <c r="A65" s="85"/>
      <c r="B65" s="85"/>
      <c r="C65" s="85"/>
      <c r="D65" s="85"/>
      <c r="E65" s="85"/>
      <c r="F65" s="85"/>
      <c r="G65" s="88"/>
      <c r="H65" s="88"/>
      <c r="I65" s="85" t="str">
        <f t="shared" si="1"/>
        <v/>
      </c>
    </row>
    <row r="66" ht="15.75" customHeight="1">
      <c r="A66" s="85"/>
      <c r="B66" s="85"/>
      <c r="C66" s="85"/>
      <c r="D66" s="85"/>
      <c r="E66" s="85"/>
      <c r="F66" s="85"/>
      <c r="G66" s="88"/>
      <c r="H66" s="88"/>
      <c r="I66" s="85" t="str">
        <f t="shared" si="1"/>
        <v/>
      </c>
    </row>
    <row r="67" ht="15.75" customHeight="1">
      <c r="A67" s="85"/>
      <c r="B67" s="85"/>
      <c r="C67" s="85"/>
      <c r="D67" s="85"/>
      <c r="E67" s="85"/>
      <c r="F67" s="85"/>
      <c r="G67" s="88"/>
      <c r="H67" s="88"/>
      <c r="I67" s="85" t="str">
        <f t="shared" si="1"/>
        <v/>
      </c>
    </row>
    <row r="68" ht="15.75" customHeight="1">
      <c r="A68" s="85"/>
      <c r="B68" s="85"/>
      <c r="C68" s="85"/>
      <c r="D68" s="85"/>
      <c r="E68" s="85"/>
      <c r="F68" s="85"/>
      <c r="G68" s="88"/>
      <c r="H68" s="88"/>
      <c r="I68" s="85" t="str">
        <f t="shared" si="1"/>
        <v/>
      </c>
    </row>
    <row r="69" ht="15.75" customHeight="1">
      <c r="A69" s="85"/>
      <c r="B69" s="85"/>
      <c r="C69" s="85"/>
      <c r="D69" s="85"/>
      <c r="E69" s="85"/>
      <c r="F69" s="85"/>
      <c r="G69" s="88"/>
      <c r="H69" s="88"/>
      <c r="I69" s="85" t="str">
        <f t="shared" si="1"/>
        <v/>
      </c>
    </row>
    <row r="70" ht="15.75" customHeight="1">
      <c r="A70" s="85"/>
      <c r="B70" s="85"/>
      <c r="C70" s="85"/>
      <c r="D70" s="85"/>
      <c r="E70" s="85"/>
      <c r="F70" s="85"/>
      <c r="G70" s="88"/>
      <c r="H70" s="88"/>
      <c r="I70" s="85" t="str">
        <f t="shared" si="1"/>
        <v/>
      </c>
    </row>
    <row r="71" ht="15.75" customHeight="1">
      <c r="A71" s="85"/>
      <c r="B71" s="85"/>
      <c r="C71" s="85"/>
      <c r="D71" s="85"/>
      <c r="E71" s="85"/>
      <c r="F71" s="85"/>
      <c r="G71" s="88"/>
      <c r="H71" s="88"/>
      <c r="I71" s="85" t="str">
        <f t="shared" si="1"/>
        <v/>
      </c>
    </row>
    <row r="72" ht="15.75" customHeight="1">
      <c r="A72" s="85"/>
      <c r="B72" s="85"/>
      <c r="C72" s="85"/>
      <c r="D72" s="85"/>
      <c r="E72" s="85"/>
      <c r="F72" s="85"/>
      <c r="G72" s="88"/>
      <c r="H72" s="88"/>
      <c r="I72" s="85" t="str">
        <f t="shared" si="1"/>
        <v/>
      </c>
    </row>
    <row r="73" ht="15.75" customHeight="1">
      <c r="A73" s="85"/>
      <c r="B73" s="85"/>
      <c r="C73" s="85"/>
      <c r="D73" s="85"/>
      <c r="E73" s="85"/>
      <c r="F73" s="85"/>
      <c r="G73" s="88"/>
      <c r="H73" s="88"/>
      <c r="I73" s="85" t="str">
        <f t="shared" si="1"/>
        <v/>
      </c>
    </row>
    <row r="74" ht="15.75" customHeight="1">
      <c r="A74" s="85"/>
      <c r="B74" s="85"/>
      <c r="C74" s="85"/>
      <c r="D74" s="85"/>
      <c r="E74" s="85"/>
      <c r="F74" s="85"/>
      <c r="G74" s="88"/>
      <c r="H74" s="88"/>
      <c r="I74" s="85" t="str">
        <f t="shared" si="1"/>
        <v/>
      </c>
    </row>
    <row r="75" ht="15.75" customHeight="1">
      <c r="A75" s="85"/>
      <c r="B75" s="85"/>
      <c r="C75" s="85"/>
      <c r="D75" s="85"/>
      <c r="E75" s="85"/>
      <c r="F75" s="85"/>
      <c r="G75" s="88"/>
      <c r="H75" s="88"/>
      <c r="I75" s="85" t="str">
        <f t="shared" si="1"/>
        <v/>
      </c>
    </row>
    <row r="76" ht="15.75" customHeight="1">
      <c r="A76" s="85"/>
      <c r="B76" s="85"/>
      <c r="C76" s="85"/>
      <c r="D76" s="85"/>
      <c r="E76" s="85"/>
      <c r="F76" s="85"/>
      <c r="G76" s="88"/>
      <c r="H76" s="88"/>
      <c r="I76" s="85" t="str">
        <f t="shared" si="1"/>
        <v/>
      </c>
    </row>
    <row r="77" ht="15.75" customHeight="1">
      <c r="A77" s="85"/>
      <c r="B77" s="85"/>
      <c r="C77" s="85"/>
      <c r="D77" s="85"/>
      <c r="E77" s="85"/>
      <c r="F77" s="85"/>
      <c r="G77" s="88"/>
      <c r="H77" s="88"/>
      <c r="I77" s="85" t="str">
        <f t="shared" si="1"/>
        <v/>
      </c>
    </row>
    <row r="78" ht="15.75" customHeight="1">
      <c r="A78" s="85"/>
      <c r="B78" s="85"/>
      <c r="C78" s="85"/>
      <c r="D78" s="85"/>
      <c r="E78" s="85"/>
      <c r="F78" s="85"/>
      <c r="G78" s="88"/>
      <c r="H78" s="88"/>
      <c r="I78" s="85" t="str">
        <f t="shared" si="1"/>
        <v/>
      </c>
    </row>
    <row r="79" ht="15.75" customHeight="1">
      <c r="A79" s="85"/>
      <c r="B79" s="85"/>
      <c r="C79" s="85"/>
      <c r="D79" s="85"/>
      <c r="E79" s="85"/>
      <c r="F79" s="85"/>
      <c r="G79" s="88"/>
      <c r="H79" s="88"/>
      <c r="I79" s="85" t="str">
        <f t="shared" si="1"/>
        <v/>
      </c>
    </row>
    <row r="80" ht="15.75" customHeight="1">
      <c r="A80" s="85"/>
      <c r="B80" s="85"/>
      <c r="C80" s="85"/>
      <c r="D80" s="85"/>
      <c r="E80" s="85"/>
      <c r="F80" s="85"/>
      <c r="G80" s="88"/>
      <c r="H80" s="88"/>
      <c r="I80" s="85" t="str">
        <f t="shared" si="1"/>
        <v/>
      </c>
    </row>
    <row r="81" ht="15.75" customHeight="1">
      <c r="A81" s="85"/>
      <c r="B81" s="85"/>
      <c r="C81" s="85"/>
      <c r="D81" s="85"/>
      <c r="E81" s="85"/>
      <c r="F81" s="85"/>
      <c r="G81" s="88"/>
      <c r="H81" s="88"/>
      <c r="I81" s="85" t="str">
        <f t="shared" si="1"/>
        <v/>
      </c>
    </row>
    <row r="82" ht="15.75" customHeight="1">
      <c r="A82" s="85"/>
      <c r="B82" s="85"/>
      <c r="C82" s="85"/>
      <c r="D82" s="85"/>
      <c r="E82" s="85"/>
      <c r="F82" s="85"/>
      <c r="G82" s="88"/>
      <c r="H82" s="88"/>
      <c r="I82" s="85" t="str">
        <f t="shared" si="1"/>
        <v/>
      </c>
    </row>
    <row r="83" ht="15.75" customHeight="1">
      <c r="A83" s="85"/>
      <c r="B83" s="85"/>
      <c r="C83" s="85"/>
      <c r="D83" s="85"/>
      <c r="E83" s="85"/>
      <c r="F83" s="85"/>
      <c r="G83" s="88"/>
      <c r="H83" s="88"/>
      <c r="I83" s="85" t="str">
        <f t="shared" si="1"/>
        <v/>
      </c>
    </row>
    <row r="84" ht="15.75" customHeight="1">
      <c r="A84" s="85"/>
      <c r="B84" s="85"/>
      <c r="C84" s="85"/>
      <c r="D84" s="85"/>
      <c r="E84" s="85"/>
      <c r="F84" s="85"/>
      <c r="G84" s="88"/>
      <c r="H84" s="88"/>
      <c r="I84" s="85" t="str">
        <f t="shared" si="1"/>
        <v/>
      </c>
    </row>
    <row r="85" ht="15.75" customHeight="1">
      <c r="A85" s="85"/>
      <c r="B85" s="85"/>
      <c r="C85" s="85"/>
      <c r="D85" s="85"/>
      <c r="E85" s="85"/>
      <c r="F85" s="85"/>
      <c r="G85" s="88"/>
      <c r="H85" s="88"/>
      <c r="I85" s="85" t="str">
        <f t="shared" si="1"/>
        <v/>
      </c>
    </row>
    <row r="86" ht="15.75" customHeight="1">
      <c r="A86" s="85"/>
      <c r="B86" s="85"/>
      <c r="C86" s="85"/>
      <c r="D86" s="85"/>
      <c r="E86" s="85"/>
      <c r="F86" s="85"/>
      <c r="G86" s="88"/>
      <c r="H86" s="88"/>
      <c r="I86" s="85" t="str">
        <f t="shared" si="1"/>
        <v/>
      </c>
    </row>
    <row r="87" ht="15.75" customHeight="1">
      <c r="A87" s="85"/>
      <c r="B87" s="85"/>
      <c r="C87" s="85"/>
      <c r="D87" s="85"/>
      <c r="E87" s="85"/>
      <c r="F87" s="85"/>
      <c r="G87" s="88"/>
      <c r="H87" s="88"/>
      <c r="I87" s="85" t="str">
        <f t="shared" si="1"/>
        <v/>
      </c>
    </row>
    <row r="88" ht="15.75" customHeight="1">
      <c r="A88" s="85"/>
      <c r="B88" s="85"/>
      <c r="C88" s="85"/>
      <c r="D88" s="85"/>
      <c r="E88" s="85"/>
      <c r="F88" s="85"/>
      <c r="G88" s="88"/>
      <c r="H88" s="88"/>
      <c r="I88" s="85" t="str">
        <f t="shared" si="1"/>
        <v/>
      </c>
    </row>
    <row r="89" ht="15.75" customHeight="1">
      <c r="A89" s="85"/>
      <c r="B89" s="85"/>
      <c r="C89" s="85"/>
      <c r="D89" s="85"/>
      <c r="E89" s="85"/>
      <c r="F89" s="85"/>
      <c r="G89" s="88"/>
      <c r="H89" s="88"/>
      <c r="I89" s="85" t="str">
        <f t="shared" si="1"/>
        <v/>
      </c>
    </row>
    <row r="90" ht="15.75" customHeight="1">
      <c r="A90" s="85"/>
      <c r="B90" s="85"/>
      <c r="C90" s="85"/>
      <c r="D90" s="85"/>
      <c r="E90" s="85"/>
      <c r="F90" s="85"/>
      <c r="G90" s="88"/>
      <c r="H90" s="88"/>
      <c r="I90" s="85" t="str">
        <f t="shared" si="1"/>
        <v/>
      </c>
    </row>
    <row r="91" ht="15.75" customHeight="1">
      <c r="A91" s="85"/>
      <c r="B91" s="85"/>
      <c r="C91" s="85"/>
      <c r="D91" s="85"/>
      <c r="E91" s="85"/>
      <c r="F91" s="85"/>
      <c r="G91" s="88"/>
      <c r="H91" s="88"/>
      <c r="I91" s="85" t="str">
        <f t="shared" si="1"/>
        <v/>
      </c>
    </row>
    <row r="92" ht="15.75" customHeight="1">
      <c r="A92" s="85"/>
      <c r="B92" s="85"/>
      <c r="C92" s="85"/>
      <c r="D92" s="85"/>
      <c r="E92" s="85"/>
      <c r="F92" s="85"/>
      <c r="G92" s="88"/>
      <c r="H92" s="88"/>
      <c r="I92" s="85" t="str">
        <f t="shared" si="1"/>
        <v/>
      </c>
    </row>
    <row r="93" ht="15.75" customHeight="1">
      <c r="A93" s="85"/>
      <c r="B93" s="85"/>
      <c r="C93" s="85"/>
      <c r="D93" s="85"/>
      <c r="E93" s="85"/>
      <c r="F93" s="85"/>
      <c r="G93" s="88"/>
      <c r="H93" s="88"/>
      <c r="I93" s="85" t="str">
        <f t="shared" si="1"/>
        <v/>
      </c>
    </row>
    <row r="94" ht="15.75" customHeight="1">
      <c r="A94" s="85"/>
      <c r="B94" s="85"/>
      <c r="C94" s="85"/>
      <c r="D94" s="85"/>
      <c r="E94" s="85"/>
      <c r="F94" s="85"/>
      <c r="G94" s="88"/>
      <c r="H94" s="88"/>
      <c r="I94" s="85" t="str">
        <f t="shared" si="1"/>
        <v/>
      </c>
    </row>
    <row r="95" ht="15.75" customHeight="1">
      <c r="A95" s="85"/>
      <c r="B95" s="85"/>
      <c r="C95" s="85"/>
      <c r="D95" s="85"/>
      <c r="E95" s="85"/>
      <c r="F95" s="85"/>
      <c r="G95" s="88"/>
      <c r="H95" s="88"/>
      <c r="I95" s="85" t="str">
        <f t="shared" si="1"/>
        <v/>
      </c>
    </row>
    <row r="96" ht="15.75" customHeight="1">
      <c r="A96" s="85"/>
      <c r="B96" s="85"/>
      <c r="C96" s="85"/>
      <c r="D96" s="85"/>
      <c r="E96" s="85"/>
      <c r="F96" s="85"/>
      <c r="G96" s="88"/>
      <c r="H96" s="88"/>
      <c r="I96" s="85" t="str">
        <f t="shared" si="1"/>
        <v/>
      </c>
    </row>
    <row r="97" ht="15.75" customHeight="1">
      <c r="A97" s="85"/>
      <c r="B97" s="85"/>
      <c r="C97" s="85"/>
      <c r="D97" s="85"/>
      <c r="E97" s="85"/>
      <c r="F97" s="85"/>
      <c r="G97" s="88"/>
      <c r="H97" s="88"/>
      <c r="I97" s="85" t="str">
        <f t="shared" si="1"/>
        <v/>
      </c>
    </row>
    <row r="98" ht="15.75" customHeight="1">
      <c r="A98" s="85"/>
      <c r="B98" s="85"/>
      <c r="C98" s="85"/>
      <c r="D98" s="85"/>
      <c r="E98" s="85"/>
      <c r="F98" s="85"/>
      <c r="G98" s="88"/>
      <c r="H98" s="88"/>
      <c r="I98" s="85" t="str">
        <f t="shared" si="1"/>
        <v/>
      </c>
    </row>
    <row r="99" ht="15.75" customHeight="1">
      <c r="A99" s="85"/>
      <c r="B99" s="85"/>
      <c r="C99" s="85"/>
      <c r="D99" s="85"/>
      <c r="E99" s="85"/>
      <c r="F99" s="85"/>
      <c r="G99" s="88"/>
      <c r="H99" s="88"/>
      <c r="I99" s="85" t="str">
        <f t="shared" si="1"/>
        <v/>
      </c>
    </row>
    <row r="100" ht="15.75" customHeight="1">
      <c r="A100" s="85"/>
      <c r="B100" s="85"/>
      <c r="C100" s="85"/>
      <c r="D100" s="85"/>
      <c r="E100" s="85"/>
      <c r="F100" s="85"/>
      <c r="G100" s="88"/>
      <c r="H100" s="88"/>
      <c r="I100" s="85" t="str">
        <f t="shared" si="1"/>
        <v/>
      </c>
    </row>
    <row r="101" ht="15.75" customHeight="1">
      <c r="A101" s="85"/>
      <c r="B101" s="85"/>
      <c r="C101" s="85"/>
      <c r="D101" s="85"/>
      <c r="E101" s="85"/>
      <c r="F101" s="85"/>
      <c r="G101" s="88"/>
      <c r="H101" s="88"/>
      <c r="I101" s="85" t="str">
        <f t="shared" si="1"/>
        <v/>
      </c>
    </row>
    <row r="102" ht="15.75" customHeight="1">
      <c r="A102" s="85"/>
      <c r="B102" s="85"/>
      <c r="C102" s="85"/>
      <c r="D102" s="85"/>
      <c r="E102" s="85"/>
      <c r="F102" s="85"/>
      <c r="G102" s="88"/>
      <c r="H102" s="88"/>
      <c r="I102" s="85" t="str">
        <f t="shared" si="1"/>
        <v/>
      </c>
    </row>
    <row r="103" ht="15.75" customHeight="1">
      <c r="A103" s="85"/>
      <c r="B103" s="85"/>
      <c r="C103" s="85"/>
      <c r="D103" s="85"/>
      <c r="E103" s="85"/>
      <c r="F103" s="85"/>
      <c r="G103" s="88"/>
      <c r="H103" s="88"/>
      <c r="I103" s="85" t="str">
        <f t="shared" si="1"/>
        <v/>
      </c>
    </row>
    <row r="104" ht="15.75" customHeight="1">
      <c r="A104" s="85"/>
      <c r="B104" s="85"/>
      <c r="C104" s="85"/>
      <c r="D104" s="85"/>
      <c r="E104" s="85"/>
      <c r="F104" s="85"/>
      <c r="G104" s="88"/>
      <c r="H104" s="88"/>
      <c r="I104" s="85" t="str">
        <f t="shared" si="1"/>
        <v/>
      </c>
    </row>
    <row r="105" ht="15.75" customHeight="1">
      <c r="A105" s="85"/>
      <c r="B105" s="85"/>
      <c r="C105" s="85"/>
      <c r="D105" s="85"/>
      <c r="E105" s="85"/>
      <c r="F105" s="85"/>
      <c r="G105" s="88"/>
      <c r="H105" s="88"/>
      <c r="I105" s="85" t="str">
        <f t="shared" si="1"/>
        <v/>
      </c>
    </row>
    <row r="106" ht="15.75" customHeight="1">
      <c r="A106" s="85"/>
      <c r="B106" s="85"/>
      <c r="C106" s="85"/>
      <c r="D106" s="85"/>
      <c r="E106" s="85"/>
      <c r="F106" s="85"/>
      <c r="G106" s="88"/>
      <c r="H106" s="88"/>
      <c r="I106" s="85" t="str">
        <f t="shared" si="1"/>
        <v/>
      </c>
    </row>
    <row r="107" ht="15.75" customHeight="1">
      <c r="A107" s="85"/>
      <c r="B107" s="85"/>
      <c r="C107" s="85"/>
      <c r="D107" s="85"/>
      <c r="E107" s="85"/>
      <c r="F107" s="85"/>
      <c r="G107" s="88"/>
      <c r="H107" s="88"/>
      <c r="I107" s="85" t="str">
        <f t="shared" si="1"/>
        <v/>
      </c>
    </row>
    <row r="108" ht="15.75" customHeight="1">
      <c r="A108" s="85"/>
      <c r="B108" s="85"/>
      <c r="C108" s="85"/>
      <c r="D108" s="85"/>
      <c r="E108" s="85"/>
      <c r="F108" s="85"/>
      <c r="G108" s="88"/>
      <c r="H108" s="88"/>
      <c r="I108" s="85" t="str">
        <f t="shared" si="1"/>
        <v/>
      </c>
    </row>
    <row r="109" ht="15.75" customHeight="1">
      <c r="A109" s="85"/>
      <c r="B109" s="85"/>
      <c r="C109" s="85"/>
      <c r="D109" s="85"/>
      <c r="E109" s="85"/>
      <c r="F109" s="85"/>
      <c r="G109" s="88"/>
      <c r="H109" s="88"/>
      <c r="I109" s="85" t="str">
        <f t="shared" si="1"/>
        <v/>
      </c>
    </row>
    <row r="110" ht="15.75" customHeight="1">
      <c r="A110" s="85"/>
      <c r="B110" s="85"/>
      <c r="C110" s="85"/>
      <c r="D110" s="85"/>
      <c r="E110" s="85"/>
      <c r="F110" s="85"/>
      <c r="G110" s="88"/>
      <c r="H110" s="88"/>
      <c r="I110" s="85" t="str">
        <f t="shared" si="1"/>
        <v/>
      </c>
    </row>
    <row r="111" ht="15.75" customHeight="1">
      <c r="A111" s="85"/>
      <c r="B111" s="85"/>
      <c r="C111" s="85"/>
      <c r="D111" s="85"/>
      <c r="E111" s="85"/>
      <c r="F111" s="85"/>
      <c r="G111" s="88"/>
      <c r="H111" s="88"/>
      <c r="I111" s="85" t="str">
        <f t="shared" si="1"/>
        <v/>
      </c>
    </row>
    <row r="112" ht="15.75" customHeight="1">
      <c r="A112" s="85"/>
      <c r="B112" s="85"/>
      <c r="C112" s="85"/>
      <c r="D112" s="85"/>
      <c r="E112" s="85"/>
      <c r="F112" s="85"/>
      <c r="G112" s="88"/>
      <c r="H112" s="88"/>
      <c r="I112" s="85" t="str">
        <f t="shared" si="1"/>
        <v/>
      </c>
    </row>
    <row r="113" ht="15.75" customHeight="1">
      <c r="A113" s="85"/>
      <c r="B113" s="85"/>
      <c r="C113" s="85"/>
      <c r="D113" s="85"/>
      <c r="E113" s="85"/>
      <c r="F113" s="85"/>
      <c r="G113" s="88"/>
      <c r="H113" s="88"/>
      <c r="I113" s="85" t="str">
        <f t="shared" si="1"/>
        <v/>
      </c>
    </row>
    <row r="114" ht="15.75" customHeight="1">
      <c r="A114" s="85"/>
      <c r="B114" s="85"/>
      <c r="C114" s="85"/>
      <c r="D114" s="85"/>
      <c r="E114" s="85"/>
      <c r="F114" s="85"/>
      <c r="G114" s="88"/>
      <c r="H114" s="88"/>
      <c r="I114" s="85" t="str">
        <f t="shared" si="1"/>
        <v/>
      </c>
    </row>
    <row r="115" ht="15.75" customHeight="1">
      <c r="A115" s="85"/>
      <c r="B115" s="85"/>
      <c r="C115" s="85"/>
      <c r="D115" s="85"/>
      <c r="E115" s="85"/>
      <c r="F115" s="85"/>
      <c r="G115" s="88"/>
      <c r="H115" s="88"/>
      <c r="I115" s="85" t="str">
        <f t="shared" si="1"/>
        <v/>
      </c>
    </row>
    <row r="116" ht="15.75" customHeight="1">
      <c r="A116" s="85"/>
      <c r="B116" s="85"/>
      <c r="C116" s="85"/>
      <c r="D116" s="85"/>
      <c r="E116" s="85"/>
      <c r="F116" s="85"/>
      <c r="G116" s="88"/>
      <c r="H116" s="88"/>
      <c r="I116" s="85" t="str">
        <f t="shared" si="1"/>
        <v/>
      </c>
    </row>
    <row r="117" ht="15.75" customHeight="1">
      <c r="A117" s="85"/>
      <c r="B117" s="85"/>
      <c r="C117" s="85"/>
      <c r="D117" s="85"/>
      <c r="E117" s="85"/>
      <c r="F117" s="85"/>
      <c r="G117" s="88"/>
      <c r="H117" s="88"/>
      <c r="I117" s="85" t="str">
        <f t="shared" si="1"/>
        <v/>
      </c>
    </row>
    <row r="118" ht="15.75" customHeight="1">
      <c r="A118" s="85"/>
      <c r="B118" s="85"/>
      <c r="C118" s="85"/>
      <c r="D118" s="85"/>
      <c r="E118" s="85"/>
      <c r="F118" s="85"/>
      <c r="G118" s="88"/>
      <c r="H118" s="88"/>
      <c r="I118" s="85" t="str">
        <f t="shared" si="1"/>
        <v/>
      </c>
    </row>
    <row r="119" ht="15.75" customHeight="1">
      <c r="A119" s="85"/>
      <c r="B119" s="85"/>
      <c r="C119" s="85"/>
      <c r="D119" s="85"/>
      <c r="E119" s="85"/>
      <c r="F119" s="85"/>
      <c r="G119" s="88"/>
      <c r="H119" s="88"/>
      <c r="I119" s="85" t="str">
        <f t="shared" si="1"/>
        <v/>
      </c>
    </row>
    <row r="120" ht="15.75" customHeight="1">
      <c r="A120" s="85"/>
      <c r="B120" s="85"/>
      <c r="C120" s="85"/>
      <c r="D120" s="85"/>
      <c r="E120" s="85"/>
      <c r="F120" s="85"/>
      <c r="G120" s="88"/>
      <c r="H120" s="88"/>
      <c r="I120" s="85" t="str">
        <f t="shared" si="1"/>
        <v/>
      </c>
    </row>
    <row r="121" ht="15.75" customHeight="1">
      <c r="A121" s="85"/>
      <c r="B121" s="85"/>
      <c r="C121" s="85"/>
      <c r="D121" s="85"/>
      <c r="E121" s="85"/>
      <c r="F121" s="85"/>
      <c r="G121" s="88"/>
      <c r="H121" s="88"/>
      <c r="I121" s="85" t="str">
        <f t="shared" si="1"/>
        <v/>
      </c>
    </row>
    <row r="122" ht="15.75" customHeight="1">
      <c r="A122" s="85"/>
      <c r="B122" s="85"/>
      <c r="C122" s="85"/>
      <c r="D122" s="85"/>
      <c r="E122" s="85"/>
      <c r="F122" s="85"/>
      <c r="G122" s="88"/>
      <c r="H122" s="88"/>
      <c r="I122" s="85" t="str">
        <f t="shared" si="1"/>
        <v/>
      </c>
    </row>
    <row r="123" ht="15.75" customHeight="1">
      <c r="A123" s="85"/>
      <c r="B123" s="85"/>
      <c r="C123" s="85"/>
      <c r="D123" s="85"/>
      <c r="E123" s="85"/>
      <c r="F123" s="85"/>
      <c r="G123" s="88"/>
      <c r="H123" s="88"/>
      <c r="I123" s="85" t="str">
        <f t="shared" si="1"/>
        <v/>
      </c>
    </row>
    <row r="124" ht="15.75" customHeight="1">
      <c r="A124" s="85"/>
      <c r="B124" s="85"/>
      <c r="C124" s="85"/>
      <c r="D124" s="85"/>
      <c r="E124" s="85"/>
      <c r="F124" s="85"/>
      <c r="G124" s="88"/>
      <c r="H124" s="88"/>
      <c r="I124" s="85" t="str">
        <f t="shared" si="1"/>
        <v/>
      </c>
    </row>
    <row r="125" ht="15.75" customHeight="1">
      <c r="A125" s="85"/>
      <c r="B125" s="85"/>
      <c r="C125" s="85"/>
      <c r="D125" s="85"/>
      <c r="E125" s="85"/>
      <c r="F125" s="85"/>
      <c r="G125" s="88"/>
      <c r="H125" s="88"/>
      <c r="I125" s="85" t="str">
        <f t="shared" si="1"/>
        <v/>
      </c>
    </row>
    <row r="126" ht="15.75" customHeight="1">
      <c r="A126" s="85"/>
      <c r="B126" s="85"/>
      <c r="C126" s="85"/>
      <c r="D126" s="85"/>
      <c r="E126" s="85"/>
      <c r="F126" s="85"/>
      <c r="G126" s="88"/>
      <c r="H126" s="88"/>
      <c r="I126" s="85" t="str">
        <f t="shared" si="1"/>
        <v/>
      </c>
    </row>
    <row r="127" ht="15.75" customHeight="1">
      <c r="A127" s="85"/>
      <c r="B127" s="85"/>
      <c r="C127" s="85"/>
      <c r="D127" s="85"/>
      <c r="E127" s="85"/>
      <c r="F127" s="85"/>
      <c r="G127" s="88"/>
      <c r="H127" s="88"/>
      <c r="I127" s="85" t="str">
        <f t="shared" si="1"/>
        <v/>
      </c>
    </row>
    <row r="128" ht="15.75" customHeight="1">
      <c r="A128" s="85"/>
      <c r="B128" s="85"/>
      <c r="C128" s="85"/>
      <c r="D128" s="85"/>
      <c r="E128" s="85"/>
      <c r="F128" s="85"/>
      <c r="G128" s="88"/>
      <c r="H128" s="88"/>
      <c r="I128" s="85" t="str">
        <f t="shared" si="1"/>
        <v/>
      </c>
    </row>
    <row r="129" ht="15.75" customHeight="1">
      <c r="A129" s="85"/>
      <c r="B129" s="85"/>
      <c r="C129" s="85"/>
      <c r="D129" s="85"/>
      <c r="E129" s="85"/>
      <c r="F129" s="85"/>
      <c r="G129" s="88"/>
      <c r="H129" s="88"/>
      <c r="I129" s="85" t="str">
        <f t="shared" si="1"/>
        <v/>
      </c>
    </row>
    <row r="130" ht="15.75" customHeight="1">
      <c r="A130" s="85"/>
      <c r="B130" s="85"/>
      <c r="C130" s="85"/>
      <c r="D130" s="85"/>
      <c r="E130" s="85"/>
      <c r="F130" s="85"/>
      <c r="G130" s="88"/>
      <c r="H130" s="88"/>
      <c r="I130" s="85" t="str">
        <f t="shared" si="1"/>
        <v/>
      </c>
    </row>
    <row r="131" ht="15.75" customHeight="1">
      <c r="A131" s="85"/>
      <c r="B131" s="85"/>
      <c r="C131" s="85"/>
      <c r="D131" s="85"/>
      <c r="E131" s="85"/>
      <c r="F131" s="85"/>
      <c r="G131" s="88"/>
      <c r="H131" s="88"/>
      <c r="I131" s="85" t="str">
        <f t="shared" si="1"/>
        <v/>
      </c>
    </row>
    <row r="132" ht="15.75" customHeight="1">
      <c r="A132" s="85"/>
      <c r="B132" s="85"/>
      <c r="C132" s="85"/>
      <c r="D132" s="85"/>
      <c r="E132" s="85"/>
      <c r="F132" s="85"/>
      <c r="G132" s="88"/>
      <c r="H132" s="88"/>
      <c r="I132" s="85" t="str">
        <f t="shared" si="1"/>
        <v/>
      </c>
    </row>
    <row r="133" ht="15.75" customHeight="1">
      <c r="A133" s="85"/>
      <c r="B133" s="85"/>
      <c r="C133" s="85"/>
      <c r="D133" s="85"/>
      <c r="E133" s="85"/>
      <c r="F133" s="85"/>
      <c r="G133" s="88"/>
      <c r="H133" s="88"/>
      <c r="I133" s="85" t="str">
        <f t="shared" si="1"/>
        <v/>
      </c>
    </row>
    <row r="134" ht="15.75" customHeight="1">
      <c r="A134" s="85"/>
      <c r="B134" s="85"/>
      <c r="C134" s="85"/>
      <c r="D134" s="85"/>
      <c r="E134" s="85"/>
      <c r="F134" s="85"/>
      <c r="G134" s="88"/>
      <c r="H134" s="88"/>
      <c r="I134" s="85" t="str">
        <f t="shared" si="1"/>
        <v/>
      </c>
    </row>
    <row r="135" ht="15.75" customHeight="1">
      <c r="A135" s="85"/>
      <c r="B135" s="85"/>
      <c r="C135" s="85"/>
      <c r="D135" s="85"/>
      <c r="E135" s="85"/>
      <c r="F135" s="85"/>
      <c r="G135" s="88"/>
      <c r="H135" s="88"/>
      <c r="I135" s="85" t="str">
        <f t="shared" si="1"/>
        <v/>
      </c>
    </row>
    <row r="136" ht="15.75" customHeight="1">
      <c r="A136" s="85"/>
      <c r="B136" s="85"/>
      <c r="C136" s="85"/>
      <c r="D136" s="85"/>
      <c r="E136" s="85"/>
      <c r="F136" s="85"/>
      <c r="G136" s="88"/>
      <c r="H136" s="88"/>
      <c r="I136" s="85" t="str">
        <f t="shared" si="1"/>
        <v/>
      </c>
    </row>
    <row r="137" ht="15.75" customHeight="1">
      <c r="A137" s="85"/>
      <c r="B137" s="85"/>
      <c r="C137" s="85"/>
      <c r="D137" s="85"/>
      <c r="E137" s="85"/>
      <c r="F137" s="85"/>
      <c r="G137" s="88"/>
      <c r="H137" s="88"/>
      <c r="I137" s="85" t="str">
        <f t="shared" si="1"/>
        <v/>
      </c>
    </row>
    <row r="138" ht="15.75" customHeight="1">
      <c r="A138" s="85"/>
      <c r="B138" s="85"/>
      <c r="C138" s="85"/>
      <c r="D138" s="85"/>
      <c r="E138" s="85"/>
      <c r="F138" s="85"/>
      <c r="G138" s="88"/>
      <c r="H138" s="88"/>
      <c r="I138" s="85" t="str">
        <f t="shared" si="1"/>
        <v/>
      </c>
    </row>
    <row r="139" ht="15.75" customHeight="1">
      <c r="A139" s="85"/>
      <c r="B139" s="85"/>
      <c r="C139" s="85"/>
      <c r="D139" s="85"/>
      <c r="E139" s="85"/>
      <c r="F139" s="85"/>
      <c r="G139" s="88"/>
      <c r="H139" s="88"/>
      <c r="I139" s="85" t="str">
        <f t="shared" si="1"/>
        <v/>
      </c>
    </row>
    <row r="140" ht="15.75" customHeight="1">
      <c r="A140" s="85"/>
      <c r="B140" s="85"/>
      <c r="C140" s="85"/>
      <c r="D140" s="85"/>
      <c r="E140" s="85"/>
      <c r="F140" s="85"/>
      <c r="G140" s="88"/>
      <c r="H140" s="88"/>
      <c r="I140" s="85" t="str">
        <f t="shared" si="1"/>
        <v/>
      </c>
    </row>
    <row r="141" ht="15.75" customHeight="1">
      <c r="A141" s="85"/>
      <c r="B141" s="85"/>
      <c r="C141" s="85"/>
      <c r="D141" s="85"/>
      <c r="E141" s="85"/>
      <c r="F141" s="85"/>
      <c r="G141" s="88"/>
      <c r="H141" s="88"/>
      <c r="I141" s="85" t="str">
        <f t="shared" si="1"/>
        <v/>
      </c>
    </row>
    <row r="142" ht="15.75" customHeight="1">
      <c r="A142" s="85"/>
      <c r="B142" s="85"/>
      <c r="C142" s="85"/>
      <c r="D142" s="85"/>
      <c r="E142" s="85"/>
      <c r="F142" s="85"/>
      <c r="G142" s="88"/>
      <c r="H142" s="88"/>
      <c r="I142" s="85" t="str">
        <f t="shared" si="1"/>
        <v/>
      </c>
    </row>
    <row r="143" ht="15.75" customHeight="1">
      <c r="A143" s="85"/>
      <c r="B143" s="85"/>
      <c r="C143" s="85"/>
      <c r="D143" s="85"/>
      <c r="E143" s="85"/>
      <c r="F143" s="85"/>
      <c r="G143" s="88"/>
      <c r="H143" s="88"/>
      <c r="I143" s="85" t="str">
        <f t="shared" si="1"/>
        <v/>
      </c>
    </row>
    <row r="144" ht="15.75" customHeight="1">
      <c r="A144" s="85"/>
      <c r="B144" s="85"/>
      <c r="C144" s="85"/>
      <c r="D144" s="85"/>
      <c r="E144" s="85"/>
      <c r="F144" s="85"/>
      <c r="G144" s="88"/>
      <c r="H144" s="88"/>
      <c r="I144" s="85" t="str">
        <f t="shared" si="1"/>
        <v/>
      </c>
    </row>
    <row r="145" ht="15.75" customHeight="1">
      <c r="A145" s="85"/>
      <c r="B145" s="85"/>
      <c r="C145" s="85"/>
      <c r="D145" s="85"/>
      <c r="E145" s="85"/>
      <c r="F145" s="85"/>
      <c r="G145" s="88"/>
      <c r="H145" s="88"/>
      <c r="I145" s="85" t="str">
        <f t="shared" si="1"/>
        <v/>
      </c>
    </row>
    <row r="146" ht="15.75" customHeight="1">
      <c r="A146" s="85"/>
      <c r="B146" s="85"/>
      <c r="C146" s="85"/>
      <c r="D146" s="85"/>
      <c r="E146" s="85"/>
      <c r="F146" s="85"/>
      <c r="G146" s="88"/>
      <c r="H146" s="88"/>
      <c r="I146" s="85" t="str">
        <f t="shared" si="1"/>
        <v/>
      </c>
    </row>
    <row r="147" ht="15.75" customHeight="1">
      <c r="A147" s="85"/>
      <c r="B147" s="85"/>
      <c r="C147" s="85"/>
      <c r="D147" s="85"/>
      <c r="E147" s="85"/>
      <c r="F147" s="85"/>
      <c r="G147" s="88"/>
      <c r="H147" s="88"/>
      <c r="I147" s="85" t="str">
        <f t="shared" si="1"/>
        <v/>
      </c>
    </row>
    <row r="148" ht="15.75" customHeight="1">
      <c r="A148" s="85"/>
      <c r="B148" s="85"/>
      <c r="C148" s="85"/>
      <c r="D148" s="85"/>
      <c r="E148" s="85"/>
      <c r="F148" s="85"/>
      <c r="G148" s="88"/>
      <c r="H148" s="88"/>
      <c r="I148" s="85" t="str">
        <f t="shared" si="1"/>
        <v/>
      </c>
    </row>
    <row r="149" ht="15.75" customHeight="1">
      <c r="A149" s="85"/>
      <c r="B149" s="85"/>
      <c r="C149" s="85"/>
      <c r="D149" s="85"/>
      <c r="E149" s="85"/>
      <c r="F149" s="85"/>
      <c r="G149" s="88"/>
      <c r="H149" s="88"/>
      <c r="I149" s="85" t="str">
        <f t="shared" si="1"/>
        <v/>
      </c>
    </row>
    <row r="150" ht="15.75" customHeight="1">
      <c r="A150" s="85"/>
      <c r="B150" s="85"/>
      <c r="C150" s="85"/>
      <c r="D150" s="85"/>
      <c r="E150" s="85"/>
      <c r="F150" s="85"/>
      <c r="G150" s="88"/>
      <c r="H150" s="88"/>
      <c r="I150" s="85" t="str">
        <f t="shared" si="1"/>
        <v/>
      </c>
    </row>
    <row r="151" ht="15.75" customHeight="1">
      <c r="A151" s="85"/>
      <c r="B151" s="85"/>
      <c r="C151" s="85"/>
      <c r="D151" s="85"/>
      <c r="E151" s="85"/>
      <c r="F151" s="85"/>
      <c r="G151" s="88"/>
      <c r="H151" s="88"/>
      <c r="I151" s="85" t="str">
        <f t="shared" si="1"/>
        <v/>
      </c>
    </row>
    <row r="152" ht="15.75" customHeight="1">
      <c r="A152" s="85"/>
      <c r="B152" s="85"/>
      <c r="C152" s="85"/>
      <c r="D152" s="85"/>
      <c r="E152" s="85"/>
      <c r="F152" s="85"/>
      <c r="G152" s="88"/>
      <c r="H152" s="88"/>
      <c r="I152" s="85" t="str">
        <f t="shared" si="1"/>
        <v/>
      </c>
    </row>
    <row r="153" ht="15.75" customHeight="1">
      <c r="A153" s="85"/>
      <c r="B153" s="85"/>
      <c r="C153" s="85"/>
      <c r="D153" s="85"/>
      <c r="E153" s="85"/>
      <c r="F153" s="85"/>
      <c r="G153" s="88"/>
      <c r="H153" s="88"/>
      <c r="I153" s="85" t="str">
        <f t="shared" si="1"/>
        <v/>
      </c>
    </row>
    <row r="154" ht="15.75" customHeight="1">
      <c r="A154" s="85"/>
      <c r="B154" s="85"/>
      <c r="C154" s="85"/>
      <c r="D154" s="85"/>
      <c r="E154" s="85"/>
      <c r="F154" s="85"/>
      <c r="G154" s="88"/>
      <c r="H154" s="88"/>
      <c r="I154" s="85" t="str">
        <f t="shared" si="1"/>
        <v/>
      </c>
    </row>
    <row r="155" ht="15.75" customHeight="1">
      <c r="A155" s="85"/>
      <c r="B155" s="85"/>
      <c r="C155" s="85"/>
      <c r="D155" s="85"/>
      <c r="E155" s="85"/>
      <c r="F155" s="85"/>
      <c r="G155" s="88"/>
      <c r="H155" s="88"/>
      <c r="I155" s="85" t="str">
        <f t="shared" si="1"/>
        <v/>
      </c>
    </row>
    <row r="156" ht="15.75" customHeight="1">
      <c r="A156" s="85"/>
      <c r="B156" s="85"/>
      <c r="C156" s="85"/>
      <c r="D156" s="85"/>
      <c r="E156" s="85"/>
      <c r="F156" s="85"/>
      <c r="G156" s="88"/>
      <c r="H156" s="88"/>
      <c r="I156" s="85" t="str">
        <f t="shared" si="1"/>
        <v/>
      </c>
    </row>
    <row r="157" ht="15.75" customHeight="1">
      <c r="A157" s="85"/>
      <c r="B157" s="85"/>
      <c r="C157" s="85"/>
      <c r="D157" s="85"/>
      <c r="E157" s="85"/>
      <c r="F157" s="85"/>
      <c r="G157" s="88"/>
      <c r="H157" s="88"/>
      <c r="I157" s="85" t="str">
        <f t="shared" si="1"/>
        <v/>
      </c>
    </row>
    <row r="158" ht="15.75" customHeight="1">
      <c r="A158" s="85"/>
      <c r="B158" s="85"/>
      <c r="C158" s="85"/>
      <c r="D158" s="85"/>
      <c r="E158" s="85"/>
      <c r="F158" s="85"/>
      <c r="G158" s="88"/>
      <c r="H158" s="88"/>
      <c r="I158" s="85" t="str">
        <f t="shared" si="1"/>
        <v/>
      </c>
    </row>
    <row r="159" ht="15.75" customHeight="1">
      <c r="A159" s="85"/>
      <c r="B159" s="85"/>
      <c r="C159" s="85"/>
      <c r="D159" s="85"/>
      <c r="E159" s="85"/>
      <c r="F159" s="85"/>
      <c r="G159" s="88"/>
      <c r="H159" s="88"/>
      <c r="I159" s="85" t="str">
        <f t="shared" si="1"/>
        <v/>
      </c>
    </row>
    <row r="160" ht="15.75" customHeight="1">
      <c r="A160" s="85"/>
      <c r="B160" s="85"/>
      <c r="C160" s="85"/>
      <c r="D160" s="85"/>
      <c r="E160" s="85"/>
      <c r="F160" s="85"/>
      <c r="G160" s="88"/>
      <c r="H160" s="88"/>
      <c r="I160" s="85" t="str">
        <f t="shared" si="1"/>
        <v/>
      </c>
    </row>
    <row r="161" ht="15.75" customHeight="1">
      <c r="A161" s="85"/>
      <c r="B161" s="85"/>
      <c r="C161" s="85"/>
      <c r="D161" s="85"/>
      <c r="E161" s="85"/>
      <c r="F161" s="85"/>
      <c r="G161" s="88"/>
      <c r="H161" s="88"/>
      <c r="I161" s="85" t="str">
        <f t="shared" si="1"/>
        <v/>
      </c>
    </row>
    <row r="162" ht="15.75" customHeight="1">
      <c r="A162" s="85"/>
      <c r="B162" s="85"/>
      <c r="C162" s="85"/>
      <c r="D162" s="85"/>
      <c r="E162" s="85"/>
      <c r="F162" s="85"/>
      <c r="G162" s="88"/>
      <c r="H162" s="88"/>
      <c r="I162" s="85" t="str">
        <f t="shared" si="1"/>
        <v/>
      </c>
    </row>
    <row r="163" ht="15.75" customHeight="1">
      <c r="A163" s="85"/>
      <c r="B163" s="85"/>
      <c r="C163" s="85"/>
      <c r="D163" s="85"/>
      <c r="E163" s="85"/>
      <c r="F163" s="85"/>
      <c r="G163" s="88"/>
      <c r="H163" s="88"/>
      <c r="I163" s="85" t="str">
        <f t="shared" si="1"/>
        <v/>
      </c>
    </row>
    <row r="164" ht="15.75" customHeight="1">
      <c r="A164" s="85"/>
      <c r="B164" s="85"/>
      <c r="C164" s="85"/>
      <c r="D164" s="85"/>
      <c r="E164" s="85"/>
      <c r="F164" s="85"/>
      <c r="G164" s="88"/>
      <c r="H164" s="88"/>
      <c r="I164" s="85" t="str">
        <f t="shared" si="1"/>
        <v/>
      </c>
    </row>
    <row r="165" ht="15.75" customHeight="1">
      <c r="A165" s="85"/>
      <c r="B165" s="85"/>
      <c r="C165" s="85"/>
      <c r="D165" s="85"/>
      <c r="E165" s="85"/>
      <c r="F165" s="85"/>
      <c r="G165" s="88"/>
      <c r="H165" s="88"/>
      <c r="I165" s="85" t="str">
        <f t="shared" si="1"/>
        <v/>
      </c>
    </row>
    <row r="166" ht="15.75" customHeight="1">
      <c r="A166" s="85"/>
      <c r="B166" s="85"/>
      <c r="C166" s="85"/>
      <c r="D166" s="85"/>
      <c r="E166" s="85"/>
      <c r="F166" s="85"/>
      <c r="G166" s="88"/>
      <c r="H166" s="88"/>
      <c r="I166" s="85" t="str">
        <f t="shared" si="1"/>
        <v/>
      </c>
    </row>
    <row r="167" ht="15.75" customHeight="1">
      <c r="A167" s="85"/>
      <c r="B167" s="85"/>
      <c r="C167" s="85"/>
      <c r="D167" s="85"/>
      <c r="E167" s="85"/>
      <c r="F167" s="85"/>
      <c r="G167" s="88"/>
      <c r="H167" s="88"/>
      <c r="I167" s="85" t="str">
        <f t="shared" si="1"/>
        <v/>
      </c>
    </row>
    <row r="168" ht="15.75" customHeight="1">
      <c r="A168" s="85"/>
      <c r="B168" s="85"/>
      <c r="C168" s="85"/>
      <c r="D168" s="85"/>
      <c r="E168" s="85"/>
      <c r="F168" s="85"/>
      <c r="G168" s="88"/>
      <c r="H168" s="88"/>
      <c r="I168" s="85" t="str">
        <f t="shared" si="1"/>
        <v/>
      </c>
    </row>
    <row r="169" ht="15.75" customHeight="1">
      <c r="A169" s="85"/>
      <c r="B169" s="85"/>
      <c r="C169" s="85"/>
      <c r="D169" s="85"/>
      <c r="E169" s="85"/>
      <c r="F169" s="85"/>
      <c r="G169" s="88"/>
      <c r="H169" s="88"/>
      <c r="I169" s="85" t="str">
        <f t="shared" si="1"/>
        <v/>
      </c>
    </row>
    <row r="170" ht="15.75" customHeight="1">
      <c r="A170" s="85"/>
      <c r="B170" s="85"/>
      <c r="C170" s="85"/>
      <c r="D170" s="85"/>
      <c r="E170" s="85"/>
      <c r="F170" s="85"/>
      <c r="G170" s="88"/>
      <c r="H170" s="88"/>
      <c r="I170" s="85" t="str">
        <f t="shared" si="1"/>
        <v/>
      </c>
    </row>
    <row r="171" ht="15.75" customHeight="1">
      <c r="A171" s="85"/>
      <c r="B171" s="85"/>
      <c r="C171" s="85"/>
      <c r="D171" s="85"/>
      <c r="E171" s="85"/>
      <c r="F171" s="85"/>
      <c r="G171" s="88"/>
      <c r="H171" s="88"/>
      <c r="I171" s="85" t="str">
        <f t="shared" si="1"/>
        <v/>
      </c>
    </row>
    <row r="172" ht="15.75" customHeight="1">
      <c r="A172" s="85"/>
      <c r="B172" s="85"/>
      <c r="C172" s="85"/>
      <c r="D172" s="85"/>
      <c r="E172" s="85"/>
      <c r="F172" s="85"/>
      <c r="G172" s="88"/>
      <c r="H172" s="88"/>
      <c r="I172" s="85" t="str">
        <f t="shared" si="1"/>
        <v/>
      </c>
    </row>
    <row r="173" ht="15.75" customHeight="1">
      <c r="A173" s="85"/>
      <c r="B173" s="85"/>
      <c r="C173" s="85"/>
      <c r="D173" s="85"/>
      <c r="E173" s="85"/>
      <c r="F173" s="85"/>
      <c r="G173" s="88"/>
      <c r="H173" s="88"/>
      <c r="I173" s="85" t="str">
        <f t="shared" si="1"/>
        <v/>
      </c>
    </row>
    <row r="174" ht="15.75" customHeight="1">
      <c r="A174" s="85"/>
      <c r="B174" s="85"/>
      <c r="C174" s="85"/>
      <c r="D174" s="85"/>
      <c r="E174" s="85"/>
      <c r="F174" s="85"/>
      <c r="G174" s="88"/>
      <c r="H174" s="88"/>
      <c r="I174" s="85" t="str">
        <f t="shared" si="1"/>
        <v/>
      </c>
    </row>
    <row r="175" ht="15.75" customHeight="1">
      <c r="A175" s="85"/>
      <c r="B175" s="85"/>
      <c r="C175" s="85"/>
      <c r="D175" s="85"/>
      <c r="E175" s="85"/>
      <c r="F175" s="85"/>
      <c r="G175" s="88"/>
      <c r="H175" s="88"/>
      <c r="I175" s="85" t="str">
        <f t="shared" si="1"/>
        <v/>
      </c>
    </row>
    <row r="176" ht="15.75" customHeight="1">
      <c r="A176" s="85"/>
      <c r="B176" s="85"/>
      <c r="C176" s="85"/>
      <c r="D176" s="85"/>
      <c r="E176" s="85"/>
      <c r="F176" s="85"/>
      <c r="G176" s="88"/>
      <c r="H176" s="88"/>
      <c r="I176" s="85" t="str">
        <f t="shared" si="1"/>
        <v/>
      </c>
    </row>
    <row r="177" ht="15.75" customHeight="1">
      <c r="A177" s="85"/>
      <c r="B177" s="85"/>
      <c r="C177" s="85"/>
      <c r="D177" s="85"/>
      <c r="E177" s="85"/>
      <c r="F177" s="85"/>
      <c r="G177" s="88"/>
      <c r="H177" s="88"/>
      <c r="I177" s="85" t="str">
        <f t="shared" si="1"/>
        <v/>
      </c>
    </row>
    <row r="178" ht="15.75" customHeight="1">
      <c r="A178" s="85"/>
      <c r="B178" s="85"/>
      <c r="C178" s="85"/>
      <c r="D178" s="85"/>
      <c r="E178" s="85"/>
      <c r="F178" s="85"/>
      <c r="G178" s="88"/>
      <c r="H178" s="88"/>
      <c r="I178" s="85" t="str">
        <f t="shared" si="1"/>
        <v/>
      </c>
    </row>
    <row r="179" ht="15.75" customHeight="1">
      <c r="A179" s="85"/>
      <c r="B179" s="85"/>
      <c r="C179" s="85"/>
      <c r="D179" s="85"/>
      <c r="E179" s="85"/>
      <c r="F179" s="85"/>
      <c r="G179" s="88"/>
      <c r="H179" s="88"/>
      <c r="I179" s="85" t="str">
        <f t="shared" si="1"/>
        <v/>
      </c>
    </row>
    <row r="180" ht="15.75" customHeight="1">
      <c r="A180" s="85"/>
      <c r="B180" s="85"/>
      <c r="C180" s="85"/>
      <c r="D180" s="85"/>
      <c r="E180" s="85"/>
      <c r="F180" s="85"/>
      <c r="G180" s="88"/>
      <c r="H180" s="88"/>
      <c r="I180" s="85" t="str">
        <f t="shared" si="1"/>
        <v/>
      </c>
    </row>
    <row r="181" ht="15.75" customHeight="1">
      <c r="A181" s="85"/>
      <c r="B181" s="85"/>
      <c r="C181" s="85"/>
      <c r="D181" s="85"/>
      <c r="E181" s="85"/>
      <c r="F181" s="85"/>
      <c r="G181" s="88"/>
      <c r="H181" s="88"/>
      <c r="I181" s="85" t="str">
        <f t="shared" si="1"/>
        <v/>
      </c>
    </row>
    <row r="182" ht="15.75" customHeight="1">
      <c r="A182" s="85"/>
      <c r="B182" s="85"/>
      <c r="C182" s="85"/>
      <c r="D182" s="85"/>
      <c r="E182" s="85"/>
      <c r="F182" s="85"/>
      <c r="G182" s="88"/>
      <c r="H182" s="88"/>
      <c r="I182" s="85" t="str">
        <f t="shared" si="1"/>
        <v/>
      </c>
    </row>
    <row r="183" ht="15.75" customHeight="1">
      <c r="A183" s="85"/>
      <c r="B183" s="85"/>
      <c r="C183" s="85"/>
      <c r="D183" s="85"/>
      <c r="E183" s="85"/>
      <c r="F183" s="85"/>
      <c r="G183" s="88"/>
      <c r="H183" s="88"/>
      <c r="I183" s="85" t="str">
        <f t="shared" si="1"/>
        <v/>
      </c>
    </row>
    <row r="184" ht="15.75" customHeight="1">
      <c r="A184" s="85"/>
      <c r="B184" s="85"/>
      <c r="C184" s="85"/>
      <c r="D184" s="85"/>
      <c r="E184" s="85"/>
      <c r="F184" s="85"/>
      <c r="G184" s="88"/>
      <c r="H184" s="88"/>
      <c r="I184" s="85" t="str">
        <f t="shared" si="1"/>
        <v/>
      </c>
    </row>
    <row r="185" ht="15.75" customHeight="1">
      <c r="A185" s="85"/>
      <c r="B185" s="85"/>
      <c r="C185" s="85"/>
      <c r="D185" s="85"/>
      <c r="E185" s="85"/>
      <c r="F185" s="85"/>
      <c r="G185" s="88"/>
      <c r="H185" s="88"/>
      <c r="I185" s="85" t="str">
        <f t="shared" si="1"/>
        <v/>
      </c>
    </row>
    <row r="186" ht="15.75" customHeight="1">
      <c r="A186" s="85"/>
      <c r="B186" s="85"/>
      <c r="C186" s="85"/>
      <c r="D186" s="85"/>
      <c r="E186" s="85"/>
      <c r="F186" s="85"/>
      <c r="G186" s="88"/>
      <c r="H186" s="88"/>
      <c r="I186" s="85" t="str">
        <f t="shared" si="1"/>
        <v/>
      </c>
    </row>
    <row r="187" ht="15.75" customHeight="1">
      <c r="A187" s="85"/>
      <c r="B187" s="85"/>
      <c r="C187" s="85"/>
      <c r="D187" s="85"/>
      <c r="E187" s="85"/>
      <c r="F187" s="85"/>
      <c r="G187" s="88"/>
      <c r="H187" s="88"/>
      <c r="I187" s="85" t="str">
        <f t="shared" si="1"/>
        <v/>
      </c>
    </row>
    <row r="188" ht="15.75" customHeight="1">
      <c r="A188" s="85"/>
      <c r="B188" s="85"/>
      <c r="C188" s="85"/>
      <c r="D188" s="85"/>
      <c r="E188" s="85"/>
      <c r="F188" s="85"/>
      <c r="G188" s="88"/>
      <c r="H188" s="88"/>
      <c r="I188" s="85" t="str">
        <f t="shared" si="1"/>
        <v/>
      </c>
    </row>
    <row r="189" ht="15.75" customHeight="1">
      <c r="A189" s="85"/>
      <c r="B189" s="85"/>
      <c r="C189" s="85"/>
      <c r="D189" s="85"/>
      <c r="E189" s="85"/>
      <c r="F189" s="85"/>
      <c r="G189" s="88"/>
      <c r="H189" s="88"/>
      <c r="I189" s="85" t="str">
        <f t="shared" si="1"/>
        <v/>
      </c>
    </row>
    <row r="190" ht="15.75" customHeight="1">
      <c r="A190" s="85"/>
      <c r="B190" s="85"/>
      <c r="C190" s="85"/>
      <c r="D190" s="85"/>
      <c r="E190" s="85"/>
      <c r="F190" s="85"/>
      <c r="G190" s="88"/>
      <c r="H190" s="88"/>
      <c r="I190" s="85" t="str">
        <f t="shared" si="1"/>
        <v/>
      </c>
    </row>
    <row r="191" ht="15.75" customHeight="1">
      <c r="A191" s="85"/>
      <c r="B191" s="85"/>
      <c r="C191" s="85"/>
      <c r="D191" s="85"/>
      <c r="E191" s="85"/>
      <c r="F191" s="85"/>
      <c r="G191" s="88"/>
      <c r="H191" s="88"/>
      <c r="I191" s="85" t="str">
        <f t="shared" si="1"/>
        <v/>
      </c>
    </row>
    <row r="192" ht="15.75" customHeight="1">
      <c r="A192" s="85"/>
      <c r="B192" s="85"/>
      <c r="C192" s="85"/>
      <c r="D192" s="85"/>
      <c r="E192" s="85"/>
      <c r="F192" s="85"/>
      <c r="G192" s="88"/>
      <c r="H192" s="88"/>
      <c r="I192" s="85" t="str">
        <f t="shared" si="1"/>
        <v/>
      </c>
    </row>
    <row r="193" ht="15.75" customHeight="1">
      <c r="A193" s="85"/>
      <c r="B193" s="85"/>
      <c r="C193" s="85"/>
      <c r="D193" s="85"/>
      <c r="E193" s="85"/>
      <c r="F193" s="85"/>
      <c r="G193" s="88"/>
      <c r="H193" s="88"/>
      <c r="I193" s="85" t="str">
        <f t="shared" si="1"/>
        <v/>
      </c>
    </row>
    <row r="194" ht="15.75" customHeight="1">
      <c r="A194" s="85"/>
      <c r="B194" s="85"/>
      <c r="C194" s="85"/>
      <c r="D194" s="85"/>
      <c r="E194" s="85"/>
      <c r="F194" s="85"/>
      <c r="G194" s="88"/>
      <c r="H194" s="88"/>
      <c r="I194" s="85" t="str">
        <f t="shared" si="1"/>
        <v/>
      </c>
    </row>
    <row r="195" ht="15.75" customHeight="1">
      <c r="A195" s="85"/>
      <c r="B195" s="85"/>
      <c r="C195" s="85"/>
      <c r="D195" s="85"/>
      <c r="E195" s="85"/>
      <c r="F195" s="85"/>
      <c r="G195" s="88"/>
      <c r="H195" s="88"/>
      <c r="I195" s="85" t="str">
        <f t="shared" si="1"/>
        <v/>
      </c>
    </row>
    <row r="196" ht="15.75" customHeight="1">
      <c r="A196" s="85"/>
      <c r="B196" s="85"/>
      <c r="C196" s="85"/>
      <c r="D196" s="85"/>
      <c r="E196" s="85"/>
      <c r="F196" s="85"/>
      <c r="G196" s="88"/>
      <c r="H196" s="88"/>
      <c r="I196" s="85" t="str">
        <f t="shared" si="1"/>
        <v/>
      </c>
    </row>
    <row r="197" ht="15.75" customHeight="1">
      <c r="A197" s="85"/>
      <c r="B197" s="85"/>
      <c r="C197" s="85"/>
      <c r="D197" s="85"/>
      <c r="E197" s="85"/>
      <c r="F197" s="85"/>
      <c r="G197" s="88"/>
      <c r="H197" s="88"/>
      <c r="I197" s="85" t="str">
        <f t="shared" si="1"/>
        <v/>
      </c>
    </row>
    <row r="198" ht="15.75" customHeight="1">
      <c r="A198" s="85"/>
      <c r="B198" s="85"/>
      <c r="C198" s="85"/>
      <c r="D198" s="85"/>
      <c r="E198" s="85"/>
      <c r="F198" s="85"/>
      <c r="G198" s="88"/>
      <c r="H198" s="88"/>
      <c r="I198" s="85" t="str">
        <f t="shared" si="1"/>
        <v/>
      </c>
    </row>
    <row r="199" ht="15.75" customHeight="1">
      <c r="A199" s="85"/>
      <c r="B199" s="85"/>
      <c r="C199" s="85"/>
      <c r="D199" s="85"/>
      <c r="E199" s="85"/>
      <c r="F199" s="85"/>
      <c r="G199" s="88"/>
      <c r="H199" s="88"/>
      <c r="I199" s="85" t="str">
        <f t="shared" si="1"/>
        <v/>
      </c>
    </row>
    <row r="200" ht="15.75" customHeight="1">
      <c r="A200" s="85"/>
      <c r="B200" s="85"/>
      <c r="C200" s="85"/>
      <c r="D200" s="85"/>
      <c r="E200" s="85"/>
      <c r="F200" s="85"/>
      <c r="G200" s="88"/>
      <c r="H200" s="88"/>
      <c r="I200" s="85" t="str">
        <f t="shared" si="1"/>
        <v/>
      </c>
    </row>
    <row r="201" ht="15.75" customHeight="1">
      <c r="A201" s="85"/>
      <c r="B201" s="85"/>
      <c r="C201" s="85"/>
      <c r="D201" s="85"/>
      <c r="E201" s="85"/>
      <c r="F201" s="85"/>
      <c r="G201" s="88"/>
      <c r="H201" s="88"/>
      <c r="I201" s="85" t="str">
        <f t="shared" si="1"/>
        <v/>
      </c>
    </row>
    <row r="202" ht="15.75" customHeight="1">
      <c r="A202" s="85"/>
      <c r="B202" s="85"/>
      <c r="C202" s="85"/>
      <c r="D202" s="85"/>
      <c r="E202" s="85"/>
      <c r="F202" s="85"/>
      <c r="G202" s="88"/>
      <c r="H202" s="88"/>
      <c r="I202" s="85" t="str">
        <f t="shared" si="1"/>
        <v/>
      </c>
    </row>
    <row r="203" ht="15.75" customHeight="1">
      <c r="A203" s="85"/>
      <c r="B203" s="85"/>
      <c r="C203" s="85"/>
      <c r="D203" s="85"/>
      <c r="E203" s="85"/>
      <c r="F203" s="85"/>
      <c r="G203" s="88"/>
      <c r="H203" s="88"/>
      <c r="I203" s="85" t="str">
        <f t="shared" si="1"/>
        <v/>
      </c>
    </row>
    <row r="204" ht="15.75" customHeight="1">
      <c r="A204" s="85"/>
      <c r="B204" s="85"/>
      <c r="C204" s="85"/>
      <c r="D204" s="85"/>
      <c r="E204" s="85"/>
      <c r="F204" s="85"/>
      <c r="G204" s="88"/>
      <c r="H204" s="88"/>
      <c r="I204" s="85" t="str">
        <f t="shared" si="1"/>
        <v/>
      </c>
    </row>
    <row r="205" ht="15.75" customHeight="1">
      <c r="A205" s="85"/>
      <c r="B205" s="85"/>
      <c r="C205" s="85"/>
      <c r="D205" s="85"/>
      <c r="E205" s="85"/>
      <c r="F205" s="85"/>
      <c r="G205" s="88"/>
      <c r="H205" s="88"/>
      <c r="I205" s="85" t="str">
        <f t="shared" si="1"/>
        <v/>
      </c>
    </row>
    <row r="206" ht="15.75" customHeight="1">
      <c r="A206" s="85"/>
      <c r="B206" s="85"/>
      <c r="C206" s="85"/>
      <c r="D206" s="85"/>
      <c r="E206" s="85"/>
      <c r="F206" s="85"/>
      <c r="G206" s="88"/>
      <c r="H206" s="88"/>
      <c r="I206" s="85" t="str">
        <f t="shared" si="1"/>
        <v/>
      </c>
    </row>
    <row r="207" ht="15.75" customHeight="1">
      <c r="A207" s="85"/>
      <c r="B207" s="85"/>
      <c r="C207" s="85"/>
      <c r="D207" s="85"/>
      <c r="E207" s="85"/>
      <c r="F207" s="85"/>
      <c r="G207" s="88"/>
      <c r="H207" s="88"/>
      <c r="I207" s="85" t="str">
        <f t="shared" si="1"/>
        <v/>
      </c>
    </row>
    <row r="208" ht="15.75" customHeight="1">
      <c r="A208" s="85"/>
      <c r="B208" s="85"/>
      <c r="C208" s="85"/>
      <c r="D208" s="85"/>
      <c r="E208" s="85"/>
      <c r="F208" s="85"/>
      <c r="G208" s="88"/>
      <c r="H208" s="88"/>
      <c r="I208" s="85" t="str">
        <f t="shared" si="1"/>
        <v/>
      </c>
    </row>
    <row r="209" ht="15.75" customHeight="1">
      <c r="A209" s="85"/>
      <c r="B209" s="85"/>
      <c r="C209" s="85"/>
      <c r="D209" s="85"/>
      <c r="E209" s="85"/>
      <c r="F209" s="85"/>
      <c r="G209" s="88"/>
      <c r="H209" s="88"/>
      <c r="I209" s="85" t="str">
        <f t="shared" si="1"/>
        <v/>
      </c>
    </row>
    <row r="210" ht="15.75" customHeight="1">
      <c r="A210" s="85"/>
      <c r="B210" s="85"/>
      <c r="C210" s="85"/>
      <c r="D210" s="85"/>
      <c r="E210" s="85"/>
      <c r="F210" s="85"/>
      <c r="G210" s="88"/>
      <c r="H210" s="88"/>
      <c r="I210" s="85" t="str">
        <f t="shared" si="1"/>
        <v/>
      </c>
    </row>
    <row r="211" ht="15.75" customHeight="1">
      <c r="A211" s="85"/>
      <c r="B211" s="85"/>
      <c r="C211" s="85"/>
      <c r="D211" s="85"/>
      <c r="E211" s="85"/>
      <c r="F211" s="85"/>
      <c r="G211" s="88"/>
      <c r="H211" s="88"/>
      <c r="I211" s="85" t="str">
        <f t="shared" si="1"/>
        <v/>
      </c>
    </row>
    <row r="212" ht="15.75" customHeight="1">
      <c r="A212" s="85"/>
      <c r="B212" s="85"/>
      <c r="C212" s="85"/>
      <c r="D212" s="85"/>
      <c r="E212" s="85"/>
      <c r="F212" s="85"/>
      <c r="G212" s="88"/>
      <c r="H212" s="88"/>
      <c r="I212" s="85" t="str">
        <f t="shared" si="1"/>
        <v/>
      </c>
    </row>
    <row r="213" ht="15.75" customHeight="1">
      <c r="A213" s="85"/>
      <c r="B213" s="85"/>
      <c r="C213" s="85"/>
      <c r="D213" s="85"/>
      <c r="E213" s="85"/>
      <c r="F213" s="85"/>
      <c r="G213" s="88"/>
      <c r="H213" s="88"/>
      <c r="I213" s="85" t="str">
        <f t="shared" si="1"/>
        <v/>
      </c>
    </row>
    <row r="214" ht="15.75" customHeight="1">
      <c r="A214" s="85"/>
      <c r="B214" s="85"/>
      <c r="C214" s="85"/>
      <c r="D214" s="85"/>
      <c r="E214" s="85"/>
      <c r="F214" s="85"/>
      <c r="G214" s="88"/>
      <c r="H214" s="88"/>
      <c r="I214" s="85" t="str">
        <f t="shared" si="1"/>
        <v/>
      </c>
    </row>
    <row r="215" ht="15.75" customHeight="1">
      <c r="A215" s="85"/>
      <c r="B215" s="85"/>
      <c r="C215" s="85"/>
      <c r="D215" s="85"/>
      <c r="E215" s="85"/>
      <c r="F215" s="85"/>
      <c r="G215" s="88"/>
      <c r="H215" s="88"/>
      <c r="I215" s="85" t="str">
        <f t="shared" si="1"/>
        <v/>
      </c>
    </row>
    <row r="216" ht="15.75" customHeight="1">
      <c r="A216" s="85"/>
      <c r="B216" s="85"/>
      <c r="C216" s="85"/>
      <c r="D216" s="85"/>
      <c r="E216" s="85"/>
      <c r="F216" s="85"/>
      <c r="G216" s="88"/>
      <c r="H216" s="88"/>
      <c r="I216" s="85" t="str">
        <f t="shared" si="1"/>
        <v/>
      </c>
    </row>
    <row r="217" ht="15.75" customHeight="1">
      <c r="A217" s="85"/>
      <c r="B217" s="85"/>
      <c r="C217" s="85"/>
      <c r="D217" s="85"/>
      <c r="E217" s="85"/>
      <c r="F217" s="85"/>
      <c r="G217" s="88"/>
      <c r="H217" s="88"/>
      <c r="I217" s="85" t="str">
        <f t="shared" si="1"/>
        <v/>
      </c>
    </row>
    <row r="218" ht="15.75" customHeight="1">
      <c r="A218" s="85"/>
      <c r="B218" s="85"/>
      <c r="C218" s="85"/>
      <c r="D218" s="85"/>
      <c r="E218" s="85"/>
      <c r="F218" s="85"/>
      <c r="G218" s="88"/>
      <c r="H218" s="88"/>
      <c r="I218" s="85" t="str">
        <f t="shared" si="1"/>
        <v/>
      </c>
    </row>
    <row r="219" ht="15.75" customHeight="1">
      <c r="A219" s="85"/>
      <c r="B219" s="85"/>
      <c r="C219" s="85"/>
      <c r="D219" s="85"/>
      <c r="E219" s="85"/>
      <c r="F219" s="85"/>
      <c r="G219" s="88"/>
      <c r="H219" s="88"/>
      <c r="I219" s="85" t="str">
        <f t="shared" si="1"/>
        <v/>
      </c>
    </row>
    <row r="220" ht="15.75" customHeight="1">
      <c r="A220" s="85"/>
      <c r="B220" s="85"/>
      <c r="C220" s="85"/>
      <c r="D220" s="85"/>
      <c r="E220" s="85"/>
      <c r="F220" s="85"/>
      <c r="G220" s="88"/>
      <c r="H220" s="88"/>
      <c r="I220" s="85" t="str">
        <f t="shared" si="1"/>
        <v/>
      </c>
    </row>
    <row r="221" ht="15.75" customHeight="1">
      <c r="A221" s="85"/>
      <c r="B221" s="85"/>
      <c r="C221" s="85"/>
      <c r="D221" s="85"/>
      <c r="E221" s="85"/>
      <c r="F221" s="85"/>
      <c r="G221" s="88"/>
      <c r="H221" s="88"/>
      <c r="I221" s="85" t="str">
        <f t="shared" si="1"/>
        <v/>
      </c>
    </row>
    <row r="222" ht="15.75" customHeight="1">
      <c r="A222" s="85"/>
      <c r="B222" s="85"/>
      <c r="C222" s="85"/>
      <c r="D222" s="85"/>
      <c r="E222" s="85"/>
      <c r="F222" s="85"/>
      <c r="G222" s="88"/>
      <c r="H222" s="88"/>
      <c r="I222" s="85" t="str">
        <f t="shared" si="1"/>
        <v/>
      </c>
    </row>
    <row r="223" ht="15.75" customHeight="1">
      <c r="A223" s="85"/>
      <c r="B223" s="85"/>
      <c r="C223" s="85"/>
      <c r="D223" s="85"/>
      <c r="E223" s="85"/>
      <c r="F223" s="85"/>
      <c r="G223" s="88"/>
      <c r="H223" s="88"/>
      <c r="I223" s="85" t="str">
        <f t="shared" si="1"/>
        <v/>
      </c>
    </row>
    <row r="224" ht="15.75" customHeight="1">
      <c r="A224" s="85"/>
      <c r="B224" s="85"/>
      <c r="C224" s="85"/>
      <c r="D224" s="85"/>
      <c r="E224" s="85"/>
      <c r="F224" s="85"/>
      <c r="G224" s="88"/>
      <c r="H224" s="88"/>
      <c r="I224" s="85" t="str">
        <f t="shared" si="1"/>
        <v/>
      </c>
    </row>
    <row r="225" ht="15.75" customHeight="1">
      <c r="A225" s="85"/>
      <c r="B225" s="85"/>
      <c r="C225" s="85"/>
      <c r="D225" s="85"/>
      <c r="E225" s="85"/>
      <c r="F225" s="85"/>
      <c r="G225" s="88"/>
      <c r="H225" s="88"/>
      <c r="I225" s="85" t="str">
        <f t="shared" si="1"/>
        <v/>
      </c>
    </row>
    <row r="226" ht="15.75" customHeight="1">
      <c r="A226" s="85"/>
      <c r="B226" s="85"/>
      <c r="C226" s="85"/>
      <c r="D226" s="85"/>
      <c r="E226" s="85"/>
      <c r="F226" s="85"/>
      <c r="G226" s="88"/>
      <c r="H226" s="88"/>
      <c r="I226" s="85" t="str">
        <f t="shared" si="1"/>
        <v/>
      </c>
    </row>
    <row r="227" ht="15.75" customHeight="1">
      <c r="A227" s="85"/>
      <c r="B227" s="85"/>
      <c r="C227" s="85"/>
      <c r="D227" s="85"/>
      <c r="E227" s="85"/>
      <c r="F227" s="85"/>
      <c r="G227" s="88"/>
      <c r="H227" s="88"/>
      <c r="I227" s="85" t="str">
        <f t="shared" si="1"/>
        <v/>
      </c>
    </row>
    <row r="228" ht="15.75" customHeight="1">
      <c r="A228" s="85"/>
      <c r="B228" s="85"/>
      <c r="C228" s="85"/>
      <c r="D228" s="85"/>
      <c r="E228" s="85"/>
      <c r="F228" s="85"/>
      <c r="G228" s="88"/>
      <c r="H228" s="88"/>
      <c r="I228" s="85" t="str">
        <f t="shared" si="1"/>
        <v/>
      </c>
    </row>
    <row r="229" ht="15.75" customHeight="1">
      <c r="A229" s="85"/>
      <c r="B229" s="85"/>
      <c r="C229" s="85"/>
      <c r="D229" s="85"/>
      <c r="E229" s="85"/>
      <c r="F229" s="85"/>
      <c r="G229" s="88"/>
      <c r="H229" s="88"/>
      <c r="I229" s="85" t="str">
        <f t="shared" si="1"/>
        <v/>
      </c>
    </row>
    <row r="230" ht="15.75" customHeight="1">
      <c r="A230" s="85"/>
      <c r="B230" s="85"/>
      <c r="C230" s="85"/>
      <c r="D230" s="85"/>
      <c r="E230" s="85"/>
      <c r="F230" s="85"/>
      <c r="G230" s="88"/>
      <c r="H230" s="88"/>
      <c r="I230" s="85" t="str">
        <f t="shared" si="1"/>
        <v/>
      </c>
    </row>
    <row r="231" ht="15.75" customHeight="1">
      <c r="A231" s="85"/>
      <c r="B231" s="85"/>
      <c r="C231" s="85"/>
      <c r="D231" s="85"/>
      <c r="E231" s="85"/>
      <c r="F231" s="85"/>
      <c r="G231" s="88"/>
      <c r="H231" s="88"/>
      <c r="I231" s="85" t="str">
        <f t="shared" si="1"/>
        <v/>
      </c>
    </row>
    <row r="232" ht="15.75" customHeight="1">
      <c r="A232" s="85"/>
      <c r="B232" s="85"/>
      <c r="C232" s="85"/>
      <c r="D232" s="85"/>
      <c r="E232" s="85"/>
      <c r="F232" s="85"/>
      <c r="G232" s="88"/>
      <c r="H232" s="88"/>
      <c r="I232" s="85" t="str">
        <f t="shared" si="1"/>
        <v/>
      </c>
    </row>
    <row r="233" ht="15.75" customHeight="1">
      <c r="A233" s="85"/>
      <c r="B233" s="85"/>
      <c r="C233" s="85"/>
      <c r="D233" s="85"/>
      <c r="E233" s="85"/>
      <c r="F233" s="85"/>
      <c r="G233" s="88"/>
      <c r="H233" s="88"/>
      <c r="I233" s="85" t="str">
        <f t="shared" si="1"/>
        <v/>
      </c>
    </row>
    <row r="234" ht="15.75" customHeight="1">
      <c r="A234" s="85"/>
      <c r="B234" s="85"/>
      <c r="C234" s="85"/>
      <c r="D234" s="85"/>
      <c r="E234" s="85"/>
      <c r="F234" s="85"/>
      <c r="G234" s="88"/>
      <c r="H234" s="88"/>
      <c r="I234" s="85" t="str">
        <f t="shared" si="1"/>
        <v/>
      </c>
    </row>
    <row r="235" ht="15.75" customHeight="1">
      <c r="A235" s="85"/>
      <c r="B235" s="85"/>
      <c r="C235" s="85"/>
      <c r="D235" s="85"/>
      <c r="E235" s="85"/>
      <c r="F235" s="85"/>
      <c r="G235" s="88"/>
      <c r="H235" s="88"/>
      <c r="I235" s="85" t="str">
        <f t="shared" si="1"/>
        <v/>
      </c>
    </row>
    <row r="236" ht="15.75" customHeight="1">
      <c r="A236" s="85"/>
      <c r="B236" s="85"/>
      <c r="C236" s="85"/>
      <c r="D236" s="85"/>
      <c r="E236" s="85"/>
      <c r="F236" s="85"/>
      <c r="G236" s="88"/>
      <c r="H236" s="88"/>
      <c r="I236" s="85" t="str">
        <f t="shared" si="1"/>
        <v/>
      </c>
    </row>
    <row r="237" ht="15.75" customHeight="1">
      <c r="A237" s="85"/>
      <c r="B237" s="85"/>
      <c r="C237" s="85"/>
      <c r="D237" s="85"/>
      <c r="E237" s="85"/>
      <c r="F237" s="85"/>
      <c r="G237" s="88"/>
      <c r="H237" s="88"/>
      <c r="I237" s="85" t="str">
        <f t="shared" si="1"/>
        <v/>
      </c>
    </row>
    <row r="238" ht="15.75" customHeight="1">
      <c r="A238" s="85"/>
      <c r="B238" s="85"/>
      <c r="C238" s="85"/>
      <c r="D238" s="85"/>
      <c r="E238" s="85"/>
      <c r="F238" s="85"/>
      <c r="G238" s="88"/>
      <c r="H238" s="88"/>
      <c r="I238" s="85" t="str">
        <f t="shared" si="1"/>
        <v/>
      </c>
    </row>
    <row r="239" ht="15.75" customHeight="1">
      <c r="A239" s="85"/>
      <c r="B239" s="85"/>
      <c r="C239" s="85"/>
      <c r="D239" s="85"/>
      <c r="E239" s="85"/>
      <c r="F239" s="85"/>
      <c r="G239" s="88"/>
      <c r="H239" s="88"/>
      <c r="I239" s="85" t="str">
        <f t="shared" si="1"/>
        <v/>
      </c>
    </row>
    <row r="240" ht="15.75" customHeight="1">
      <c r="A240" s="85"/>
      <c r="B240" s="85"/>
      <c r="C240" s="85"/>
      <c r="D240" s="85"/>
      <c r="E240" s="85"/>
      <c r="F240" s="85"/>
      <c r="G240" s="88"/>
      <c r="H240" s="88"/>
      <c r="I240" s="85" t="str">
        <f t="shared" si="1"/>
        <v/>
      </c>
    </row>
    <row r="241" ht="15.75" customHeight="1">
      <c r="A241" s="85"/>
      <c r="B241" s="85"/>
      <c r="C241" s="85"/>
      <c r="D241" s="85"/>
      <c r="E241" s="85"/>
      <c r="F241" s="85"/>
      <c r="G241" s="88"/>
      <c r="H241" s="88"/>
      <c r="I241" s="85" t="str">
        <f t="shared" si="1"/>
        <v/>
      </c>
    </row>
    <row r="242" ht="15.75" customHeight="1">
      <c r="A242" s="85"/>
      <c r="B242" s="85"/>
      <c r="C242" s="85"/>
      <c r="D242" s="85"/>
      <c r="E242" s="85"/>
      <c r="F242" s="85"/>
      <c r="G242" s="88"/>
      <c r="H242" s="88"/>
      <c r="I242" s="85" t="str">
        <f t="shared" si="1"/>
        <v/>
      </c>
    </row>
    <row r="243" ht="15.75" customHeight="1">
      <c r="A243" s="85"/>
      <c r="B243" s="85"/>
      <c r="C243" s="85"/>
      <c r="D243" s="85"/>
      <c r="E243" s="85"/>
      <c r="F243" s="85"/>
      <c r="G243" s="88"/>
      <c r="H243" s="88"/>
      <c r="I243" s="85" t="str">
        <f t="shared" si="1"/>
        <v/>
      </c>
    </row>
    <row r="244" ht="15.75" customHeight="1">
      <c r="A244" s="85"/>
      <c r="B244" s="85"/>
      <c r="C244" s="85"/>
      <c r="D244" s="85"/>
      <c r="E244" s="85"/>
      <c r="F244" s="85"/>
      <c r="G244" s="88"/>
      <c r="H244" s="88"/>
      <c r="I244" s="85" t="str">
        <f t="shared" si="1"/>
        <v/>
      </c>
    </row>
    <row r="245" ht="15.75" customHeight="1">
      <c r="A245" s="85"/>
      <c r="B245" s="85"/>
      <c r="C245" s="85"/>
      <c r="D245" s="85"/>
      <c r="E245" s="85"/>
      <c r="F245" s="85"/>
      <c r="G245" s="88"/>
      <c r="H245" s="88"/>
      <c r="I245" s="85" t="str">
        <f t="shared" si="1"/>
        <v/>
      </c>
    </row>
    <row r="246" ht="15.75" customHeight="1">
      <c r="A246" s="85"/>
      <c r="B246" s="85"/>
      <c r="C246" s="85"/>
      <c r="D246" s="85"/>
      <c r="E246" s="85"/>
      <c r="F246" s="85"/>
      <c r="G246" s="88"/>
      <c r="H246" s="88"/>
      <c r="I246" s="85" t="str">
        <f t="shared" si="1"/>
        <v/>
      </c>
    </row>
    <row r="247" ht="15.75" customHeight="1">
      <c r="A247" s="85"/>
      <c r="B247" s="85"/>
      <c r="C247" s="85"/>
      <c r="D247" s="85"/>
      <c r="E247" s="85"/>
      <c r="F247" s="85"/>
      <c r="G247" s="88"/>
      <c r="H247" s="88"/>
      <c r="I247" s="85" t="str">
        <f t="shared" si="1"/>
        <v/>
      </c>
    </row>
    <row r="248" ht="15.75" customHeight="1">
      <c r="A248" s="85"/>
      <c r="B248" s="85"/>
      <c r="C248" s="85"/>
      <c r="D248" s="85"/>
      <c r="E248" s="85"/>
      <c r="F248" s="85"/>
      <c r="G248" s="88"/>
      <c r="H248" s="88"/>
      <c r="I248" s="85" t="str">
        <f t="shared" si="1"/>
        <v/>
      </c>
    </row>
    <row r="249" ht="15.75" customHeight="1">
      <c r="A249" s="85"/>
      <c r="B249" s="85"/>
      <c r="C249" s="85"/>
      <c r="D249" s="85"/>
      <c r="E249" s="85"/>
      <c r="F249" s="85"/>
      <c r="G249" s="88"/>
      <c r="H249" s="88"/>
      <c r="I249" s="85" t="str">
        <f t="shared" si="1"/>
        <v/>
      </c>
    </row>
    <row r="250" ht="15.75" customHeight="1">
      <c r="A250" s="85"/>
      <c r="B250" s="85"/>
      <c r="C250" s="85"/>
      <c r="D250" s="85"/>
      <c r="E250" s="85"/>
      <c r="F250" s="85"/>
      <c r="G250" s="88"/>
      <c r="H250" s="88"/>
      <c r="I250" s="85" t="str">
        <f t="shared" si="1"/>
        <v/>
      </c>
    </row>
    <row r="251" ht="15.75" customHeight="1">
      <c r="A251" s="85"/>
      <c r="B251" s="85"/>
      <c r="C251" s="85"/>
      <c r="D251" s="85"/>
      <c r="E251" s="85"/>
      <c r="F251" s="85"/>
      <c r="G251" s="88"/>
      <c r="H251" s="88"/>
      <c r="I251" s="85" t="str">
        <f t="shared" si="1"/>
        <v/>
      </c>
    </row>
    <row r="252" ht="15.75" customHeight="1">
      <c r="A252" s="85"/>
      <c r="B252" s="85"/>
      <c r="C252" s="85"/>
      <c r="D252" s="85"/>
      <c r="E252" s="85"/>
      <c r="F252" s="85"/>
      <c r="G252" s="88"/>
      <c r="H252" s="88"/>
      <c r="I252" s="85" t="str">
        <f t="shared" si="1"/>
        <v/>
      </c>
    </row>
    <row r="253" ht="15.75" customHeight="1">
      <c r="A253" s="85"/>
      <c r="B253" s="85"/>
      <c r="C253" s="85"/>
      <c r="D253" s="85"/>
      <c r="E253" s="85"/>
      <c r="F253" s="85"/>
      <c r="G253" s="88"/>
      <c r="H253" s="88"/>
      <c r="I253" s="85" t="str">
        <f t="shared" si="1"/>
        <v/>
      </c>
    </row>
    <row r="254" ht="15.75" customHeight="1">
      <c r="A254" s="85"/>
      <c r="B254" s="85"/>
      <c r="C254" s="85"/>
      <c r="D254" s="85"/>
      <c r="E254" s="85"/>
      <c r="F254" s="85"/>
      <c r="G254" s="88"/>
      <c r="H254" s="88"/>
      <c r="I254" s="85" t="str">
        <f t="shared" si="1"/>
        <v/>
      </c>
    </row>
    <row r="255" ht="15.75" customHeight="1">
      <c r="A255" s="85"/>
      <c r="B255" s="85"/>
      <c r="C255" s="85"/>
      <c r="D255" s="85"/>
      <c r="E255" s="85"/>
      <c r="F255" s="85"/>
      <c r="G255" s="88"/>
      <c r="H255" s="88"/>
      <c r="I255" s="85" t="str">
        <f t="shared" si="1"/>
        <v/>
      </c>
    </row>
    <row r="256" ht="15.75" customHeight="1">
      <c r="A256" s="85"/>
      <c r="B256" s="85"/>
      <c r="C256" s="85"/>
      <c r="D256" s="85"/>
      <c r="E256" s="85"/>
      <c r="F256" s="85"/>
      <c r="G256" s="88"/>
      <c r="H256" s="88"/>
      <c r="I256" s="85" t="str">
        <f t="shared" si="1"/>
        <v/>
      </c>
    </row>
    <row r="257" ht="15.75" customHeight="1">
      <c r="A257" s="85"/>
      <c r="B257" s="85"/>
      <c r="C257" s="85"/>
      <c r="D257" s="85"/>
      <c r="E257" s="85"/>
      <c r="F257" s="85"/>
      <c r="G257" s="88"/>
      <c r="H257" s="88"/>
      <c r="I257" s="85" t="str">
        <f t="shared" si="1"/>
        <v/>
      </c>
    </row>
    <row r="258" ht="15.75" customHeight="1">
      <c r="A258" s="85"/>
      <c r="B258" s="85"/>
      <c r="C258" s="85"/>
      <c r="D258" s="85"/>
      <c r="E258" s="85"/>
      <c r="F258" s="85"/>
      <c r="G258" s="88"/>
      <c r="H258" s="88"/>
      <c r="I258" s="85" t="str">
        <f t="shared" si="1"/>
        <v/>
      </c>
    </row>
    <row r="259" ht="15.75" customHeight="1">
      <c r="A259" s="85"/>
      <c r="B259" s="85"/>
      <c r="C259" s="85"/>
      <c r="D259" s="85"/>
      <c r="E259" s="85"/>
      <c r="F259" s="85"/>
      <c r="G259" s="88"/>
      <c r="H259" s="88"/>
      <c r="I259" s="85" t="str">
        <f t="shared" si="1"/>
        <v/>
      </c>
    </row>
    <row r="260" ht="15.75" customHeight="1">
      <c r="A260" s="85"/>
      <c r="B260" s="85"/>
      <c r="C260" s="85"/>
      <c r="D260" s="85"/>
      <c r="E260" s="85"/>
      <c r="F260" s="85"/>
      <c r="G260" s="88"/>
      <c r="H260" s="88"/>
      <c r="I260" s="85" t="str">
        <f t="shared" si="1"/>
        <v/>
      </c>
    </row>
    <row r="261" ht="15.75" customHeight="1">
      <c r="A261" s="85"/>
      <c r="B261" s="85"/>
      <c r="C261" s="85"/>
      <c r="D261" s="85"/>
      <c r="E261" s="85"/>
      <c r="F261" s="85"/>
      <c r="G261" s="88"/>
      <c r="H261" s="88"/>
      <c r="I261" s="85" t="str">
        <f t="shared" si="1"/>
        <v/>
      </c>
    </row>
    <row r="262" ht="15.75" customHeight="1">
      <c r="A262" s="85"/>
      <c r="B262" s="85"/>
      <c r="C262" s="85"/>
      <c r="D262" s="85"/>
      <c r="E262" s="85"/>
      <c r="F262" s="85"/>
      <c r="G262" s="88"/>
      <c r="H262" s="88"/>
      <c r="I262" s="85" t="str">
        <f t="shared" si="1"/>
        <v/>
      </c>
    </row>
    <row r="263" ht="15.75" customHeight="1">
      <c r="A263" s="85"/>
      <c r="B263" s="85"/>
      <c r="C263" s="85"/>
      <c r="D263" s="85"/>
      <c r="E263" s="85"/>
      <c r="F263" s="85"/>
      <c r="G263" s="88"/>
      <c r="H263" s="88"/>
      <c r="I263" s="85" t="str">
        <f t="shared" si="1"/>
        <v/>
      </c>
    </row>
    <row r="264" ht="15.75" customHeight="1">
      <c r="A264" s="85"/>
      <c r="B264" s="85"/>
      <c r="C264" s="85"/>
      <c r="D264" s="85"/>
      <c r="E264" s="85"/>
      <c r="F264" s="85"/>
      <c r="G264" s="88"/>
      <c r="H264" s="88"/>
      <c r="I264" s="85" t="str">
        <f t="shared" si="1"/>
        <v/>
      </c>
    </row>
    <row r="265" ht="15.75" customHeight="1">
      <c r="A265" s="85"/>
      <c r="B265" s="85"/>
      <c r="C265" s="85"/>
      <c r="D265" s="85"/>
      <c r="E265" s="85"/>
      <c r="F265" s="85"/>
      <c r="G265" s="88"/>
      <c r="H265" s="88"/>
      <c r="I265" s="85" t="str">
        <f t="shared" si="1"/>
        <v/>
      </c>
    </row>
    <row r="266" ht="15.75" customHeight="1">
      <c r="A266" s="85"/>
      <c r="B266" s="85"/>
      <c r="C266" s="85"/>
      <c r="D266" s="85"/>
      <c r="E266" s="85"/>
      <c r="F266" s="85"/>
      <c r="G266" s="88"/>
      <c r="H266" s="88"/>
      <c r="I266" s="85" t="str">
        <f t="shared" si="1"/>
        <v/>
      </c>
    </row>
    <row r="267" ht="15.75" customHeight="1">
      <c r="A267" s="85"/>
      <c r="B267" s="85"/>
      <c r="C267" s="85"/>
      <c r="D267" s="85"/>
      <c r="E267" s="85"/>
      <c r="F267" s="85"/>
      <c r="G267" s="88"/>
      <c r="H267" s="88"/>
      <c r="I267" s="85" t="str">
        <f t="shared" si="1"/>
        <v/>
      </c>
    </row>
    <row r="268" ht="15.75" customHeight="1">
      <c r="A268" s="85"/>
      <c r="B268" s="85"/>
      <c r="C268" s="85"/>
      <c r="D268" s="85"/>
      <c r="E268" s="85"/>
      <c r="F268" s="85"/>
      <c r="G268" s="88"/>
      <c r="H268" s="88"/>
      <c r="I268" s="85" t="str">
        <f t="shared" si="1"/>
        <v/>
      </c>
    </row>
    <row r="269" ht="15.75" customHeight="1">
      <c r="A269" s="85"/>
      <c r="B269" s="85"/>
      <c r="C269" s="85"/>
      <c r="D269" s="85"/>
      <c r="E269" s="85"/>
      <c r="F269" s="85"/>
      <c r="G269" s="88"/>
      <c r="H269" s="88"/>
      <c r="I269" s="85" t="str">
        <f t="shared" si="1"/>
        <v/>
      </c>
    </row>
    <row r="270" ht="15.75" customHeight="1">
      <c r="A270" s="85"/>
      <c r="B270" s="85"/>
      <c r="C270" s="85"/>
      <c r="D270" s="85"/>
      <c r="E270" s="85"/>
      <c r="F270" s="85"/>
      <c r="G270" s="88"/>
      <c r="H270" s="88"/>
      <c r="I270" s="85" t="str">
        <f t="shared" si="1"/>
        <v/>
      </c>
    </row>
    <row r="271" ht="15.75" customHeight="1">
      <c r="A271" s="85"/>
      <c r="B271" s="85"/>
      <c r="C271" s="85"/>
      <c r="D271" s="85"/>
      <c r="E271" s="85"/>
      <c r="F271" s="85"/>
      <c r="G271" s="88"/>
      <c r="H271" s="88"/>
      <c r="I271" s="85" t="str">
        <f t="shared" si="1"/>
        <v/>
      </c>
    </row>
    <row r="272" ht="15.75" customHeight="1">
      <c r="A272" s="85"/>
      <c r="B272" s="85"/>
      <c r="C272" s="85"/>
      <c r="D272" s="85"/>
      <c r="E272" s="85"/>
      <c r="F272" s="85"/>
      <c r="G272" s="88"/>
      <c r="H272" s="88"/>
      <c r="I272" s="85" t="str">
        <f t="shared" si="1"/>
        <v/>
      </c>
    </row>
    <row r="273" ht="15.75" customHeight="1">
      <c r="A273" s="85"/>
      <c r="B273" s="85"/>
      <c r="C273" s="85"/>
      <c r="D273" s="85"/>
      <c r="E273" s="85"/>
      <c r="F273" s="85"/>
      <c r="G273" s="88"/>
      <c r="H273" s="88"/>
      <c r="I273" s="85" t="str">
        <f t="shared" si="1"/>
        <v/>
      </c>
    </row>
    <row r="274" ht="15.75" customHeight="1">
      <c r="A274" s="85"/>
      <c r="B274" s="85"/>
      <c r="C274" s="85"/>
      <c r="D274" s="85"/>
      <c r="E274" s="85"/>
      <c r="F274" s="85"/>
      <c r="G274" s="88"/>
      <c r="H274" s="88"/>
      <c r="I274" s="85" t="str">
        <f t="shared" si="1"/>
        <v/>
      </c>
    </row>
    <row r="275" ht="15.75" customHeight="1">
      <c r="A275" s="85"/>
      <c r="B275" s="85"/>
      <c r="C275" s="85"/>
      <c r="D275" s="85"/>
      <c r="E275" s="85"/>
      <c r="F275" s="85"/>
      <c r="G275" s="88"/>
      <c r="H275" s="88"/>
      <c r="I275" s="85" t="str">
        <f t="shared" si="1"/>
        <v/>
      </c>
    </row>
    <row r="276" ht="15.75" customHeight="1">
      <c r="A276" s="85"/>
      <c r="B276" s="85"/>
      <c r="C276" s="85"/>
      <c r="D276" s="85"/>
      <c r="E276" s="85"/>
      <c r="F276" s="85"/>
      <c r="G276" s="88"/>
      <c r="H276" s="88"/>
      <c r="I276" s="85" t="str">
        <f t="shared" si="1"/>
        <v/>
      </c>
    </row>
    <row r="277" ht="15.75" customHeight="1">
      <c r="A277" s="85"/>
      <c r="B277" s="85"/>
      <c r="C277" s="85"/>
      <c r="D277" s="85"/>
      <c r="E277" s="85"/>
      <c r="F277" s="85"/>
      <c r="G277" s="88"/>
      <c r="H277" s="88"/>
      <c r="I277" s="85" t="str">
        <f t="shared" si="1"/>
        <v/>
      </c>
    </row>
    <row r="278" ht="15.75" customHeight="1">
      <c r="A278" s="85"/>
      <c r="B278" s="85"/>
      <c r="C278" s="85"/>
      <c r="D278" s="85"/>
      <c r="E278" s="85"/>
      <c r="F278" s="85"/>
      <c r="G278" s="88"/>
      <c r="H278" s="88"/>
      <c r="I278" s="85" t="str">
        <f t="shared" si="1"/>
        <v/>
      </c>
    </row>
    <row r="279" ht="15.75" customHeight="1">
      <c r="A279" s="85"/>
      <c r="B279" s="85"/>
      <c r="C279" s="85"/>
      <c r="D279" s="85"/>
      <c r="E279" s="85"/>
      <c r="F279" s="85"/>
      <c r="G279" s="88"/>
      <c r="H279" s="88"/>
      <c r="I279" s="85" t="str">
        <f t="shared" si="1"/>
        <v/>
      </c>
    </row>
    <row r="280" ht="15.75" customHeight="1">
      <c r="A280" s="85"/>
      <c r="B280" s="85"/>
      <c r="C280" s="85"/>
      <c r="D280" s="85"/>
      <c r="E280" s="85"/>
      <c r="F280" s="85"/>
      <c r="G280" s="88"/>
      <c r="H280" s="88"/>
      <c r="I280" s="85" t="str">
        <f t="shared" si="1"/>
        <v/>
      </c>
    </row>
    <row r="281" ht="15.75" customHeight="1">
      <c r="A281" s="85"/>
      <c r="B281" s="85"/>
      <c r="C281" s="85"/>
      <c r="D281" s="85"/>
      <c r="E281" s="85"/>
      <c r="F281" s="85"/>
      <c r="G281" s="88"/>
      <c r="H281" s="88"/>
      <c r="I281" s="85" t="str">
        <f t="shared" si="1"/>
        <v/>
      </c>
    </row>
    <row r="282" ht="15.75" customHeight="1">
      <c r="A282" s="85"/>
      <c r="B282" s="85"/>
      <c r="C282" s="85"/>
      <c r="D282" s="85"/>
      <c r="E282" s="85"/>
      <c r="F282" s="85"/>
      <c r="G282" s="88"/>
      <c r="H282" s="88"/>
      <c r="I282" s="85" t="str">
        <f t="shared" si="1"/>
        <v/>
      </c>
    </row>
    <row r="283" ht="15.75" customHeight="1">
      <c r="A283" s="85"/>
      <c r="B283" s="85"/>
      <c r="C283" s="85"/>
      <c r="D283" s="85"/>
      <c r="E283" s="85"/>
      <c r="F283" s="85"/>
      <c r="G283" s="88"/>
      <c r="H283" s="88"/>
      <c r="I283" s="85" t="str">
        <f t="shared" si="1"/>
        <v/>
      </c>
    </row>
    <row r="284" ht="15.75" customHeight="1">
      <c r="A284" s="85"/>
      <c r="B284" s="85"/>
      <c r="C284" s="85"/>
      <c r="D284" s="85"/>
      <c r="E284" s="85"/>
      <c r="F284" s="85"/>
      <c r="G284" s="88"/>
      <c r="H284" s="88"/>
      <c r="I284" s="85" t="str">
        <f t="shared" si="1"/>
        <v/>
      </c>
    </row>
    <row r="285" ht="15.75" customHeight="1">
      <c r="A285" s="85"/>
      <c r="B285" s="85"/>
      <c r="C285" s="85"/>
      <c r="D285" s="85"/>
      <c r="E285" s="85"/>
      <c r="F285" s="85"/>
      <c r="G285" s="88"/>
      <c r="H285" s="88"/>
      <c r="I285" s="85" t="str">
        <f t="shared" si="1"/>
        <v/>
      </c>
    </row>
    <row r="286" ht="15.75" customHeight="1">
      <c r="A286" s="85"/>
      <c r="B286" s="85"/>
      <c r="C286" s="85"/>
      <c r="D286" s="85"/>
      <c r="E286" s="85"/>
      <c r="F286" s="85"/>
      <c r="G286" s="88"/>
      <c r="H286" s="88"/>
      <c r="I286" s="85" t="str">
        <f t="shared" si="1"/>
        <v/>
      </c>
    </row>
    <row r="287" ht="15.75" customHeight="1">
      <c r="A287" s="85"/>
      <c r="B287" s="85"/>
      <c r="C287" s="85"/>
      <c r="D287" s="85"/>
      <c r="E287" s="85"/>
      <c r="F287" s="85"/>
      <c r="G287" s="88"/>
      <c r="H287" s="88"/>
      <c r="I287" s="85" t="str">
        <f t="shared" si="1"/>
        <v/>
      </c>
    </row>
    <row r="288" ht="15.75" customHeight="1">
      <c r="A288" s="85"/>
      <c r="B288" s="85"/>
      <c r="C288" s="85"/>
      <c r="D288" s="85"/>
      <c r="E288" s="85"/>
      <c r="F288" s="85"/>
      <c r="G288" s="88"/>
      <c r="H288" s="88"/>
      <c r="I288" s="85" t="str">
        <f t="shared" si="1"/>
        <v/>
      </c>
    </row>
    <row r="289" ht="15.75" customHeight="1">
      <c r="A289" s="85"/>
      <c r="B289" s="85"/>
      <c r="C289" s="85"/>
      <c r="D289" s="85"/>
      <c r="E289" s="85"/>
      <c r="F289" s="85"/>
      <c r="G289" s="88"/>
      <c r="H289" s="88"/>
      <c r="I289" s="85" t="str">
        <f t="shared" si="1"/>
        <v/>
      </c>
    </row>
    <row r="290" ht="15.75" customHeight="1">
      <c r="A290" s="85"/>
      <c r="B290" s="85"/>
      <c r="C290" s="85"/>
      <c r="D290" s="85"/>
      <c r="E290" s="85"/>
      <c r="F290" s="85"/>
      <c r="G290" s="88"/>
      <c r="H290" s="88"/>
      <c r="I290" s="85" t="str">
        <f t="shared" si="1"/>
        <v/>
      </c>
    </row>
    <row r="291" ht="15.75" customHeight="1">
      <c r="A291" s="85"/>
      <c r="B291" s="85"/>
      <c r="C291" s="85"/>
      <c r="D291" s="85"/>
      <c r="E291" s="85"/>
      <c r="F291" s="85"/>
      <c r="G291" s="88"/>
      <c r="H291" s="88"/>
      <c r="I291" s="85" t="str">
        <f t="shared" si="1"/>
        <v/>
      </c>
    </row>
    <row r="292" ht="15.75" customHeight="1">
      <c r="A292" s="85"/>
      <c r="B292" s="85"/>
      <c r="C292" s="85"/>
      <c r="D292" s="85"/>
      <c r="E292" s="85"/>
      <c r="F292" s="85"/>
      <c r="G292" s="88"/>
      <c r="H292" s="88"/>
      <c r="I292" s="85" t="str">
        <f t="shared" si="1"/>
        <v/>
      </c>
    </row>
    <row r="293" ht="15.75" customHeight="1">
      <c r="A293" s="85"/>
      <c r="B293" s="85"/>
      <c r="C293" s="85"/>
      <c r="D293" s="85"/>
      <c r="E293" s="85"/>
      <c r="F293" s="85"/>
      <c r="G293" s="88"/>
      <c r="H293" s="88"/>
      <c r="I293" s="85" t="str">
        <f t="shared" si="1"/>
        <v/>
      </c>
    </row>
    <row r="294" ht="15.75" customHeight="1">
      <c r="A294" s="85"/>
      <c r="B294" s="85"/>
      <c r="C294" s="85"/>
      <c r="D294" s="85"/>
      <c r="E294" s="85"/>
      <c r="F294" s="85"/>
      <c r="G294" s="88"/>
      <c r="H294" s="88"/>
      <c r="I294" s="85" t="str">
        <f t="shared" si="1"/>
        <v/>
      </c>
    </row>
    <row r="295" ht="15.75" customHeight="1">
      <c r="A295" s="85"/>
      <c r="B295" s="85"/>
      <c r="C295" s="85"/>
      <c r="D295" s="85"/>
      <c r="E295" s="85"/>
      <c r="F295" s="85"/>
      <c r="G295" s="88"/>
      <c r="H295" s="88"/>
      <c r="I295" s="85" t="str">
        <f t="shared" si="1"/>
        <v/>
      </c>
    </row>
    <row r="296" ht="15.75" customHeight="1">
      <c r="A296" s="85"/>
      <c r="B296" s="85"/>
      <c r="C296" s="85"/>
      <c r="D296" s="85"/>
      <c r="E296" s="85"/>
      <c r="F296" s="85"/>
      <c r="G296" s="88"/>
      <c r="H296" s="88"/>
      <c r="I296" s="85" t="str">
        <f t="shared" si="1"/>
        <v/>
      </c>
    </row>
    <row r="297" ht="15.75" customHeight="1">
      <c r="A297" s="85"/>
      <c r="B297" s="85"/>
      <c r="C297" s="85"/>
      <c r="D297" s="85"/>
      <c r="E297" s="85"/>
      <c r="F297" s="85"/>
      <c r="G297" s="88"/>
      <c r="H297" s="88"/>
      <c r="I297" s="85" t="str">
        <f t="shared" si="1"/>
        <v/>
      </c>
    </row>
    <row r="298" ht="15.75" customHeight="1">
      <c r="A298" s="85"/>
      <c r="B298" s="85"/>
      <c r="C298" s="85"/>
      <c r="D298" s="85"/>
      <c r="E298" s="85"/>
      <c r="F298" s="85"/>
      <c r="G298" s="88"/>
      <c r="H298" s="88"/>
      <c r="I298" s="85" t="str">
        <f t="shared" si="1"/>
        <v/>
      </c>
    </row>
    <row r="299" ht="15.75" customHeight="1">
      <c r="A299" s="85"/>
      <c r="B299" s="85"/>
      <c r="C299" s="85"/>
      <c r="D299" s="85"/>
      <c r="E299" s="85"/>
      <c r="F299" s="85"/>
      <c r="G299" s="88"/>
      <c r="H299" s="88"/>
      <c r="I299" s="85" t="str">
        <f t="shared" si="1"/>
        <v/>
      </c>
    </row>
    <row r="300" ht="15.75" customHeight="1">
      <c r="A300" s="85"/>
      <c r="B300" s="85"/>
      <c r="C300" s="85"/>
      <c r="D300" s="85"/>
      <c r="E300" s="85"/>
      <c r="F300" s="85"/>
      <c r="G300" s="88"/>
      <c r="H300" s="88"/>
      <c r="I300" s="85" t="str">
        <f t="shared" si="1"/>
        <v/>
      </c>
    </row>
    <row r="301" ht="15.75" customHeight="1">
      <c r="A301" s="85"/>
      <c r="B301" s="85"/>
      <c r="C301" s="85"/>
      <c r="D301" s="85"/>
      <c r="E301" s="85"/>
      <c r="F301" s="85"/>
      <c r="G301" s="88"/>
      <c r="H301" s="88"/>
      <c r="I301" s="85" t="str">
        <f t="shared" si="1"/>
        <v/>
      </c>
    </row>
    <row r="302" ht="15.75" customHeight="1">
      <c r="A302" s="85"/>
      <c r="B302" s="85"/>
      <c r="C302" s="85"/>
      <c r="D302" s="85"/>
      <c r="E302" s="85"/>
      <c r="F302" s="85"/>
      <c r="G302" s="88"/>
      <c r="H302" s="88"/>
      <c r="I302" s="85" t="str">
        <f t="shared" si="1"/>
        <v/>
      </c>
    </row>
    <row r="303" ht="15.75" customHeight="1">
      <c r="A303" s="85"/>
      <c r="B303" s="85"/>
      <c r="C303" s="85"/>
      <c r="D303" s="85"/>
      <c r="E303" s="85"/>
      <c r="F303" s="85"/>
      <c r="G303" s="88"/>
      <c r="H303" s="88"/>
      <c r="I303" s="85" t="str">
        <f t="shared" si="1"/>
        <v/>
      </c>
    </row>
    <row r="304" ht="15.75" customHeight="1">
      <c r="A304" s="85"/>
      <c r="B304" s="85"/>
      <c r="C304" s="85"/>
      <c r="D304" s="85"/>
      <c r="E304" s="85"/>
      <c r="F304" s="85"/>
      <c r="G304" s="88"/>
      <c r="H304" s="88"/>
      <c r="I304" s="85" t="str">
        <f t="shared" si="1"/>
        <v/>
      </c>
    </row>
    <row r="305" ht="15.75" customHeight="1">
      <c r="A305" s="85"/>
      <c r="B305" s="85"/>
      <c r="C305" s="85"/>
      <c r="D305" s="85"/>
      <c r="E305" s="85"/>
      <c r="F305" s="85"/>
      <c r="G305" s="88"/>
      <c r="H305" s="88"/>
      <c r="I305" s="85" t="str">
        <f t="shared" si="1"/>
        <v/>
      </c>
    </row>
    <row r="306" ht="15.75" customHeight="1">
      <c r="A306" s="85"/>
      <c r="B306" s="85"/>
      <c r="C306" s="85"/>
      <c r="D306" s="85"/>
      <c r="E306" s="85"/>
      <c r="F306" s="85"/>
      <c r="G306" s="88"/>
      <c r="H306" s="88"/>
      <c r="I306" s="85" t="str">
        <f t="shared" si="1"/>
        <v/>
      </c>
    </row>
    <row r="307" ht="15.75" customHeight="1">
      <c r="A307" s="85"/>
      <c r="B307" s="85"/>
      <c r="C307" s="85"/>
      <c r="D307" s="85"/>
      <c r="E307" s="85"/>
      <c r="F307" s="85"/>
      <c r="G307" s="88"/>
      <c r="H307" s="88"/>
      <c r="I307" s="85" t="str">
        <f t="shared" si="1"/>
        <v/>
      </c>
    </row>
    <row r="308" ht="15.75" customHeight="1">
      <c r="A308" s="85"/>
      <c r="B308" s="85"/>
      <c r="C308" s="85"/>
      <c r="D308" s="85"/>
      <c r="E308" s="85"/>
      <c r="F308" s="85"/>
      <c r="G308" s="88"/>
      <c r="H308" s="88"/>
      <c r="I308" s="85" t="str">
        <f t="shared" si="1"/>
        <v/>
      </c>
    </row>
    <row r="309" ht="15.75" customHeight="1">
      <c r="A309" s="85"/>
      <c r="B309" s="85"/>
      <c r="C309" s="85"/>
      <c r="D309" s="85"/>
      <c r="E309" s="85"/>
      <c r="F309" s="85"/>
      <c r="G309" s="88"/>
      <c r="H309" s="88"/>
      <c r="I309" s="85" t="str">
        <f t="shared" si="1"/>
        <v/>
      </c>
    </row>
    <row r="310" ht="15.75" customHeight="1">
      <c r="A310" s="85"/>
      <c r="B310" s="85"/>
      <c r="C310" s="85"/>
      <c r="D310" s="85"/>
      <c r="E310" s="85"/>
      <c r="F310" s="85"/>
      <c r="G310" s="88"/>
      <c r="H310" s="88"/>
      <c r="I310" s="85" t="str">
        <f t="shared" si="1"/>
        <v/>
      </c>
    </row>
    <row r="311" ht="15.75" customHeight="1">
      <c r="A311" s="85"/>
      <c r="B311" s="85"/>
      <c r="C311" s="85"/>
      <c r="D311" s="85"/>
      <c r="E311" s="85"/>
      <c r="F311" s="85"/>
      <c r="G311" s="88"/>
      <c r="H311" s="88"/>
      <c r="I311" s="85" t="str">
        <f t="shared" si="1"/>
        <v/>
      </c>
    </row>
    <row r="312" ht="15.75" customHeight="1">
      <c r="A312" s="85"/>
      <c r="B312" s="85"/>
      <c r="C312" s="85"/>
      <c r="D312" s="85"/>
      <c r="E312" s="85"/>
      <c r="F312" s="85"/>
      <c r="G312" s="88"/>
      <c r="H312" s="88"/>
      <c r="I312" s="85" t="str">
        <f t="shared" si="1"/>
        <v/>
      </c>
    </row>
    <row r="313" ht="15.75" customHeight="1">
      <c r="A313" s="85"/>
      <c r="B313" s="85"/>
      <c r="C313" s="85"/>
      <c r="D313" s="85"/>
      <c r="E313" s="85"/>
      <c r="F313" s="85"/>
      <c r="G313" s="88"/>
      <c r="H313" s="88"/>
      <c r="I313" s="85" t="str">
        <f t="shared" si="1"/>
        <v/>
      </c>
    </row>
    <row r="314" ht="15.75" customHeight="1">
      <c r="A314" s="85"/>
      <c r="B314" s="85"/>
      <c r="C314" s="85"/>
      <c r="D314" s="85"/>
      <c r="E314" s="85"/>
      <c r="F314" s="85"/>
      <c r="G314" s="88"/>
      <c r="H314" s="88"/>
      <c r="I314" s="85" t="str">
        <f t="shared" si="1"/>
        <v/>
      </c>
    </row>
    <row r="315" ht="15.75" customHeight="1">
      <c r="A315" s="85"/>
      <c r="B315" s="85"/>
      <c r="C315" s="85"/>
      <c r="D315" s="85"/>
      <c r="E315" s="85"/>
      <c r="F315" s="85"/>
      <c r="G315" s="88"/>
      <c r="H315" s="88"/>
      <c r="I315" s="85" t="str">
        <f t="shared" si="1"/>
        <v/>
      </c>
    </row>
    <row r="316" ht="15.75" customHeight="1">
      <c r="A316" s="85"/>
      <c r="B316" s="85"/>
      <c r="C316" s="85"/>
      <c r="D316" s="85"/>
      <c r="E316" s="85"/>
      <c r="F316" s="85"/>
      <c r="G316" s="88"/>
      <c r="H316" s="88"/>
      <c r="I316" s="85" t="str">
        <f t="shared" si="1"/>
        <v/>
      </c>
    </row>
    <row r="317" ht="15.75" customHeight="1">
      <c r="A317" s="85"/>
      <c r="B317" s="85"/>
      <c r="C317" s="85"/>
      <c r="D317" s="85"/>
      <c r="E317" s="85"/>
      <c r="F317" s="85"/>
      <c r="G317" s="88"/>
      <c r="H317" s="88"/>
      <c r="I317" s="85" t="str">
        <f t="shared" si="1"/>
        <v/>
      </c>
    </row>
    <row r="318" ht="15.75" customHeight="1">
      <c r="A318" s="85"/>
      <c r="B318" s="85"/>
      <c r="C318" s="85"/>
      <c r="D318" s="85"/>
      <c r="E318" s="85"/>
      <c r="F318" s="85"/>
      <c r="G318" s="88"/>
      <c r="H318" s="88"/>
      <c r="I318" s="85" t="str">
        <f t="shared" si="1"/>
        <v/>
      </c>
    </row>
    <row r="319" ht="15.75" customHeight="1">
      <c r="A319" s="85"/>
      <c r="B319" s="85"/>
      <c r="C319" s="85"/>
      <c r="D319" s="85"/>
      <c r="E319" s="85"/>
      <c r="F319" s="85"/>
      <c r="G319" s="88"/>
      <c r="H319" s="88"/>
      <c r="I319" s="85" t="str">
        <f t="shared" si="1"/>
        <v/>
      </c>
    </row>
    <row r="320" ht="15.75" customHeight="1">
      <c r="A320" s="85"/>
      <c r="B320" s="85"/>
      <c r="C320" s="85"/>
      <c r="D320" s="85"/>
      <c r="E320" s="85"/>
      <c r="F320" s="85"/>
      <c r="G320" s="88"/>
      <c r="H320" s="88"/>
      <c r="I320" s="85" t="str">
        <f t="shared" si="1"/>
        <v/>
      </c>
    </row>
    <row r="321" ht="15.75" customHeight="1">
      <c r="A321" s="85"/>
      <c r="B321" s="85"/>
      <c r="C321" s="85"/>
      <c r="D321" s="85"/>
      <c r="E321" s="85"/>
      <c r="F321" s="85"/>
      <c r="G321" s="88"/>
      <c r="H321" s="88"/>
      <c r="I321" s="85" t="str">
        <f t="shared" si="1"/>
        <v/>
      </c>
    </row>
    <row r="322" ht="15.75" customHeight="1">
      <c r="A322" s="85"/>
      <c r="B322" s="85"/>
      <c r="C322" s="85"/>
      <c r="D322" s="85"/>
      <c r="E322" s="85"/>
      <c r="F322" s="85"/>
      <c r="G322" s="88"/>
      <c r="H322" s="88"/>
      <c r="I322" s="85" t="str">
        <f t="shared" si="1"/>
        <v/>
      </c>
    </row>
    <row r="323" ht="15.75" customHeight="1">
      <c r="A323" s="85"/>
      <c r="B323" s="85"/>
      <c r="C323" s="85"/>
      <c r="D323" s="85"/>
      <c r="E323" s="85"/>
      <c r="F323" s="85"/>
      <c r="G323" s="88"/>
      <c r="H323" s="88"/>
      <c r="I323" s="85" t="str">
        <f t="shared" si="1"/>
        <v/>
      </c>
    </row>
    <row r="324" ht="15.75" customHeight="1">
      <c r="A324" s="85"/>
      <c r="B324" s="85"/>
      <c r="C324" s="85"/>
      <c r="D324" s="85"/>
      <c r="E324" s="85"/>
      <c r="F324" s="85"/>
      <c r="G324" s="88"/>
      <c r="H324" s="88"/>
      <c r="I324" s="85" t="str">
        <f t="shared" si="1"/>
        <v/>
      </c>
    </row>
    <row r="325" ht="15.75" customHeight="1">
      <c r="A325" s="85"/>
      <c r="B325" s="85"/>
      <c r="C325" s="85"/>
      <c r="D325" s="85"/>
      <c r="E325" s="85"/>
      <c r="F325" s="85"/>
      <c r="G325" s="88"/>
      <c r="H325" s="88"/>
      <c r="I325" s="85" t="str">
        <f t="shared" si="1"/>
        <v/>
      </c>
    </row>
    <row r="326" ht="15.75" customHeight="1">
      <c r="A326" s="85"/>
      <c r="B326" s="85"/>
      <c r="C326" s="85"/>
      <c r="D326" s="85"/>
      <c r="E326" s="85"/>
      <c r="F326" s="85"/>
      <c r="G326" s="88"/>
      <c r="H326" s="88"/>
      <c r="I326" s="85" t="str">
        <f t="shared" si="1"/>
        <v/>
      </c>
    </row>
    <row r="327" ht="15.75" customHeight="1">
      <c r="A327" s="85"/>
      <c r="B327" s="85"/>
      <c r="C327" s="85"/>
      <c r="D327" s="85"/>
      <c r="E327" s="85"/>
      <c r="F327" s="85"/>
      <c r="G327" s="88"/>
      <c r="H327" s="88"/>
      <c r="I327" s="85" t="str">
        <f t="shared" si="1"/>
        <v/>
      </c>
    </row>
    <row r="328" ht="15.75" customHeight="1">
      <c r="A328" s="85"/>
      <c r="B328" s="85"/>
      <c r="C328" s="85"/>
      <c r="D328" s="85"/>
      <c r="E328" s="85"/>
      <c r="F328" s="85"/>
      <c r="G328" s="88"/>
      <c r="H328" s="88"/>
      <c r="I328" s="85" t="str">
        <f t="shared" si="1"/>
        <v/>
      </c>
    </row>
    <row r="329" ht="15.75" customHeight="1">
      <c r="A329" s="85"/>
      <c r="B329" s="85"/>
      <c r="C329" s="85"/>
      <c r="D329" s="85"/>
      <c r="E329" s="85"/>
      <c r="F329" s="85"/>
      <c r="G329" s="88"/>
      <c r="H329" s="88"/>
      <c r="I329" s="85" t="str">
        <f t="shared" si="1"/>
        <v/>
      </c>
    </row>
    <row r="330" ht="15.75" customHeight="1">
      <c r="A330" s="85"/>
      <c r="B330" s="85"/>
      <c r="C330" s="85"/>
      <c r="D330" s="85"/>
      <c r="E330" s="85"/>
      <c r="F330" s="85"/>
      <c r="G330" s="88"/>
      <c r="H330" s="88"/>
      <c r="I330" s="85" t="str">
        <f t="shared" si="1"/>
        <v/>
      </c>
    </row>
    <row r="331" ht="15.75" customHeight="1">
      <c r="A331" s="85"/>
      <c r="B331" s="85"/>
      <c r="C331" s="85"/>
      <c r="D331" s="85"/>
      <c r="E331" s="85"/>
      <c r="F331" s="85"/>
      <c r="G331" s="88"/>
      <c r="H331" s="88"/>
      <c r="I331" s="85" t="str">
        <f t="shared" si="1"/>
        <v/>
      </c>
    </row>
    <row r="332" ht="15.75" customHeight="1">
      <c r="A332" s="85"/>
      <c r="B332" s="85"/>
      <c r="C332" s="85"/>
      <c r="D332" s="85"/>
      <c r="E332" s="85"/>
      <c r="F332" s="85"/>
      <c r="G332" s="88"/>
      <c r="H332" s="88"/>
      <c r="I332" s="85" t="str">
        <f t="shared" si="1"/>
        <v/>
      </c>
    </row>
    <row r="333" ht="15.75" customHeight="1">
      <c r="A333" s="85"/>
      <c r="B333" s="85"/>
      <c r="C333" s="85"/>
      <c r="D333" s="85"/>
      <c r="E333" s="85"/>
      <c r="F333" s="85"/>
      <c r="G333" s="88"/>
      <c r="H333" s="88"/>
      <c r="I333" s="85" t="str">
        <f t="shared" si="1"/>
        <v/>
      </c>
    </row>
    <row r="334" ht="15.75" customHeight="1">
      <c r="A334" s="85"/>
      <c r="B334" s="85"/>
      <c r="C334" s="85"/>
      <c r="D334" s="85"/>
      <c r="E334" s="85"/>
      <c r="F334" s="85"/>
      <c r="G334" s="88"/>
      <c r="H334" s="88"/>
      <c r="I334" s="85" t="str">
        <f t="shared" si="1"/>
        <v/>
      </c>
    </row>
    <row r="335" ht="15.75" customHeight="1">
      <c r="A335" s="85"/>
      <c r="B335" s="85"/>
      <c r="C335" s="85"/>
      <c r="D335" s="85"/>
      <c r="E335" s="85"/>
      <c r="F335" s="85"/>
      <c r="G335" s="88"/>
      <c r="H335" s="88"/>
      <c r="I335" s="85" t="str">
        <f t="shared" si="1"/>
        <v/>
      </c>
    </row>
    <row r="336" ht="15.75" customHeight="1">
      <c r="A336" s="85"/>
      <c r="B336" s="85"/>
      <c r="C336" s="85"/>
      <c r="D336" s="85"/>
      <c r="E336" s="85"/>
      <c r="F336" s="85"/>
      <c r="G336" s="88"/>
      <c r="H336" s="88"/>
      <c r="I336" s="85" t="str">
        <f t="shared" si="1"/>
        <v/>
      </c>
    </row>
    <row r="337" ht="15.75" customHeight="1">
      <c r="A337" s="85"/>
      <c r="B337" s="85"/>
      <c r="C337" s="85"/>
      <c r="D337" s="85"/>
      <c r="E337" s="85"/>
      <c r="F337" s="85"/>
      <c r="G337" s="88"/>
      <c r="H337" s="88"/>
      <c r="I337" s="85" t="str">
        <f t="shared" si="1"/>
        <v/>
      </c>
    </row>
    <row r="338" ht="15.75" customHeight="1">
      <c r="A338" s="85"/>
      <c r="B338" s="85"/>
      <c r="C338" s="85"/>
      <c r="D338" s="85"/>
      <c r="E338" s="85"/>
      <c r="F338" s="85"/>
      <c r="G338" s="88"/>
      <c r="H338" s="88"/>
      <c r="I338" s="85" t="str">
        <f t="shared" si="1"/>
        <v/>
      </c>
    </row>
    <row r="339" ht="15.75" customHeight="1">
      <c r="A339" s="85"/>
      <c r="B339" s="85"/>
      <c r="C339" s="85"/>
      <c r="D339" s="85"/>
      <c r="E339" s="85"/>
      <c r="F339" s="85"/>
      <c r="G339" s="88"/>
      <c r="H339" s="88"/>
      <c r="I339" s="85" t="str">
        <f t="shared" si="1"/>
        <v/>
      </c>
    </row>
    <row r="340" ht="15.75" customHeight="1">
      <c r="A340" s="85"/>
      <c r="B340" s="85"/>
      <c r="C340" s="85"/>
      <c r="D340" s="85"/>
      <c r="E340" s="85"/>
      <c r="F340" s="85"/>
      <c r="G340" s="88"/>
      <c r="H340" s="88"/>
      <c r="I340" s="85" t="str">
        <f t="shared" si="1"/>
        <v/>
      </c>
    </row>
    <row r="341" ht="15.75" customHeight="1">
      <c r="A341" s="85"/>
      <c r="B341" s="85"/>
      <c r="C341" s="85"/>
      <c r="D341" s="85"/>
      <c r="E341" s="85"/>
      <c r="F341" s="85"/>
      <c r="G341" s="88"/>
      <c r="H341" s="88"/>
      <c r="I341" s="85" t="str">
        <f t="shared" si="1"/>
        <v/>
      </c>
    </row>
    <row r="342" ht="15.75" customHeight="1">
      <c r="A342" s="85"/>
      <c r="B342" s="85"/>
      <c r="C342" s="85"/>
      <c r="D342" s="85"/>
      <c r="E342" s="85"/>
      <c r="F342" s="85"/>
      <c r="G342" s="88"/>
      <c r="H342" s="88"/>
      <c r="I342" s="85" t="str">
        <f t="shared" si="1"/>
        <v/>
      </c>
    </row>
    <row r="343" ht="15.75" customHeight="1">
      <c r="A343" s="85"/>
      <c r="B343" s="85"/>
      <c r="C343" s="85"/>
      <c r="D343" s="85"/>
      <c r="E343" s="85"/>
      <c r="F343" s="85"/>
      <c r="G343" s="88"/>
      <c r="H343" s="88"/>
      <c r="I343" s="85" t="str">
        <f t="shared" si="1"/>
        <v/>
      </c>
    </row>
    <row r="344" ht="15.75" customHeight="1">
      <c r="A344" s="85"/>
      <c r="B344" s="85"/>
      <c r="C344" s="85"/>
      <c r="D344" s="85"/>
      <c r="E344" s="85"/>
      <c r="F344" s="85"/>
      <c r="G344" s="88"/>
      <c r="H344" s="88"/>
      <c r="I344" s="85" t="str">
        <f t="shared" si="1"/>
        <v/>
      </c>
    </row>
    <row r="345" ht="15.75" customHeight="1">
      <c r="A345" s="85"/>
      <c r="B345" s="85"/>
      <c r="C345" s="85"/>
      <c r="D345" s="85"/>
      <c r="E345" s="85"/>
      <c r="F345" s="85"/>
      <c r="G345" s="88"/>
      <c r="H345" s="88"/>
      <c r="I345" s="85" t="str">
        <f t="shared" si="1"/>
        <v/>
      </c>
    </row>
    <row r="346" ht="15.75" customHeight="1">
      <c r="A346" s="85"/>
      <c r="B346" s="85"/>
      <c r="C346" s="85"/>
      <c r="D346" s="85"/>
      <c r="E346" s="85"/>
      <c r="F346" s="85"/>
      <c r="G346" s="88"/>
      <c r="H346" s="88"/>
      <c r="I346" s="85" t="str">
        <f t="shared" si="1"/>
        <v/>
      </c>
    </row>
    <row r="347" ht="15.75" customHeight="1">
      <c r="A347" s="85"/>
      <c r="B347" s="85"/>
      <c r="C347" s="85"/>
      <c r="D347" s="85"/>
      <c r="E347" s="85"/>
      <c r="F347" s="85"/>
      <c r="G347" s="88"/>
      <c r="H347" s="88"/>
      <c r="I347" s="85" t="str">
        <f t="shared" si="1"/>
        <v/>
      </c>
    </row>
    <row r="348" ht="15.75" customHeight="1">
      <c r="A348" s="85"/>
      <c r="B348" s="85"/>
      <c r="C348" s="85"/>
      <c r="D348" s="85"/>
      <c r="E348" s="85"/>
      <c r="F348" s="85"/>
      <c r="G348" s="88"/>
      <c r="H348" s="88"/>
      <c r="I348" s="85" t="str">
        <f t="shared" si="1"/>
        <v/>
      </c>
    </row>
    <row r="349" ht="15.75" customHeight="1">
      <c r="A349" s="85"/>
      <c r="B349" s="85"/>
      <c r="C349" s="85"/>
      <c r="D349" s="85"/>
      <c r="E349" s="85"/>
      <c r="F349" s="85"/>
      <c r="G349" s="88"/>
      <c r="H349" s="88"/>
      <c r="I349" s="85" t="str">
        <f t="shared" si="1"/>
        <v/>
      </c>
    </row>
    <row r="350" ht="15.75" customHeight="1">
      <c r="A350" s="85"/>
      <c r="B350" s="85"/>
      <c r="C350" s="85"/>
      <c r="D350" s="85"/>
      <c r="E350" s="85"/>
      <c r="F350" s="85"/>
      <c r="G350" s="88"/>
      <c r="H350" s="88"/>
      <c r="I350" s="85" t="str">
        <f t="shared" si="1"/>
        <v/>
      </c>
    </row>
    <row r="351" ht="15.75" customHeight="1">
      <c r="A351" s="85"/>
      <c r="B351" s="85"/>
      <c r="C351" s="85"/>
      <c r="D351" s="85"/>
      <c r="E351" s="85"/>
      <c r="F351" s="85"/>
      <c r="G351" s="88"/>
      <c r="H351" s="88"/>
      <c r="I351" s="85" t="str">
        <f t="shared" si="1"/>
        <v/>
      </c>
    </row>
    <row r="352" ht="15.75" customHeight="1">
      <c r="A352" s="85"/>
      <c r="B352" s="85"/>
      <c r="C352" s="85"/>
      <c r="D352" s="85"/>
      <c r="E352" s="85"/>
      <c r="F352" s="85"/>
      <c r="G352" s="88"/>
      <c r="H352" s="88"/>
      <c r="I352" s="85" t="str">
        <f t="shared" si="1"/>
        <v/>
      </c>
    </row>
    <row r="353" ht="15.75" customHeight="1">
      <c r="A353" s="85"/>
      <c r="B353" s="85"/>
      <c r="C353" s="85"/>
      <c r="D353" s="85"/>
      <c r="E353" s="85"/>
      <c r="F353" s="85"/>
      <c r="G353" s="88"/>
      <c r="H353" s="88"/>
      <c r="I353" s="85" t="str">
        <f t="shared" si="1"/>
        <v/>
      </c>
    </row>
    <row r="354" ht="15.75" customHeight="1">
      <c r="A354" s="85"/>
      <c r="B354" s="85"/>
      <c r="C354" s="85"/>
      <c r="D354" s="85"/>
      <c r="E354" s="85"/>
      <c r="F354" s="85"/>
      <c r="G354" s="88"/>
      <c r="H354" s="88"/>
      <c r="I354" s="85" t="str">
        <f t="shared" si="1"/>
        <v/>
      </c>
    </row>
    <row r="355" ht="15.75" customHeight="1">
      <c r="A355" s="85"/>
      <c r="B355" s="85"/>
      <c r="C355" s="85"/>
      <c r="D355" s="85"/>
      <c r="E355" s="85"/>
      <c r="F355" s="85"/>
      <c r="G355" s="88"/>
      <c r="H355" s="88"/>
      <c r="I355" s="85" t="str">
        <f t="shared" si="1"/>
        <v/>
      </c>
    </row>
    <row r="356" ht="15.75" customHeight="1">
      <c r="A356" s="85"/>
      <c r="B356" s="85"/>
      <c r="C356" s="85"/>
      <c r="D356" s="85"/>
      <c r="E356" s="85"/>
      <c r="F356" s="85"/>
      <c r="G356" s="88"/>
      <c r="H356" s="88"/>
      <c r="I356" s="85" t="str">
        <f t="shared" si="1"/>
        <v/>
      </c>
    </row>
    <row r="357" ht="15.75" customHeight="1">
      <c r="A357" s="85"/>
      <c r="B357" s="85"/>
      <c r="C357" s="85"/>
      <c r="D357" s="85"/>
      <c r="E357" s="85"/>
      <c r="F357" s="85"/>
      <c r="G357" s="88"/>
      <c r="H357" s="88"/>
      <c r="I357" s="85" t="str">
        <f t="shared" si="1"/>
        <v/>
      </c>
    </row>
    <row r="358" ht="15.75" customHeight="1">
      <c r="A358" s="85"/>
      <c r="B358" s="85"/>
      <c r="C358" s="85"/>
      <c r="D358" s="85"/>
      <c r="E358" s="85"/>
      <c r="F358" s="85"/>
      <c r="G358" s="88"/>
      <c r="H358" s="88"/>
      <c r="I358" s="85" t="str">
        <f t="shared" si="1"/>
        <v/>
      </c>
    </row>
    <row r="359" ht="15.75" customHeight="1">
      <c r="A359" s="85"/>
      <c r="B359" s="85"/>
      <c r="C359" s="85"/>
      <c r="D359" s="85"/>
      <c r="E359" s="85"/>
      <c r="F359" s="85"/>
      <c r="G359" s="88"/>
      <c r="H359" s="88"/>
      <c r="I359" s="85" t="str">
        <f t="shared" si="1"/>
        <v/>
      </c>
    </row>
    <row r="360" ht="15.75" customHeight="1">
      <c r="A360" s="85"/>
      <c r="B360" s="85"/>
      <c r="C360" s="85"/>
      <c r="D360" s="85"/>
      <c r="E360" s="85"/>
      <c r="F360" s="85"/>
      <c r="G360" s="88"/>
      <c r="H360" s="88"/>
      <c r="I360" s="85" t="str">
        <f t="shared" si="1"/>
        <v/>
      </c>
    </row>
    <row r="361" ht="15.75" customHeight="1">
      <c r="A361" s="85"/>
      <c r="B361" s="85"/>
      <c r="C361" s="85"/>
      <c r="D361" s="85"/>
      <c r="E361" s="85"/>
      <c r="F361" s="85"/>
      <c r="G361" s="88"/>
      <c r="H361" s="88"/>
      <c r="I361" s="85" t="str">
        <f t="shared" si="1"/>
        <v/>
      </c>
    </row>
    <row r="362" ht="15.75" customHeight="1">
      <c r="A362" s="85"/>
      <c r="B362" s="85"/>
      <c r="C362" s="85"/>
      <c r="D362" s="85"/>
      <c r="E362" s="85"/>
      <c r="F362" s="85"/>
      <c r="G362" s="88"/>
      <c r="H362" s="88"/>
      <c r="I362" s="85" t="str">
        <f t="shared" si="1"/>
        <v/>
      </c>
    </row>
    <row r="363" ht="15.75" customHeight="1">
      <c r="A363" s="85"/>
      <c r="B363" s="85"/>
      <c r="C363" s="85"/>
      <c r="D363" s="85"/>
      <c r="E363" s="85"/>
      <c r="F363" s="85"/>
      <c r="G363" s="88"/>
      <c r="H363" s="88"/>
      <c r="I363" s="85" t="str">
        <f t="shared" si="1"/>
        <v/>
      </c>
    </row>
    <row r="364" ht="15.75" customHeight="1">
      <c r="A364" s="85"/>
      <c r="B364" s="85"/>
      <c r="C364" s="85"/>
      <c r="D364" s="85"/>
      <c r="E364" s="85"/>
      <c r="F364" s="85"/>
      <c r="G364" s="88"/>
      <c r="H364" s="88"/>
      <c r="I364" s="85" t="str">
        <f t="shared" si="1"/>
        <v/>
      </c>
    </row>
    <row r="365" ht="15.75" customHeight="1">
      <c r="A365" s="85"/>
      <c r="B365" s="85"/>
      <c r="C365" s="85"/>
      <c r="D365" s="85"/>
      <c r="E365" s="85"/>
      <c r="F365" s="85"/>
      <c r="G365" s="88"/>
      <c r="H365" s="88"/>
      <c r="I365" s="85" t="str">
        <f t="shared" si="1"/>
        <v/>
      </c>
    </row>
    <row r="366" ht="15.75" customHeight="1">
      <c r="A366" s="85"/>
      <c r="B366" s="85"/>
      <c r="C366" s="85"/>
      <c r="D366" s="85"/>
      <c r="E366" s="85"/>
      <c r="F366" s="85"/>
      <c r="G366" s="88"/>
      <c r="H366" s="88"/>
      <c r="I366" s="85" t="str">
        <f t="shared" si="1"/>
        <v/>
      </c>
    </row>
    <row r="367" ht="15.75" customHeight="1">
      <c r="A367" s="85"/>
      <c r="B367" s="85"/>
      <c r="C367" s="85"/>
      <c r="D367" s="85"/>
      <c r="E367" s="85"/>
      <c r="F367" s="85"/>
      <c r="G367" s="88"/>
      <c r="H367" s="88"/>
      <c r="I367" s="85" t="str">
        <f t="shared" si="1"/>
        <v/>
      </c>
    </row>
    <row r="368" ht="15.75" customHeight="1">
      <c r="A368" s="85"/>
      <c r="B368" s="85"/>
      <c r="C368" s="85"/>
      <c r="D368" s="85"/>
      <c r="E368" s="85"/>
      <c r="F368" s="85"/>
      <c r="G368" s="88"/>
      <c r="H368" s="88"/>
      <c r="I368" s="85" t="str">
        <f t="shared" si="1"/>
        <v/>
      </c>
    </row>
    <row r="369" ht="15.75" customHeight="1">
      <c r="A369" s="85"/>
      <c r="B369" s="85"/>
      <c r="C369" s="85"/>
      <c r="D369" s="85"/>
      <c r="E369" s="85"/>
      <c r="F369" s="85"/>
      <c r="G369" s="88"/>
      <c r="H369" s="88"/>
      <c r="I369" s="85" t="str">
        <f t="shared" si="1"/>
        <v/>
      </c>
    </row>
    <row r="370" ht="15.75" customHeight="1">
      <c r="A370" s="85"/>
      <c r="B370" s="85"/>
      <c r="C370" s="85"/>
      <c r="D370" s="85"/>
      <c r="E370" s="85"/>
      <c r="F370" s="85"/>
      <c r="G370" s="88"/>
      <c r="H370" s="88"/>
      <c r="I370" s="85" t="str">
        <f t="shared" si="1"/>
        <v/>
      </c>
    </row>
    <row r="371" ht="15.75" customHeight="1">
      <c r="A371" s="85"/>
      <c r="B371" s="85"/>
      <c r="C371" s="85"/>
      <c r="D371" s="85"/>
      <c r="E371" s="85"/>
      <c r="F371" s="85"/>
      <c r="G371" s="88"/>
      <c r="H371" s="88"/>
      <c r="I371" s="85" t="str">
        <f t="shared" si="1"/>
        <v/>
      </c>
    </row>
    <row r="372" ht="15.75" customHeight="1">
      <c r="A372" s="85"/>
      <c r="B372" s="85"/>
      <c r="C372" s="85"/>
      <c r="D372" s="85"/>
      <c r="E372" s="85"/>
      <c r="F372" s="85"/>
      <c r="G372" s="88"/>
      <c r="H372" s="88"/>
      <c r="I372" s="85" t="str">
        <f t="shared" si="1"/>
        <v/>
      </c>
    </row>
    <row r="373" ht="15.75" customHeight="1">
      <c r="A373" s="85"/>
      <c r="B373" s="85"/>
      <c r="C373" s="85"/>
      <c r="D373" s="85"/>
      <c r="E373" s="85"/>
      <c r="F373" s="85"/>
      <c r="G373" s="88"/>
      <c r="H373" s="88"/>
      <c r="I373" s="85" t="str">
        <f t="shared" si="1"/>
        <v/>
      </c>
    </row>
    <row r="374" ht="15.75" customHeight="1">
      <c r="A374" s="85"/>
      <c r="B374" s="85"/>
      <c r="C374" s="85"/>
      <c r="D374" s="85"/>
      <c r="E374" s="85"/>
      <c r="F374" s="85"/>
      <c r="G374" s="88"/>
      <c r="H374" s="88"/>
      <c r="I374" s="85" t="str">
        <f t="shared" si="1"/>
        <v/>
      </c>
    </row>
    <row r="375" ht="15.75" customHeight="1">
      <c r="A375" s="85"/>
      <c r="B375" s="85"/>
      <c r="C375" s="85"/>
      <c r="D375" s="85"/>
      <c r="E375" s="85"/>
      <c r="F375" s="85"/>
      <c r="G375" s="88"/>
      <c r="H375" s="88"/>
      <c r="I375" s="85" t="str">
        <f t="shared" si="1"/>
        <v/>
      </c>
    </row>
    <row r="376" ht="15.75" customHeight="1">
      <c r="A376" s="85"/>
      <c r="B376" s="85"/>
      <c r="C376" s="85"/>
      <c r="D376" s="85"/>
      <c r="E376" s="85"/>
      <c r="F376" s="85"/>
      <c r="G376" s="88"/>
      <c r="H376" s="88"/>
      <c r="I376" s="85" t="str">
        <f t="shared" si="1"/>
        <v/>
      </c>
    </row>
    <row r="377" ht="15.75" customHeight="1">
      <c r="A377" s="85"/>
      <c r="B377" s="85"/>
      <c r="C377" s="85"/>
      <c r="D377" s="85"/>
      <c r="E377" s="85"/>
      <c r="F377" s="85"/>
      <c r="G377" s="88"/>
      <c r="H377" s="88"/>
      <c r="I377" s="85" t="str">
        <f t="shared" si="1"/>
        <v/>
      </c>
    </row>
    <row r="378" ht="15.75" customHeight="1">
      <c r="A378" s="85"/>
      <c r="B378" s="85"/>
      <c r="C378" s="85"/>
      <c r="D378" s="85"/>
      <c r="E378" s="85"/>
      <c r="F378" s="85"/>
      <c r="G378" s="88"/>
      <c r="H378" s="88"/>
      <c r="I378" s="85" t="str">
        <f t="shared" si="1"/>
        <v/>
      </c>
    </row>
    <row r="379" ht="15.75" customHeight="1">
      <c r="A379" s="85"/>
      <c r="B379" s="85"/>
      <c r="C379" s="85"/>
      <c r="D379" s="85"/>
      <c r="E379" s="85"/>
      <c r="F379" s="85"/>
      <c r="G379" s="88"/>
      <c r="H379" s="88"/>
      <c r="I379" s="85" t="str">
        <f t="shared" si="1"/>
        <v/>
      </c>
    </row>
    <row r="380" ht="15.75" customHeight="1">
      <c r="A380" s="85"/>
      <c r="B380" s="85"/>
      <c r="C380" s="85"/>
      <c r="D380" s="85"/>
      <c r="E380" s="85"/>
      <c r="F380" s="85"/>
      <c r="G380" s="88"/>
      <c r="H380" s="88"/>
      <c r="I380" s="85" t="str">
        <f t="shared" si="1"/>
        <v/>
      </c>
    </row>
    <row r="381" ht="15.75" customHeight="1">
      <c r="A381" s="85"/>
      <c r="B381" s="85"/>
      <c r="C381" s="85"/>
      <c r="D381" s="85"/>
      <c r="E381" s="85"/>
      <c r="F381" s="85"/>
      <c r="G381" s="88"/>
      <c r="H381" s="88"/>
      <c r="I381" s="85" t="str">
        <f t="shared" si="1"/>
        <v/>
      </c>
    </row>
    <row r="382" ht="15.75" customHeight="1">
      <c r="A382" s="85"/>
      <c r="B382" s="85"/>
      <c r="C382" s="85"/>
      <c r="D382" s="85"/>
      <c r="E382" s="85"/>
      <c r="F382" s="85"/>
      <c r="G382" s="88"/>
      <c r="H382" s="88"/>
      <c r="I382" s="85" t="str">
        <f t="shared" si="1"/>
        <v/>
      </c>
    </row>
    <row r="383" ht="15.75" customHeight="1">
      <c r="A383" s="85"/>
      <c r="B383" s="85"/>
      <c r="C383" s="85"/>
      <c r="D383" s="85"/>
      <c r="E383" s="85"/>
      <c r="F383" s="85"/>
      <c r="G383" s="88"/>
      <c r="H383" s="88"/>
      <c r="I383" s="85" t="str">
        <f t="shared" si="1"/>
        <v/>
      </c>
    </row>
    <row r="384" ht="15.75" customHeight="1">
      <c r="A384" s="85"/>
      <c r="B384" s="85"/>
      <c r="C384" s="85"/>
      <c r="D384" s="85"/>
      <c r="E384" s="85"/>
      <c r="F384" s="85"/>
      <c r="G384" s="88"/>
      <c r="H384" s="88"/>
      <c r="I384" s="85" t="str">
        <f t="shared" si="1"/>
        <v/>
      </c>
    </row>
    <row r="385" ht="15.75" customHeight="1">
      <c r="A385" s="85"/>
      <c r="B385" s="85"/>
      <c r="C385" s="85"/>
      <c r="D385" s="85"/>
      <c r="E385" s="85"/>
      <c r="F385" s="85"/>
      <c r="G385" s="88"/>
      <c r="H385" s="88"/>
      <c r="I385" s="85" t="str">
        <f t="shared" si="1"/>
        <v/>
      </c>
    </row>
    <row r="386" ht="15.75" customHeight="1">
      <c r="A386" s="85"/>
      <c r="B386" s="85"/>
      <c r="C386" s="85"/>
      <c r="D386" s="85"/>
      <c r="E386" s="85"/>
      <c r="F386" s="85"/>
      <c r="G386" s="88"/>
      <c r="H386" s="88"/>
      <c r="I386" s="85" t="str">
        <f t="shared" si="1"/>
        <v/>
      </c>
    </row>
    <row r="387" ht="15.75" customHeight="1">
      <c r="A387" s="85"/>
      <c r="B387" s="85"/>
      <c r="C387" s="85"/>
      <c r="D387" s="85"/>
      <c r="E387" s="85"/>
      <c r="F387" s="85"/>
      <c r="G387" s="88"/>
      <c r="H387" s="88"/>
      <c r="I387" s="85" t="str">
        <f t="shared" si="1"/>
        <v/>
      </c>
    </row>
    <row r="388" ht="15.75" customHeight="1">
      <c r="A388" s="85"/>
      <c r="B388" s="85"/>
      <c r="C388" s="85"/>
      <c r="D388" s="85"/>
      <c r="E388" s="85"/>
      <c r="F388" s="85"/>
      <c r="G388" s="88"/>
      <c r="H388" s="88"/>
      <c r="I388" s="85" t="str">
        <f t="shared" si="1"/>
        <v/>
      </c>
    </row>
    <row r="389" ht="15.75" customHeight="1">
      <c r="A389" s="85"/>
      <c r="B389" s="85"/>
      <c r="C389" s="85"/>
      <c r="D389" s="85"/>
      <c r="E389" s="85"/>
      <c r="F389" s="85"/>
      <c r="G389" s="88"/>
      <c r="H389" s="88"/>
      <c r="I389" s="85" t="str">
        <f t="shared" si="1"/>
        <v/>
      </c>
    </row>
    <row r="390" ht="15.75" customHeight="1">
      <c r="A390" s="85"/>
      <c r="B390" s="85"/>
      <c r="C390" s="85"/>
      <c r="D390" s="85"/>
      <c r="E390" s="85"/>
      <c r="F390" s="85"/>
      <c r="G390" s="88"/>
      <c r="H390" s="88"/>
      <c r="I390" s="85" t="str">
        <f t="shared" si="1"/>
        <v/>
      </c>
    </row>
    <row r="391" ht="15.75" customHeight="1">
      <c r="A391" s="85"/>
      <c r="B391" s="85"/>
      <c r="C391" s="85"/>
      <c r="D391" s="85"/>
      <c r="E391" s="85"/>
      <c r="F391" s="85"/>
      <c r="G391" s="88"/>
      <c r="H391" s="88"/>
      <c r="I391" s="85" t="str">
        <f t="shared" si="1"/>
        <v/>
      </c>
    </row>
    <row r="392" ht="15.75" customHeight="1">
      <c r="A392" s="85"/>
      <c r="B392" s="85"/>
      <c r="C392" s="85"/>
      <c r="D392" s="85"/>
      <c r="E392" s="85"/>
      <c r="F392" s="85"/>
      <c r="G392" s="88"/>
      <c r="H392" s="88"/>
      <c r="I392" s="85" t="str">
        <f t="shared" si="1"/>
        <v/>
      </c>
    </row>
    <row r="393" ht="15.75" customHeight="1">
      <c r="A393" s="85"/>
      <c r="B393" s="85"/>
      <c r="C393" s="85"/>
      <c r="D393" s="85"/>
      <c r="E393" s="85"/>
      <c r="F393" s="85"/>
      <c r="G393" s="88"/>
      <c r="H393" s="88"/>
      <c r="I393" s="85" t="str">
        <f t="shared" si="1"/>
        <v/>
      </c>
    </row>
    <row r="394" ht="15.75" customHeight="1">
      <c r="A394" s="85"/>
      <c r="B394" s="85"/>
      <c r="C394" s="85"/>
      <c r="D394" s="85"/>
      <c r="E394" s="85"/>
      <c r="F394" s="85"/>
      <c r="G394" s="88"/>
      <c r="H394" s="88"/>
      <c r="I394" s="85" t="str">
        <f t="shared" si="1"/>
        <v/>
      </c>
    </row>
    <row r="395" ht="15.75" customHeight="1">
      <c r="A395" s="85"/>
      <c r="B395" s="85"/>
      <c r="C395" s="85"/>
      <c r="D395" s="85"/>
      <c r="E395" s="85"/>
      <c r="F395" s="85"/>
      <c r="G395" s="88"/>
      <c r="H395" s="88"/>
      <c r="I395" s="85" t="str">
        <f t="shared" si="1"/>
        <v/>
      </c>
    </row>
    <row r="396" ht="15.75" customHeight="1">
      <c r="A396" s="85"/>
      <c r="B396" s="85"/>
      <c r="C396" s="85"/>
      <c r="D396" s="85"/>
      <c r="E396" s="85"/>
      <c r="F396" s="85"/>
      <c r="G396" s="88"/>
      <c r="H396" s="88"/>
      <c r="I396" s="85" t="str">
        <f t="shared" si="1"/>
        <v/>
      </c>
    </row>
    <row r="397" ht="15.75" customHeight="1">
      <c r="A397" s="85"/>
      <c r="B397" s="85"/>
      <c r="C397" s="85"/>
      <c r="D397" s="85"/>
      <c r="E397" s="85"/>
      <c r="F397" s="85"/>
      <c r="G397" s="88"/>
      <c r="H397" s="88"/>
      <c r="I397" s="85" t="str">
        <f t="shared" si="1"/>
        <v/>
      </c>
    </row>
    <row r="398" ht="15.75" customHeight="1">
      <c r="A398" s="85"/>
      <c r="B398" s="85"/>
      <c r="C398" s="85"/>
      <c r="D398" s="85"/>
      <c r="E398" s="85"/>
      <c r="F398" s="85"/>
      <c r="G398" s="88"/>
      <c r="H398" s="88"/>
      <c r="I398" s="85" t="str">
        <f t="shared" si="1"/>
        <v/>
      </c>
    </row>
    <row r="399" ht="15.75" customHeight="1">
      <c r="A399" s="85"/>
      <c r="B399" s="85"/>
      <c r="C399" s="85"/>
      <c r="D399" s="85"/>
      <c r="E399" s="85"/>
      <c r="F399" s="85"/>
      <c r="G399" s="88"/>
      <c r="H399" s="88"/>
      <c r="I399" s="85" t="str">
        <f t="shared" si="1"/>
        <v/>
      </c>
    </row>
    <row r="400" ht="15.75" customHeight="1">
      <c r="A400" s="85"/>
      <c r="B400" s="85"/>
      <c r="C400" s="85"/>
      <c r="D400" s="85"/>
      <c r="E400" s="85"/>
      <c r="F400" s="85"/>
      <c r="G400" s="88"/>
      <c r="H400" s="88"/>
      <c r="I400" s="85" t="str">
        <f t="shared" si="1"/>
        <v/>
      </c>
    </row>
    <row r="401" ht="15.75" customHeight="1">
      <c r="A401" s="85"/>
      <c r="B401" s="85"/>
      <c r="C401" s="85"/>
      <c r="D401" s="85"/>
      <c r="E401" s="85"/>
      <c r="F401" s="85"/>
      <c r="G401" s="88"/>
      <c r="H401" s="88"/>
      <c r="I401" s="85" t="str">
        <f t="shared" si="1"/>
        <v/>
      </c>
    </row>
    <row r="402" ht="15.75" customHeight="1">
      <c r="A402" s="85"/>
      <c r="B402" s="85"/>
      <c r="C402" s="85"/>
      <c r="D402" s="85"/>
      <c r="E402" s="85"/>
      <c r="F402" s="85"/>
      <c r="G402" s="88"/>
      <c r="H402" s="88"/>
      <c r="I402" s="85" t="str">
        <f t="shared" si="1"/>
        <v/>
      </c>
    </row>
    <row r="403" ht="15.75" customHeight="1">
      <c r="A403" s="85"/>
      <c r="B403" s="85"/>
      <c r="C403" s="85"/>
      <c r="D403" s="85"/>
      <c r="E403" s="85"/>
      <c r="F403" s="85"/>
      <c r="G403" s="88"/>
      <c r="H403" s="88"/>
      <c r="I403" s="85" t="str">
        <f t="shared" si="1"/>
        <v/>
      </c>
    </row>
    <row r="404" ht="15.75" customHeight="1">
      <c r="A404" s="85"/>
      <c r="B404" s="85"/>
      <c r="C404" s="85"/>
      <c r="D404" s="85"/>
      <c r="E404" s="85"/>
      <c r="F404" s="85"/>
      <c r="G404" s="88"/>
      <c r="H404" s="88"/>
      <c r="I404" s="85" t="str">
        <f t="shared" si="1"/>
        <v/>
      </c>
    </row>
    <row r="405" ht="15.75" customHeight="1">
      <c r="A405" s="85"/>
      <c r="B405" s="85"/>
      <c r="C405" s="85"/>
      <c r="D405" s="85"/>
      <c r="E405" s="85"/>
      <c r="F405" s="85"/>
      <c r="G405" s="88"/>
      <c r="H405" s="88"/>
      <c r="I405" s="85" t="str">
        <f t="shared" si="1"/>
        <v/>
      </c>
    </row>
    <row r="406" ht="15.75" customHeight="1">
      <c r="A406" s="85"/>
      <c r="B406" s="85"/>
      <c r="C406" s="85"/>
      <c r="D406" s="85"/>
      <c r="E406" s="85"/>
      <c r="F406" s="85"/>
      <c r="G406" s="88"/>
      <c r="H406" s="88"/>
      <c r="I406" s="85" t="str">
        <f t="shared" si="1"/>
        <v/>
      </c>
    </row>
    <row r="407" ht="15.75" customHeight="1">
      <c r="A407" s="85"/>
      <c r="B407" s="85"/>
      <c r="C407" s="85"/>
      <c r="D407" s="85"/>
      <c r="E407" s="85"/>
      <c r="F407" s="85"/>
      <c r="G407" s="88"/>
      <c r="H407" s="88"/>
      <c r="I407" s="85" t="str">
        <f t="shared" si="1"/>
        <v/>
      </c>
    </row>
    <row r="408" ht="15.75" customHeight="1">
      <c r="A408" s="85"/>
      <c r="B408" s="85"/>
      <c r="C408" s="85"/>
      <c r="D408" s="85"/>
      <c r="E408" s="85"/>
      <c r="F408" s="85"/>
      <c r="G408" s="88"/>
      <c r="H408" s="88"/>
      <c r="I408" s="85" t="str">
        <f t="shared" si="1"/>
        <v/>
      </c>
    </row>
    <row r="409" ht="15.75" customHeight="1">
      <c r="A409" s="85"/>
      <c r="B409" s="85"/>
      <c r="C409" s="85"/>
      <c r="D409" s="85"/>
      <c r="E409" s="85"/>
      <c r="F409" s="85"/>
      <c r="G409" s="88"/>
      <c r="H409" s="88"/>
      <c r="I409" s="85" t="str">
        <f t="shared" si="1"/>
        <v/>
      </c>
    </row>
    <row r="410" ht="15.75" customHeight="1">
      <c r="A410" s="85"/>
      <c r="B410" s="85"/>
      <c r="C410" s="85"/>
      <c r="D410" s="85"/>
      <c r="E410" s="85"/>
      <c r="F410" s="85"/>
      <c r="G410" s="88"/>
      <c r="H410" s="88"/>
      <c r="I410" s="85" t="str">
        <f t="shared" si="1"/>
        <v/>
      </c>
    </row>
    <row r="411" ht="15.75" customHeight="1">
      <c r="A411" s="85"/>
      <c r="B411" s="85"/>
      <c r="C411" s="85"/>
      <c r="D411" s="85"/>
      <c r="E411" s="85"/>
      <c r="F411" s="85"/>
      <c r="G411" s="88"/>
      <c r="H411" s="88"/>
      <c r="I411" s="85" t="str">
        <f t="shared" si="1"/>
        <v/>
      </c>
    </row>
    <row r="412" ht="15.75" customHeight="1">
      <c r="A412" s="85"/>
      <c r="B412" s="85"/>
      <c r="C412" s="85"/>
      <c r="D412" s="85"/>
      <c r="E412" s="85"/>
      <c r="F412" s="85"/>
      <c r="G412" s="88"/>
      <c r="H412" s="88"/>
      <c r="I412" s="85" t="str">
        <f t="shared" si="1"/>
        <v/>
      </c>
    </row>
    <row r="413" ht="15.75" customHeight="1">
      <c r="A413" s="85"/>
      <c r="B413" s="85"/>
      <c r="C413" s="85"/>
      <c r="D413" s="85"/>
      <c r="E413" s="85"/>
      <c r="F413" s="85"/>
      <c r="G413" s="88"/>
      <c r="H413" s="88"/>
      <c r="I413" s="85" t="str">
        <f t="shared" si="1"/>
        <v/>
      </c>
    </row>
    <row r="414" ht="15.75" customHeight="1">
      <c r="A414" s="85"/>
      <c r="B414" s="85"/>
      <c r="C414" s="85"/>
      <c r="D414" s="85"/>
      <c r="E414" s="85"/>
      <c r="F414" s="85"/>
      <c r="G414" s="88"/>
      <c r="H414" s="88"/>
      <c r="I414" s="85" t="str">
        <f t="shared" si="1"/>
        <v/>
      </c>
    </row>
    <row r="415" ht="15.75" customHeight="1">
      <c r="A415" s="85"/>
      <c r="B415" s="85"/>
      <c r="C415" s="85"/>
      <c r="D415" s="85"/>
      <c r="E415" s="85"/>
      <c r="F415" s="85"/>
      <c r="G415" s="88"/>
      <c r="H415" s="88"/>
      <c r="I415" s="85" t="str">
        <f t="shared" si="1"/>
        <v/>
      </c>
    </row>
    <row r="416" ht="15.75" customHeight="1">
      <c r="A416" s="85"/>
      <c r="B416" s="85"/>
      <c r="C416" s="85"/>
      <c r="D416" s="85"/>
      <c r="E416" s="85"/>
      <c r="F416" s="85"/>
      <c r="G416" s="88"/>
      <c r="H416" s="88"/>
      <c r="I416" s="85" t="str">
        <f t="shared" si="1"/>
        <v/>
      </c>
    </row>
    <row r="417" ht="15.75" customHeight="1">
      <c r="A417" s="85"/>
      <c r="B417" s="85"/>
      <c r="C417" s="85"/>
      <c r="D417" s="85"/>
      <c r="E417" s="85"/>
      <c r="F417" s="85"/>
      <c r="G417" s="88"/>
      <c r="H417" s="88"/>
      <c r="I417" s="85" t="str">
        <f t="shared" si="1"/>
        <v/>
      </c>
    </row>
    <row r="418" ht="15.75" customHeight="1">
      <c r="A418" s="85"/>
      <c r="B418" s="85"/>
      <c r="C418" s="85"/>
      <c r="D418" s="85"/>
      <c r="E418" s="85"/>
      <c r="F418" s="85"/>
      <c r="G418" s="88"/>
      <c r="H418" s="88"/>
      <c r="I418" s="85" t="str">
        <f t="shared" si="1"/>
        <v/>
      </c>
    </row>
    <row r="419" ht="15.75" customHeight="1">
      <c r="A419" s="85"/>
      <c r="B419" s="85"/>
      <c r="C419" s="85"/>
      <c r="D419" s="85"/>
      <c r="E419" s="85"/>
      <c r="F419" s="85"/>
      <c r="G419" s="88"/>
      <c r="H419" s="88"/>
      <c r="I419" s="85" t="str">
        <f t="shared" si="1"/>
        <v/>
      </c>
    </row>
    <row r="420" ht="15.75" customHeight="1">
      <c r="A420" s="85"/>
      <c r="B420" s="85"/>
      <c r="C420" s="85"/>
      <c r="D420" s="85"/>
      <c r="E420" s="85"/>
      <c r="F420" s="85"/>
      <c r="G420" s="88"/>
      <c r="H420" s="88"/>
      <c r="I420" s="85" t="str">
        <f t="shared" si="1"/>
        <v/>
      </c>
    </row>
    <row r="421" ht="15.75" customHeight="1">
      <c r="A421" s="85"/>
      <c r="B421" s="85"/>
      <c r="C421" s="85"/>
      <c r="D421" s="85"/>
      <c r="E421" s="85"/>
      <c r="F421" s="85"/>
      <c r="G421" s="88"/>
      <c r="H421" s="88"/>
      <c r="I421" s="85" t="str">
        <f t="shared" si="1"/>
        <v/>
      </c>
    </row>
    <row r="422" ht="15.75" customHeight="1">
      <c r="A422" s="85"/>
      <c r="B422" s="85"/>
      <c r="C422" s="85"/>
      <c r="D422" s="85"/>
      <c r="E422" s="85"/>
      <c r="F422" s="85"/>
      <c r="G422" s="88"/>
      <c r="H422" s="88"/>
      <c r="I422" s="85" t="str">
        <f t="shared" si="1"/>
        <v/>
      </c>
    </row>
    <row r="423" ht="15.75" customHeight="1">
      <c r="A423" s="85"/>
      <c r="B423" s="85"/>
      <c r="C423" s="85"/>
      <c r="D423" s="85"/>
      <c r="E423" s="85"/>
      <c r="F423" s="85"/>
      <c r="G423" s="88"/>
      <c r="H423" s="88"/>
      <c r="I423" s="85" t="str">
        <f t="shared" si="1"/>
        <v/>
      </c>
    </row>
    <row r="424" ht="15.75" customHeight="1">
      <c r="A424" s="85"/>
      <c r="B424" s="85"/>
      <c r="C424" s="85"/>
      <c r="D424" s="85"/>
      <c r="E424" s="85"/>
      <c r="F424" s="85"/>
      <c r="G424" s="88"/>
      <c r="H424" s="88"/>
      <c r="I424" s="85" t="str">
        <f t="shared" si="1"/>
        <v/>
      </c>
    </row>
    <row r="425" ht="15.75" customHeight="1">
      <c r="A425" s="85"/>
      <c r="B425" s="85"/>
      <c r="C425" s="85"/>
      <c r="D425" s="85"/>
      <c r="E425" s="85"/>
      <c r="F425" s="85"/>
      <c r="G425" s="88"/>
      <c r="H425" s="88"/>
      <c r="I425" s="85" t="str">
        <f t="shared" si="1"/>
        <v/>
      </c>
    </row>
    <row r="426" ht="15.75" customHeight="1">
      <c r="A426" s="85"/>
      <c r="B426" s="85"/>
      <c r="C426" s="85"/>
      <c r="D426" s="85"/>
      <c r="E426" s="85"/>
      <c r="F426" s="85"/>
      <c r="G426" s="88"/>
      <c r="H426" s="88"/>
      <c r="I426" s="85" t="str">
        <f t="shared" si="1"/>
        <v/>
      </c>
    </row>
    <row r="427" ht="15.75" customHeight="1">
      <c r="A427" s="85"/>
      <c r="B427" s="85"/>
      <c r="C427" s="85"/>
      <c r="D427" s="85"/>
      <c r="E427" s="85"/>
      <c r="F427" s="85"/>
      <c r="G427" s="88"/>
      <c r="H427" s="88"/>
      <c r="I427" s="85" t="str">
        <f t="shared" si="1"/>
        <v/>
      </c>
    </row>
    <row r="428" ht="15.75" customHeight="1">
      <c r="A428" s="85"/>
      <c r="B428" s="85"/>
      <c r="C428" s="85"/>
      <c r="D428" s="85"/>
      <c r="E428" s="85"/>
      <c r="F428" s="85"/>
      <c r="G428" s="88"/>
      <c r="H428" s="88"/>
      <c r="I428" s="85" t="str">
        <f t="shared" si="1"/>
        <v/>
      </c>
    </row>
    <row r="429" ht="15.75" customHeight="1">
      <c r="A429" s="85"/>
      <c r="B429" s="85"/>
      <c r="C429" s="85"/>
      <c r="D429" s="85"/>
      <c r="E429" s="85"/>
      <c r="F429" s="85"/>
      <c r="G429" s="88"/>
      <c r="H429" s="88"/>
      <c r="I429" s="85" t="str">
        <f t="shared" si="1"/>
        <v/>
      </c>
    </row>
    <row r="430" ht="15.75" customHeight="1">
      <c r="A430" s="85"/>
      <c r="B430" s="85"/>
      <c r="C430" s="85"/>
      <c r="D430" s="85"/>
      <c r="E430" s="85"/>
      <c r="F430" s="85"/>
      <c r="G430" s="88"/>
      <c r="H430" s="88"/>
      <c r="I430" s="85" t="str">
        <f t="shared" si="1"/>
        <v/>
      </c>
    </row>
    <row r="431" ht="15.75" customHeight="1">
      <c r="A431" s="85"/>
      <c r="B431" s="85"/>
      <c r="C431" s="85"/>
      <c r="D431" s="85"/>
      <c r="E431" s="85"/>
      <c r="F431" s="85"/>
      <c r="G431" s="88"/>
      <c r="H431" s="88"/>
      <c r="I431" s="85" t="str">
        <f t="shared" si="1"/>
        <v/>
      </c>
    </row>
    <row r="432" ht="15.75" customHeight="1">
      <c r="A432" s="85"/>
      <c r="B432" s="85"/>
      <c r="C432" s="85"/>
      <c r="D432" s="85"/>
      <c r="E432" s="85"/>
      <c r="F432" s="85"/>
      <c r="G432" s="88"/>
      <c r="H432" s="88"/>
      <c r="I432" s="85" t="str">
        <f t="shared" si="1"/>
        <v/>
      </c>
    </row>
    <row r="433" ht="15.75" customHeight="1">
      <c r="A433" s="85"/>
      <c r="B433" s="85"/>
      <c r="C433" s="85"/>
      <c r="D433" s="85"/>
      <c r="E433" s="85"/>
      <c r="F433" s="85"/>
      <c r="G433" s="88"/>
      <c r="H433" s="88"/>
      <c r="I433" s="85" t="str">
        <f t="shared" si="1"/>
        <v/>
      </c>
    </row>
    <row r="434" ht="15.75" customHeight="1">
      <c r="A434" s="85"/>
      <c r="B434" s="85"/>
      <c r="C434" s="85"/>
      <c r="D434" s="85"/>
      <c r="E434" s="85"/>
      <c r="F434" s="85"/>
      <c r="G434" s="88"/>
      <c r="H434" s="88"/>
      <c r="I434" s="85" t="str">
        <f t="shared" si="1"/>
        <v/>
      </c>
    </row>
    <row r="435" ht="15.75" customHeight="1">
      <c r="A435" s="85"/>
      <c r="B435" s="85"/>
      <c r="C435" s="85"/>
      <c r="D435" s="85"/>
      <c r="E435" s="85"/>
      <c r="F435" s="85"/>
      <c r="G435" s="88"/>
      <c r="H435" s="88"/>
      <c r="I435" s="85" t="str">
        <f t="shared" si="1"/>
        <v/>
      </c>
    </row>
    <row r="436" ht="15.75" customHeight="1">
      <c r="A436" s="85"/>
      <c r="B436" s="85"/>
      <c r="C436" s="85"/>
      <c r="D436" s="85"/>
      <c r="E436" s="85"/>
      <c r="F436" s="85"/>
      <c r="G436" s="88"/>
      <c r="H436" s="88"/>
      <c r="I436" s="85" t="str">
        <f t="shared" si="1"/>
        <v/>
      </c>
    </row>
    <row r="437" ht="15.75" customHeight="1">
      <c r="A437" s="85"/>
      <c r="B437" s="85"/>
      <c r="C437" s="85"/>
      <c r="D437" s="85"/>
      <c r="E437" s="85"/>
      <c r="F437" s="85"/>
      <c r="G437" s="88"/>
      <c r="H437" s="88"/>
      <c r="I437" s="85" t="str">
        <f t="shared" si="1"/>
        <v/>
      </c>
    </row>
    <row r="438" ht="15.75" customHeight="1">
      <c r="A438" s="85"/>
      <c r="B438" s="85"/>
      <c r="C438" s="85"/>
      <c r="D438" s="85"/>
      <c r="E438" s="85"/>
      <c r="F438" s="85"/>
      <c r="G438" s="88"/>
      <c r="H438" s="88"/>
      <c r="I438" s="85" t="str">
        <f t="shared" si="1"/>
        <v/>
      </c>
    </row>
    <row r="439" ht="15.75" customHeight="1">
      <c r="A439" s="85"/>
      <c r="B439" s="85"/>
      <c r="C439" s="85"/>
      <c r="D439" s="85"/>
      <c r="E439" s="85"/>
      <c r="F439" s="85"/>
      <c r="G439" s="88"/>
      <c r="H439" s="88"/>
      <c r="I439" s="85" t="str">
        <f t="shared" si="1"/>
        <v/>
      </c>
    </row>
    <row r="440" ht="15.75" customHeight="1">
      <c r="A440" s="85"/>
      <c r="B440" s="85"/>
      <c r="C440" s="85"/>
      <c r="D440" s="85"/>
      <c r="E440" s="85"/>
      <c r="F440" s="85"/>
      <c r="G440" s="88"/>
      <c r="H440" s="88"/>
      <c r="I440" s="85" t="str">
        <f t="shared" si="1"/>
        <v/>
      </c>
    </row>
    <row r="441" ht="15.75" customHeight="1">
      <c r="A441" s="85"/>
      <c r="B441" s="85"/>
      <c r="C441" s="85"/>
      <c r="D441" s="85"/>
      <c r="E441" s="85"/>
      <c r="F441" s="85"/>
      <c r="G441" s="88"/>
      <c r="H441" s="88"/>
      <c r="I441" s="85" t="str">
        <f t="shared" si="1"/>
        <v/>
      </c>
    </row>
    <row r="442" ht="15.75" customHeight="1">
      <c r="A442" s="85"/>
      <c r="B442" s="85"/>
      <c r="C442" s="85"/>
      <c r="D442" s="85"/>
      <c r="E442" s="85"/>
      <c r="F442" s="85"/>
      <c r="G442" s="88"/>
      <c r="H442" s="88"/>
      <c r="I442" s="85" t="str">
        <f t="shared" si="1"/>
        <v/>
      </c>
    </row>
    <row r="443" ht="15.75" customHeight="1">
      <c r="A443" s="85"/>
      <c r="B443" s="85"/>
      <c r="C443" s="85"/>
      <c r="D443" s="85"/>
      <c r="E443" s="85"/>
      <c r="F443" s="85"/>
      <c r="G443" s="88"/>
      <c r="H443" s="88"/>
      <c r="I443" s="85" t="str">
        <f t="shared" si="1"/>
        <v/>
      </c>
    </row>
    <row r="444" ht="15.75" customHeight="1">
      <c r="A444" s="85"/>
      <c r="B444" s="85"/>
      <c r="C444" s="85"/>
      <c r="D444" s="85"/>
      <c r="E444" s="85"/>
      <c r="F444" s="85"/>
      <c r="G444" s="88"/>
      <c r="H444" s="88"/>
      <c r="I444" s="85" t="str">
        <f t="shared" si="1"/>
        <v/>
      </c>
    </row>
    <row r="445" ht="15.75" customHeight="1">
      <c r="A445" s="85"/>
      <c r="B445" s="85"/>
      <c r="C445" s="85"/>
      <c r="D445" s="85"/>
      <c r="E445" s="85"/>
      <c r="F445" s="85"/>
      <c r="G445" s="88"/>
      <c r="H445" s="88"/>
      <c r="I445" s="85" t="str">
        <f t="shared" si="1"/>
        <v/>
      </c>
    </row>
    <row r="446" ht="15.75" customHeight="1">
      <c r="A446" s="85"/>
      <c r="B446" s="85"/>
      <c r="C446" s="85"/>
      <c r="D446" s="85"/>
      <c r="E446" s="85"/>
      <c r="F446" s="85"/>
      <c r="G446" s="88"/>
      <c r="H446" s="88"/>
      <c r="I446" s="85" t="str">
        <f t="shared" si="1"/>
        <v/>
      </c>
    </row>
    <row r="447" ht="15.75" customHeight="1">
      <c r="A447" s="85"/>
      <c r="B447" s="85"/>
      <c r="C447" s="85"/>
      <c r="D447" s="85"/>
      <c r="E447" s="85"/>
      <c r="F447" s="85"/>
      <c r="G447" s="88"/>
      <c r="H447" s="88"/>
      <c r="I447" s="85" t="str">
        <f t="shared" si="1"/>
        <v/>
      </c>
    </row>
    <row r="448" ht="15.75" customHeight="1">
      <c r="A448" s="85"/>
      <c r="B448" s="85"/>
      <c r="C448" s="85"/>
      <c r="D448" s="85"/>
      <c r="E448" s="85"/>
      <c r="F448" s="85"/>
      <c r="G448" s="88"/>
      <c r="H448" s="88"/>
      <c r="I448" s="85" t="str">
        <f t="shared" si="1"/>
        <v/>
      </c>
    </row>
    <row r="449" ht="15.75" customHeight="1">
      <c r="A449" s="85"/>
      <c r="B449" s="85"/>
      <c r="C449" s="85"/>
      <c r="D449" s="85"/>
      <c r="E449" s="85"/>
      <c r="F449" s="85"/>
      <c r="G449" s="88"/>
      <c r="H449" s="88"/>
      <c r="I449" s="85" t="str">
        <f t="shared" si="1"/>
        <v/>
      </c>
    </row>
    <row r="450" ht="15.75" customHeight="1">
      <c r="A450" s="85"/>
      <c r="B450" s="85"/>
      <c r="C450" s="85"/>
      <c r="D450" s="85"/>
      <c r="E450" s="85"/>
      <c r="F450" s="85"/>
      <c r="G450" s="88"/>
      <c r="H450" s="88"/>
      <c r="I450" s="85" t="str">
        <f t="shared" si="1"/>
        <v/>
      </c>
    </row>
    <row r="451" ht="15.75" customHeight="1">
      <c r="A451" s="85"/>
      <c r="B451" s="85"/>
      <c r="C451" s="85"/>
      <c r="D451" s="85"/>
      <c r="E451" s="85"/>
      <c r="F451" s="85"/>
      <c r="G451" s="88"/>
      <c r="H451" s="88"/>
      <c r="I451" s="85" t="str">
        <f t="shared" si="1"/>
        <v/>
      </c>
    </row>
    <row r="452" ht="15.75" customHeight="1">
      <c r="A452" s="85"/>
      <c r="B452" s="85"/>
      <c r="C452" s="85"/>
      <c r="D452" s="85"/>
      <c r="E452" s="85"/>
      <c r="F452" s="85"/>
      <c r="G452" s="88"/>
      <c r="H452" s="88"/>
      <c r="I452" s="85" t="str">
        <f t="shared" si="1"/>
        <v/>
      </c>
    </row>
    <row r="453" ht="15.75" customHeight="1">
      <c r="A453" s="85"/>
      <c r="B453" s="85"/>
      <c r="C453" s="85"/>
      <c r="D453" s="85"/>
      <c r="E453" s="85"/>
      <c r="F453" s="85"/>
      <c r="G453" s="88"/>
      <c r="H453" s="88"/>
      <c r="I453" s="85" t="str">
        <f t="shared" si="1"/>
        <v/>
      </c>
    </row>
    <row r="454" ht="15.75" customHeight="1">
      <c r="A454" s="85"/>
      <c r="B454" s="85"/>
      <c r="C454" s="85"/>
      <c r="D454" s="85"/>
      <c r="E454" s="85"/>
      <c r="F454" s="85"/>
      <c r="G454" s="88"/>
      <c r="H454" s="88"/>
      <c r="I454" s="85" t="str">
        <f t="shared" si="1"/>
        <v/>
      </c>
    </row>
    <row r="455" ht="15.75" customHeight="1">
      <c r="A455" s="85"/>
      <c r="B455" s="85"/>
      <c r="C455" s="85"/>
      <c r="D455" s="85"/>
      <c r="E455" s="85"/>
      <c r="F455" s="85"/>
      <c r="G455" s="88"/>
      <c r="H455" s="88"/>
      <c r="I455" s="85" t="str">
        <f t="shared" si="1"/>
        <v/>
      </c>
    </row>
    <row r="456" ht="15.75" customHeight="1">
      <c r="A456" s="85"/>
      <c r="B456" s="85"/>
      <c r="C456" s="85"/>
      <c r="D456" s="85"/>
      <c r="E456" s="85"/>
      <c r="F456" s="85"/>
      <c r="G456" s="88"/>
      <c r="H456" s="88"/>
      <c r="I456" s="85" t="str">
        <f t="shared" si="1"/>
        <v/>
      </c>
    </row>
    <row r="457" ht="15.75" customHeight="1">
      <c r="A457" s="85"/>
      <c r="B457" s="85"/>
      <c r="C457" s="85"/>
      <c r="D457" s="85"/>
      <c r="E457" s="85"/>
      <c r="F457" s="85"/>
      <c r="G457" s="88"/>
      <c r="H457" s="88"/>
      <c r="I457" s="85" t="str">
        <f t="shared" si="1"/>
        <v/>
      </c>
    </row>
    <row r="458" ht="15.75" customHeight="1">
      <c r="A458" s="85"/>
      <c r="B458" s="85"/>
      <c r="C458" s="85"/>
      <c r="D458" s="85"/>
      <c r="E458" s="85"/>
      <c r="F458" s="85"/>
      <c r="G458" s="88"/>
      <c r="H458" s="88"/>
      <c r="I458" s="85" t="str">
        <f t="shared" si="1"/>
        <v/>
      </c>
    </row>
    <row r="459" ht="15.75" customHeight="1">
      <c r="A459" s="85"/>
      <c r="B459" s="85"/>
      <c r="C459" s="85"/>
      <c r="D459" s="85"/>
      <c r="E459" s="85"/>
      <c r="F459" s="85"/>
      <c r="G459" s="88"/>
      <c r="H459" s="88"/>
      <c r="I459" s="85" t="str">
        <f t="shared" si="1"/>
        <v/>
      </c>
    </row>
    <row r="460" ht="15.75" customHeight="1">
      <c r="A460" s="85"/>
      <c r="B460" s="85"/>
      <c r="C460" s="85"/>
      <c r="D460" s="85"/>
      <c r="E460" s="85"/>
      <c r="F460" s="85"/>
      <c r="G460" s="88"/>
      <c r="H460" s="88"/>
      <c r="I460" s="85" t="str">
        <f t="shared" si="1"/>
        <v/>
      </c>
    </row>
    <row r="461" ht="15.75" customHeight="1">
      <c r="A461" s="85"/>
      <c r="B461" s="85"/>
      <c r="C461" s="85"/>
      <c r="D461" s="85"/>
      <c r="E461" s="85"/>
      <c r="F461" s="85"/>
      <c r="G461" s="88"/>
      <c r="H461" s="88"/>
      <c r="I461" s="85" t="str">
        <f t="shared" si="1"/>
        <v/>
      </c>
    </row>
    <row r="462" ht="15.75" customHeight="1">
      <c r="A462" s="85"/>
      <c r="B462" s="85"/>
      <c r="C462" s="85"/>
      <c r="D462" s="85"/>
      <c r="E462" s="85"/>
      <c r="F462" s="85"/>
      <c r="G462" s="88"/>
      <c r="H462" s="88"/>
      <c r="I462" s="85" t="str">
        <f t="shared" si="1"/>
        <v/>
      </c>
    </row>
    <row r="463" ht="15.75" customHeight="1">
      <c r="A463" s="85"/>
      <c r="B463" s="85"/>
      <c r="C463" s="85"/>
      <c r="D463" s="85"/>
      <c r="E463" s="85"/>
      <c r="F463" s="85"/>
      <c r="G463" s="88"/>
      <c r="H463" s="88"/>
      <c r="I463" s="85" t="str">
        <f t="shared" si="1"/>
        <v/>
      </c>
    </row>
    <row r="464" ht="15.75" customHeight="1">
      <c r="A464" s="85"/>
      <c r="B464" s="85"/>
      <c r="C464" s="85"/>
      <c r="D464" s="85"/>
      <c r="E464" s="85"/>
      <c r="F464" s="85"/>
      <c r="G464" s="88"/>
      <c r="H464" s="88"/>
      <c r="I464" s="85" t="str">
        <f t="shared" si="1"/>
        <v/>
      </c>
    </row>
    <row r="465" ht="15.75" customHeight="1">
      <c r="A465" s="85"/>
      <c r="B465" s="85"/>
      <c r="C465" s="85"/>
      <c r="D465" s="85"/>
      <c r="E465" s="85"/>
      <c r="F465" s="85"/>
      <c r="G465" s="88"/>
      <c r="H465" s="88"/>
      <c r="I465" s="85" t="str">
        <f t="shared" si="1"/>
        <v/>
      </c>
    </row>
    <row r="466" ht="15.75" customHeight="1">
      <c r="A466" s="85"/>
      <c r="B466" s="85"/>
      <c r="C466" s="85"/>
      <c r="D466" s="85"/>
      <c r="E466" s="85"/>
      <c r="F466" s="85"/>
      <c r="G466" s="88"/>
      <c r="H466" s="88"/>
      <c r="I466" s="85" t="str">
        <f t="shared" si="1"/>
        <v/>
      </c>
    </row>
    <row r="467" ht="15.75" customHeight="1">
      <c r="A467" s="85"/>
      <c r="B467" s="85"/>
      <c r="C467" s="85"/>
      <c r="D467" s="85"/>
      <c r="E467" s="85"/>
      <c r="F467" s="85"/>
      <c r="G467" s="88"/>
      <c r="H467" s="88"/>
      <c r="I467" s="85" t="str">
        <f t="shared" si="1"/>
        <v/>
      </c>
    </row>
    <row r="468" ht="15.75" customHeight="1">
      <c r="A468" s="85"/>
      <c r="B468" s="85"/>
      <c r="C468" s="85"/>
      <c r="D468" s="85"/>
      <c r="E468" s="85"/>
      <c r="F468" s="85"/>
      <c r="G468" s="88"/>
      <c r="H468" s="88"/>
      <c r="I468" s="85" t="str">
        <f t="shared" si="1"/>
        <v/>
      </c>
    </row>
    <row r="469" ht="15.75" customHeight="1">
      <c r="A469" s="85"/>
      <c r="B469" s="85"/>
      <c r="C469" s="85"/>
      <c r="D469" s="85"/>
      <c r="E469" s="85"/>
      <c r="F469" s="85"/>
      <c r="G469" s="88"/>
      <c r="H469" s="88"/>
      <c r="I469" s="85" t="str">
        <f t="shared" si="1"/>
        <v/>
      </c>
    </row>
    <row r="470" ht="15.75" customHeight="1">
      <c r="A470" s="85"/>
      <c r="B470" s="85"/>
      <c r="C470" s="85"/>
      <c r="D470" s="85"/>
      <c r="E470" s="85"/>
      <c r="F470" s="85"/>
      <c r="G470" s="88"/>
      <c r="H470" s="88"/>
      <c r="I470" s="85" t="str">
        <f t="shared" si="1"/>
        <v/>
      </c>
    </row>
    <row r="471" ht="15.75" customHeight="1">
      <c r="A471" s="85"/>
      <c r="B471" s="85"/>
      <c r="C471" s="85"/>
      <c r="D471" s="85"/>
      <c r="E471" s="85"/>
      <c r="F471" s="85"/>
      <c r="G471" s="88"/>
      <c r="H471" s="88"/>
      <c r="I471" s="85" t="str">
        <f t="shared" si="1"/>
        <v/>
      </c>
    </row>
    <row r="472" ht="15.75" customHeight="1">
      <c r="A472" s="85"/>
      <c r="B472" s="85"/>
      <c r="C472" s="85"/>
      <c r="D472" s="85"/>
      <c r="E472" s="85"/>
      <c r="F472" s="85"/>
      <c r="G472" s="88"/>
      <c r="H472" s="88"/>
      <c r="I472" s="85" t="str">
        <f t="shared" si="1"/>
        <v/>
      </c>
    </row>
    <row r="473" ht="15.75" customHeight="1">
      <c r="A473" s="85"/>
      <c r="B473" s="85"/>
      <c r="C473" s="85"/>
      <c r="D473" s="85"/>
      <c r="E473" s="85"/>
      <c r="F473" s="85"/>
      <c r="G473" s="88"/>
      <c r="H473" s="88"/>
      <c r="I473" s="85" t="str">
        <f t="shared" si="1"/>
        <v/>
      </c>
    </row>
    <row r="474" ht="15.75" customHeight="1">
      <c r="A474" s="85"/>
      <c r="B474" s="85"/>
      <c r="C474" s="85"/>
      <c r="D474" s="85"/>
      <c r="E474" s="85"/>
      <c r="F474" s="85"/>
      <c r="G474" s="88"/>
      <c r="H474" s="88"/>
      <c r="I474" s="85" t="str">
        <f t="shared" si="1"/>
        <v/>
      </c>
    </row>
    <row r="475" ht="15.75" customHeight="1">
      <c r="A475" s="85"/>
      <c r="B475" s="85"/>
      <c r="C475" s="85"/>
      <c r="D475" s="85"/>
      <c r="E475" s="85"/>
      <c r="F475" s="85"/>
      <c r="G475" s="88"/>
      <c r="H475" s="88"/>
      <c r="I475" s="85" t="str">
        <f t="shared" si="1"/>
        <v/>
      </c>
    </row>
    <row r="476" ht="15.75" customHeight="1">
      <c r="A476" s="85"/>
      <c r="B476" s="85"/>
      <c r="C476" s="85"/>
      <c r="D476" s="85"/>
      <c r="E476" s="85"/>
      <c r="F476" s="85"/>
      <c r="G476" s="88"/>
      <c r="H476" s="88"/>
      <c r="I476" s="85" t="str">
        <f t="shared" si="1"/>
        <v/>
      </c>
    </row>
    <row r="477" ht="15.75" customHeight="1">
      <c r="A477" s="85"/>
      <c r="B477" s="85"/>
      <c r="C477" s="85"/>
      <c r="D477" s="85"/>
      <c r="E477" s="85"/>
      <c r="F477" s="85"/>
      <c r="G477" s="88"/>
      <c r="H477" s="88"/>
      <c r="I477" s="85" t="str">
        <f t="shared" si="1"/>
        <v/>
      </c>
    </row>
    <row r="478" ht="15.75" customHeight="1">
      <c r="A478" s="85"/>
      <c r="B478" s="85"/>
      <c r="C478" s="85"/>
      <c r="D478" s="85"/>
      <c r="E478" s="85"/>
      <c r="F478" s="85"/>
      <c r="G478" s="88"/>
      <c r="H478" s="88"/>
      <c r="I478" s="85" t="str">
        <f t="shared" si="1"/>
        <v/>
      </c>
    </row>
    <row r="479" ht="15.75" customHeight="1">
      <c r="A479" s="85"/>
      <c r="B479" s="85"/>
      <c r="C479" s="85"/>
      <c r="D479" s="85"/>
      <c r="E479" s="85"/>
      <c r="F479" s="85"/>
      <c r="G479" s="88"/>
      <c r="H479" s="88"/>
      <c r="I479" s="85" t="str">
        <f t="shared" si="1"/>
        <v/>
      </c>
    </row>
    <row r="480" ht="15.75" customHeight="1">
      <c r="A480" s="85"/>
      <c r="B480" s="85"/>
      <c r="C480" s="85"/>
      <c r="D480" s="85"/>
      <c r="E480" s="85"/>
      <c r="F480" s="85"/>
      <c r="G480" s="88"/>
      <c r="H480" s="88"/>
      <c r="I480" s="85" t="str">
        <f t="shared" si="1"/>
        <v/>
      </c>
    </row>
    <row r="481" ht="15.75" customHeight="1">
      <c r="A481" s="85"/>
      <c r="B481" s="85"/>
      <c r="C481" s="85"/>
      <c r="D481" s="85"/>
      <c r="E481" s="85"/>
      <c r="F481" s="85"/>
      <c r="G481" s="88"/>
      <c r="H481" s="88"/>
      <c r="I481" s="85" t="str">
        <f t="shared" si="1"/>
        <v/>
      </c>
    </row>
    <row r="482" ht="15.75" customHeight="1">
      <c r="A482" s="85"/>
      <c r="B482" s="85"/>
      <c r="C482" s="85"/>
      <c r="D482" s="85"/>
      <c r="E482" s="85"/>
      <c r="F482" s="85"/>
      <c r="G482" s="88"/>
      <c r="H482" s="88"/>
      <c r="I482" s="85" t="str">
        <f t="shared" si="1"/>
        <v/>
      </c>
    </row>
    <row r="483" ht="15.75" customHeight="1">
      <c r="A483" s="85"/>
      <c r="B483" s="85"/>
      <c r="C483" s="85"/>
      <c r="D483" s="85"/>
      <c r="E483" s="85"/>
      <c r="F483" s="85"/>
      <c r="G483" s="88"/>
      <c r="H483" s="88"/>
      <c r="I483" s="85" t="str">
        <f t="shared" si="1"/>
        <v/>
      </c>
    </row>
    <row r="484" ht="15.75" customHeight="1">
      <c r="A484" s="85"/>
      <c r="B484" s="85"/>
      <c r="C484" s="85"/>
      <c r="D484" s="85"/>
      <c r="E484" s="85"/>
      <c r="F484" s="85"/>
      <c r="G484" s="88"/>
      <c r="H484" s="88"/>
      <c r="I484" s="85" t="str">
        <f t="shared" si="1"/>
        <v/>
      </c>
    </row>
    <row r="485" ht="15.75" customHeight="1">
      <c r="A485" s="85"/>
      <c r="B485" s="85"/>
      <c r="C485" s="85"/>
      <c r="D485" s="85"/>
      <c r="E485" s="85"/>
      <c r="F485" s="85"/>
      <c r="G485" s="88"/>
      <c r="H485" s="88"/>
      <c r="I485" s="85" t="str">
        <f t="shared" si="1"/>
        <v/>
      </c>
    </row>
    <row r="486" ht="15.75" customHeight="1">
      <c r="A486" s="85"/>
      <c r="B486" s="85"/>
      <c r="C486" s="85"/>
      <c r="D486" s="85"/>
      <c r="E486" s="85"/>
      <c r="F486" s="85"/>
      <c r="G486" s="88"/>
      <c r="H486" s="88"/>
      <c r="I486" s="85" t="str">
        <f t="shared" si="1"/>
        <v/>
      </c>
    </row>
    <row r="487" ht="15.75" customHeight="1">
      <c r="A487" s="85"/>
      <c r="B487" s="85"/>
      <c r="C487" s="85"/>
      <c r="D487" s="85"/>
      <c r="E487" s="85"/>
      <c r="F487" s="85"/>
      <c r="G487" s="88"/>
      <c r="H487" s="88"/>
      <c r="I487" s="85" t="str">
        <f t="shared" si="1"/>
        <v/>
      </c>
    </row>
    <row r="488" ht="15.75" customHeight="1">
      <c r="A488" s="85"/>
      <c r="B488" s="85"/>
      <c r="C488" s="85"/>
      <c r="D488" s="85"/>
      <c r="E488" s="85"/>
      <c r="F488" s="85"/>
      <c r="G488" s="88"/>
      <c r="H488" s="88"/>
      <c r="I488" s="85" t="str">
        <f t="shared" si="1"/>
        <v/>
      </c>
    </row>
    <row r="489" ht="15.75" customHeight="1">
      <c r="A489" s="85"/>
      <c r="B489" s="85"/>
      <c r="C489" s="85"/>
      <c r="D489" s="85"/>
      <c r="E489" s="85"/>
      <c r="F489" s="85"/>
      <c r="G489" s="88"/>
      <c r="H489" s="88"/>
      <c r="I489" s="85" t="str">
        <f t="shared" si="1"/>
        <v/>
      </c>
    </row>
    <row r="490" ht="15.75" customHeight="1">
      <c r="A490" s="85"/>
      <c r="B490" s="85"/>
      <c r="C490" s="85"/>
      <c r="D490" s="85"/>
      <c r="E490" s="85"/>
      <c r="F490" s="85"/>
      <c r="G490" s="88"/>
      <c r="H490" s="88"/>
      <c r="I490" s="85" t="str">
        <f t="shared" si="1"/>
        <v/>
      </c>
    </row>
    <row r="491" ht="15.75" customHeight="1">
      <c r="A491" s="85"/>
      <c r="B491" s="85"/>
      <c r="C491" s="85"/>
      <c r="D491" s="85"/>
      <c r="E491" s="85"/>
      <c r="F491" s="85"/>
      <c r="G491" s="88"/>
      <c r="H491" s="88"/>
      <c r="I491" s="85" t="str">
        <f t="shared" si="1"/>
        <v/>
      </c>
    </row>
    <row r="492" ht="15.75" customHeight="1">
      <c r="A492" s="85"/>
      <c r="B492" s="85"/>
      <c r="C492" s="85"/>
      <c r="D492" s="85"/>
      <c r="E492" s="85"/>
      <c r="F492" s="85"/>
      <c r="G492" s="88"/>
      <c r="H492" s="88"/>
      <c r="I492" s="85" t="str">
        <f t="shared" si="1"/>
        <v/>
      </c>
    </row>
    <row r="493" ht="15.75" customHeight="1">
      <c r="A493" s="85"/>
      <c r="B493" s="85"/>
      <c r="C493" s="85"/>
      <c r="D493" s="85"/>
      <c r="E493" s="85"/>
      <c r="F493" s="85"/>
      <c r="G493" s="88"/>
      <c r="H493" s="88"/>
      <c r="I493" s="85" t="str">
        <f t="shared" si="1"/>
        <v/>
      </c>
    </row>
    <row r="494" ht="15.75" customHeight="1">
      <c r="A494" s="85"/>
      <c r="B494" s="85"/>
      <c r="C494" s="85"/>
      <c r="D494" s="85"/>
      <c r="E494" s="85"/>
      <c r="F494" s="85"/>
      <c r="G494" s="88"/>
      <c r="H494" s="88"/>
      <c r="I494" s="85" t="str">
        <f t="shared" si="1"/>
        <v/>
      </c>
    </row>
    <row r="495" ht="15.75" customHeight="1">
      <c r="A495" s="85"/>
      <c r="B495" s="85"/>
      <c r="C495" s="85"/>
      <c r="D495" s="85"/>
      <c r="E495" s="85"/>
      <c r="F495" s="85"/>
      <c r="G495" s="88"/>
      <c r="H495" s="88"/>
      <c r="I495" s="85" t="str">
        <f t="shared" si="1"/>
        <v/>
      </c>
    </row>
    <row r="496" ht="15.75" customHeight="1">
      <c r="A496" s="85"/>
      <c r="B496" s="85"/>
      <c r="C496" s="85"/>
      <c r="D496" s="85"/>
      <c r="E496" s="85"/>
      <c r="F496" s="85"/>
      <c r="G496" s="88"/>
      <c r="H496" s="88"/>
      <c r="I496" s="85" t="str">
        <f t="shared" si="1"/>
        <v/>
      </c>
    </row>
    <row r="497" ht="15.75" customHeight="1">
      <c r="A497" s="85"/>
      <c r="B497" s="85"/>
      <c r="C497" s="85"/>
      <c r="D497" s="85"/>
      <c r="E497" s="85"/>
      <c r="F497" s="85"/>
      <c r="G497" s="88"/>
      <c r="H497" s="88"/>
      <c r="I497" s="85" t="str">
        <f t="shared" si="1"/>
        <v/>
      </c>
    </row>
    <row r="498" ht="15.75" customHeight="1">
      <c r="A498" s="85"/>
      <c r="B498" s="85"/>
      <c r="C498" s="85"/>
      <c r="D498" s="85"/>
      <c r="E498" s="85"/>
      <c r="F498" s="85"/>
      <c r="G498" s="88"/>
      <c r="H498" s="88"/>
      <c r="I498" s="85" t="str">
        <f t="shared" si="1"/>
        <v/>
      </c>
    </row>
    <row r="499" ht="15.75" customHeight="1">
      <c r="A499" s="85"/>
      <c r="B499" s="85"/>
      <c r="C499" s="85"/>
      <c r="D499" s="85"/>
      <c r="E499" s="85"/>
      <c r="F499" s="85"/>
      <c r="G499" s="88"/>
      <c r="H499" s="88"/>
      <c r="I499" s="85" t="str">
        <f t="shared" si="1"/>
        <v/>
      </c>
    </row>
    <row r="500" ht="15.75" customHeight="1">
      <c r="A500" s="85"/>
      <c r="B500" s="85"/>
      <c r="C500" s="85"/>
      <c r="D500" s="85"/>
      <c r="E500" s="85"/>
      <c r="F500" s="85"/>
      <c r="G500" s="88"/>
      <c r="H500" s="88"/>
      <c r="I500" s="85" t="str">
        <f t="shared" si="1"/>
        <v/>
      </c>
    </row>
    <row r="501" ht="15.75" customHeight="1">
      <c r="A501" s="85"/>
      <c r="B501" s="85"/>
      <c r="C501" s="85"/>
      <c r="D501" s="85"/>
      <c r="E501" s="85"/>
      <c r="F501" s="85"/>
      <c r="G501" s="88"/>
      <c r="H501" s="88"/>
      <c r="I501" s="85" t="str">
        <f t="shared" si="1"/>
        <v/>
      </c>
    </row>
    <row r="502" ht="15.75" customHeight="1">
      <c r="A502" s="85"/>
      <c r="B502" s="85"/>
      <c r="C502" s="85"/>
      <c r="D502" s="85"/>
      <c r="E502" s="85"/>
      <c r="F502" s="85"/>
      <c r="G502" s="88"/>
      <c r="H502" s="88"/>
      <c r="I502" s="85" t="str">
        <f t="shared" si="1"/>
        <v/>
      </c>
    </row>
    <row r="503" ht="15.75" customHeight="1">
      <c r="A503" s="85"/>
      <c r="B503" s="85"/>
      <c r="C503" s="85"/>
      <c r="D503" s="85"/>
      <c r="E503" s="85"/>
      <c r="F503" s="85"/>
      <c r="G503" s="88"/>
      <c r="H503" s="88"/>
      <c r="I503" s="85" t="str">
        <f t="shared" si="1"/>
        <v/>
      </c>
    </row>
    <row r="504" ht="15.75" customHeight="1">
      <c r="A504" s="85"/>
      <c r="B504" s="85"/>
      <c r="C504" s="85"/>
      <c r="D504" s="85"/>
      <c r="E504" s="85"/>
      <c r="F504" s="85"/>
      <c r="G504" s="88"/>
      <c r="H504" s="88"/>
      <c r="I504" s="85" t="str">
        <f t="shared" si="1"/>
        <v/>
      </c>
    </row>
    <row r="505" ht="15.75" customHeight="1">
      <c r="A505" s="85"/>
      <c r="B505" s="85"/>
      <c r="C505" s="85"/>
      <c r="D505" s="85"/>
      <c r="E505" s="85"/>
      <c r="F505" s="85"/>
      <c r="G505" s="88"/>
      <c r="H505" s="88"/>
      <c r="I505" s="85" t="str">
        <f t="shared" si="1"/>
        <v/>
      </c>
    </row>
    <row r="506" ht="15.75" customHeight="1">
      <c r="A506" s="85"/>
      <c r="B506" s="85"/>
      <c r="C506" s="85"/>
      <c r="D506" s="85"/>
      <c r="E506" s="85"/>
      <c r="F506" s="85"/>
      <c r="G506" s="88"/>
      <c r="H506" s="88"/>
      <c r="I506" s="85" t="str">
        <f t="shared" si="1"/>
        <v/>
      </c>
    </row>
    <row r="507" ht="15.75" customHeight="1">
      <c r="A507" s="85"/>
      <c r="B507" s="85"/>
      <c r="C507" s="85"/>
      <c r="D507" s="85"/>
      <c r="E507" s="85"/>
      <c r="F507" s="85"/>
      <c r="G507" s="88"/>
      <c r="H507" s="88"/>
      <c r="I507" s="85" t="str">
        <f t="shared" si="1"/>
        <v/>
      </c>
    </row>
    <row r="508" ht="15.75" customHeight="1">
      <c r="A508" s="85"/>
      <c r="B508" s="85"/>
      <c r="C508" s="85"/>
      <c r="D508" s="85"/>
      <c r="E508" s="85"/>
      <c r="F508" s="85"/>
      <c r="G508" s="88"/>
      <c r="H508" s="88"/>
      <c r="I508" s="85" t="str">
        <f t="shared" si="1"/>
        <v/>
      </c>
    </row>
    <row r="509" ht="15.75" customHeight="1">
      <c r="A509" s="85"/>
      <c r="B509" s="85"/>
      <c r="C509" s="85"/>
      <c r="D509" s="85"/>
      <c r="E509" s="85"/>
      <c r="F509" s="85"/>
      <c r="G509" s="88"/>
      <c r="H509" s="88"/>
      <c r="I509" s="85" t="str">
        <f t="shared" si="1"/>
        <v/>
      </c>
    </row>
    <row r="510" ht="15.75" customHeight="1">
      <c r="A510" s="85"/>
      <c r="B510" s="85"/>
      <c r="C510" s="85"/>
      <c r="D510" s="85"/>
      <c r="E510" s="85"/>
      <c r="F510" s="85"/>
      <c r="G510" s="88"/>
      <c r="H510" s="88"/>
      <c r="I510" s="85" t="str">
        <f t="shared" si="1"/>
        <v/>
      </c>
    </row>
    <row r="511" ht="15.75" customHeight="1">
      <c r="A511" s="85"/>
      <c r="B511" s="85"/>
      <c r="C511" s="85"/>
      <c r="D511" s="85"/>
      <c r="E511" s="85"/>
      <c r="F511" s="85"/>
      <c r="G511" s="88"/>
      <c r="H511" s="88"/>
      <c r="I511" s="85" t="str">
        <f t="shared" si="1"/>
        <v/>
      </c>
    </row>
    <row r="512" ht="15.75" customHeight="1">
      <c r="A512" s="85"/>
      <c r="B512" s="85"/>
      <c r="C512" s="85"/>
      <c r="D512" s="85"/>
      <c r="E512" s="85"/>
      <c r="F512" s="85"/>
      <c r="G512" s="88"/>
      <c r="H512" s="88"/>
      <c r="I512" s="85" t="str">
        <f t="shared" si="1"/>
        <v/>
      </c>
    </row>
    <row r="513" ht="15.75" customHeight="1">
      <c r="A513" s="85"/>
      <c r="B513" s="85"/>
      <c r="C513" s="85"/>
      <c r="D513" s="85"/>
      <c r="E513" s="85"/>
      <c r="F513" s="85"/>
      <c r="G513" s="88"/>
      <c r="H513" s="88"/>
      <c r="I513" s="85" t="str">
        <f t="shared" si="1"/>
        <v/>
      </c>
    </row>
    <row r="514" ht="15.75" customHeight="1">
      <c r="A514" s="85"/>
      <c r="B514" s="85"/>
      <c r="C514" s="85"/>
      <c r="D514" s="85"/>
      <c r="E514" s="85"/>
      <c r="F514" s="85"/>
      <c r="G514" s="88"/>
      <c r="H514" s="88"/>
      <c r="I514" s="85" t="str">
        <f t="shared" si="1"/>
        <v/>
      </c>
    </row>
    <row r="515" ht="15.75" customHeight="1">
      <c r="A515" s="85"/>
      <c r="B515" s="85"/>
      <c r="C515" s="85"/>
      <c r="D515" s="85"/>
      <c r="E515" s="85"/>
      <c r="F515" s="85"/>
      <c r="G515" s="88"/>
      <c r="H515" s="88"/>
      <c r="I515" s="85" t="str">
        <f t="shared" si="1"/>
        <v/>
      </c>
    </row>
    <row r="516" ht="15.75" customHeight="1">
      <c r="A516" s="85"/>
      <c r="B516" s="85"/>
      <c r="C516" s="85"/>
      <c r="D516" s="85"/>
      <c r="E516" s="85"/>
      <c r="F516" s="85"/>
      <c r="G516" s="88"/>
      <c r="H516" s="88"/>
      <c r="I516" s="85" t="str">
        <f t="shared" si="1"/>
        <v/>
      </c>
    </row>
    <row r="517" ht="15.75" customHeight="1">
      <c r="A517" s="85"/>
      <c r="B517" s="85"/>
      <c r="C517" s="85"/>
      <c r="D517" s="85"/>
      <c r="E517" s="85"/>
      <c r="F517" s="85"/>
      <c r="G517" s="88"/>
      <c r="H517" s="88"/>
      <c r="I517" s="85" t="str">
        <f t="shared" si="1"/>
        <v/>
      </c>
    </row>
    <row r="518" ht="15.75" customHeight="1">
      <c r="A518" s="85"/>
      <c r="B518" s="85"/>
      <c r="C518" s="85"/>
      <c r="D518" s="85"/>
      <c r="E518" s="85"/>
      <c r="F518" s="85"/>
      <c r="G518" s="88"/>
      <c r="H518" s="88"/>
      <c r="I518" s="85" t="str">
        <f t="shared" si="1"/>
        <v/>
      </c>
    </row>
    <row r="519" ht="15.75" customHeight="1">
      <c r="A519" s="85"/>
      <c r="B519" s="85"/>
      <c r="C519" s="85"/>
      <c r="D519" s="85"/>
      <c r="E519" s="85"/>
      <c r="F519" s="85"/>
      <c r="G519" s="88"/>
      <c r="H519" s="88"/>
      <c r="I519" s="85" t="str">
        <f t="shared" si="1"/>
        <v/>
      </c>
    </row>
    <row r="520" ht="15.75" customHeight="1">
      <c r="A520" s="85"/>
      <c r="B520" s="85"/>
      <c r="C520" s="85"/>
      <c r="D520" s="85"/>
      <c r="E520" s="85"/>
      <c r="F520" s="85"/>
      <c r="G520" s="88"/>
      <c r="H520" s="88"/>
      <c r="I520" s="85" t="str">
        <f t="shared" si="1"/>
        <v/>
      </c>
    </row>
    <row r="521" ht="15.75" customHeight="1">
      <c r="A521" s="85"/>
      <c r="B521" s="85"/>
      <c r="C521" s="85"/>
      <c r="D521" s="85"/>
      <c r="E521" s="85"/>
      <c r="F521" s="85"/>
      <c r="G521" s="88"/>
      <c r="H521" s="88"/>
      <c r="I521" s="85" t="str">
        <f t="shared" si="1"/>
        <v/>
      </c>
    </row>
    <row r="522" ht="15.75" customHeight="1">
      <c r="A522" s="85"/>
      <c r="B522" s="85"/>
      <c r="C522" s="85"/>
      <c r="D522" s="85"/>
      <c r="E522" s="85"/>
      <c r="F522" s="85"/>
      <c r="G522" s="88"/>
      <c r="H522" s="88"/>
      <c r="I522" s="85" t="str">
        <f t="shared" si="1"/>
        <v/>
      </c>
    </row>
    <row r="523" ht="15.75" customHeight="1">
      <c r="A523" s="85"/>
      <c r="B523" s="85"/>
      <c r="C523" s="85"/>
      <c r="D523" s="85"/>
      <c r="E523" s="85"/>
      <c r="F523" s="85"/>
      <c r="G523" s="88"/>
      <c r="H523" s="88"/>
      <c r="I523" s="85" t="str">
        <f t="shared" si="1"/>
        <v/>
      </c>
    </row>
    <row r="524" ht="15.75" customHeight="1">
      <c r="A524" s="85"/>
      <c r="B524" s="85"/>
      <c r="C524" s="85"/>
      <c r="D524" s="85"/>
      <c r="E524" s="85"/>
      <c r="F524" s="85"/>
      <c r="G524" s="88"/>
      <c r="H524" s="88"/>
      <c r="I524" s="85" t="str">
        <f t="shared" si="1"/>
        <v/>
      </c>
    </row>
    <row r="525" ht="15.75" customHeight="1">
      <c r="A525" s="85"/>
      <c r="B525" s="85"/>
      <c r="C525" s="85"/>
      <c r="D525" s="85"/>
      <c r="E525" s="85"/>
      <c r="F525" s="85"/>
      <c r="G525" s="88"/>
      <c r="H525" s="88"/>
      <c r="I525" s="85" t="str">
        <f t="shared" si="1"/>
        <v/>
      </c>
    </row>
    <row r="526" ht="15.75" customHeight="1">
      <c r="A526" s="85"/>
      <c r="B526" s="85"/>
      <c r="C526" s="85"/>
      <c r="D526" s="85"/>
      <c r="E526" s="85"/>
      <c r="F526" s="85"/>
      <c r="G526" s="88"/>
      <c r="H526" s="88"/>
      <c r="I526" s="85" t="str">
        <f t="shared" si="1"/>
        <v/>
      </c>
    </row>
    <row r="527" ht="15.75" customHeight="1">
      <c r="A527" s="85"/>
      <c r="B527" s="85"/>
      <c r="C527" s="85"/>
      <c r="D527" s="85"/>
      <c r="E527" s="85"/>
      <c r="F527" s="85"/>
      <c r="G527" s="88"/>
      <c r="H527" s="88"/>
      <c r="I527" s="85" t="str">
        <f t="shared" si="1"/>
        <v/>
      </c>
    </row>
    <row r="528" ht="15.75" customHeight="1">
      <c r="A528" s="85"/>
      <c r="B528" s="85"/>
      <c r="C528" s="85"/>
      <c r="D528" s="85"/>
      <c r="E528" s="85"/>
      <c r="F528" s="85"/>
      <c r="G528" s="88"/>
      <c r="H528" s="88"/>
      <c r="I528" s="85" t="str">
        <f t="shared" si="1"/>
        <v/>
      </c>
    </row>
    <row r="529" ht="15.75" customHeight="1">
      <c r="A529" s="85"/>
      <c r="B529" s="85"/>
      <c r="C529" s="85"/>
      <c r="D529" s="85"/>
      <c r="E529" s="85"/>
      <c r="F529" s="85"/>
      <c r="G529" s="88"/>
      <c r="H529" s="88"/>
      <c r="I529" s="85" t="str">
        <f t="shared" si="1"/>
        <v/>
      </c>
    </row>
    <row r="530" ht="15.75" customHeight="1">
      <c r="A530" s="85"/>
      <c r="B530" s="85"/>
      <c r="C530" s="85"/>
      <c r="D530" s="85"/>
      <c r="E530" s="85"/>
      <c r="F530" s="85"/>
      <c r="G530" s="88"/>
      <c r="H530" s="88"/>
      <c r="I530" s="85" t="str">
        <f t="shared" si="1"/>
        <v/>
      </c>
    </row>
    <row r="531" ht="15.75" customHeight="1">
      <c r="A531" s="85"/>
      <c r="B531" s="85"/>
      <c r="C531" s="85"/>
      <c r="D531" s="85"/>
      <c r="E531" s="85"/>
      <c r="F531" s="85"/>
      <c r="G531" s="88"/>
      <c r="H531" s="88"/>
      <c r="I531" s="85" t="str">
        <f t="shared" si="1"/>
        <v/>
      </c>
    </row>
    <row r="532" ht="15.75" customHeight="1">
      <c r="A532" s="85"/>
      <c r="B532" s="85"/>
      <c r="C532" s="85"/>
      <c r="D532" s="85"/>
      <c r="E532" s="85"/>
      <c r="F532" s="85"/>
      <c r="G532" s="88"/>
      <c r="H532" s="88"/>
      <c r="I532" s="85" t="str">
        <f t="shared" si="1"/>
        <v/>
      </c>
    </row>
    <row r="533" ht="15.75" customHeight="1">
      <c r="A533" s="85"/>
      <c r="B533" s="85"/>
      <c r="C533" s="85"/>
      <c r="D533" s="85"/>
      <c r="E533" s="85"/>
      <c r="F533" s="85"/>
      <c r="G533" s="88"/>
      <c r="H533" s="88"/>
      <c r="I533" s="85" t="str">
        <f t="shared" si="1"/>
        <v/>
      </c>
    </row>
    <row r="534" ht="15.75" customHeight="1">
      <c r="A534" s="85"/>
      <c r="B534" s="85"/>
      <c r="C534" s="85"/>
      <c r="D534" s="85"/>
      <c r="E534" s="85"/>
      <c r="F534" s="85"/>
      <c r="G534" s="88"/>
      <c r="H534" s="88"/>
      <c r="I534" s="85" t="str">
        <f t="shared" si="1"/>
        <v/>
      </c>
    </row>
    <row r="535" ht="15.75" customHeight="1">
      <c r="A535" s="85"/>
      <c r="B535" s="85"/>
      <c r="C535" s="85"/>
      <c r="D535" s="85"/>
      <c r="E535" s="85"/>
      <c r="F535" s="85"/>
      <c r="G535" s="88"/>
      <c r="H535" s="88"/>
      <c r="I535" s="85" t="str">
        <f t="shared" si="1"/>
        <v/>
      </c>
    </row>
    <row r="536" ht="15.75" customHeight="1">
      <c r="A536" s="85"/>
      <c r="B536" s="85"/>
      <c r="C536" s="85"/>
      <c r="D536" s="85"/>
      <c r="E536" s="85"/>
      <c r="F536" s="85"/>
      <c r="G536" s="88"/>
      <c r="H536" s="88"/>
      <c r="I536" s="85" t="str">
        <f t="shared" si="1"/>
        <v/>
      </c>
    </row>
    <row r="537" ht="15.75" customHeight="1">
      <c r="A537" s="85"/>
      <c r="B537" s="85"/>
      <c r="C537" s="85"/>
      <c r="D537" s="85"/>
      <c r="E537" s="85"/>
      <c r="F537" s="85"/>
      <c r="G537" s="88"/>
      <c r="H537" s="88"/>
      <c r="I537" s="85" t="str">
        <f t="shared" si="1"/>
        <v/>
      </c>
    </row>
    <row r="538" ht="15.75" customHeight="1">
      <c r="A538" s="85"/>
      <c r="B538" s="85"/>
      <c r="C538" s="85"/>
      <c r="D538" s="85"/>
      <c r="E538" s="85"/>
      <c r="F538" s="85"/>
      <c r="G538" s="88"/>
      <c r="H538" s="88"/>
      <c r="I538" s="85" t="str">
        <f t="shared" si="1"/>
        <v/>
      </c>
    </row>
    <row r="539" ht="15.75" customHeight="1">
      <c r="A539" s="85"/>
      <c r="B539" s="85"/>
      <c r="C539" s="85"/>
      <c r="D539" s="85"/>
      <c r="E539" s="85"/>
      <c r="F539" s="85"/>
      <c r="G539" s="88"/>
      <c r="H539" s="88"/>
      <c r="I539" s="85" t="str">
        <f t="shared" si="1"/>
        <v/>
      </c>
    </row>
    <row r="540" ht="15.75" customHeight="1">
      <c r="A540" s="85"/>
      <c r="B540" s="85"/>
      <c r="C540" s="85"/>
      <c r="D540" s="85"/>
      <c r="E540" s="85"/>
      <c r="F540" s="85"/>
      <c r="G540" s="88"/>
      <c r="H540" s="88"/>
      <c r="I540" s="85" t="str">
        <f t="shared" si="1"/>
        <v/>
      </c>
    </row>
    <row r="541" ht="15.75" customHeight="1">
      <c r="A541" s="85"/>
      <c r="B541" s="85"/>
      <c r="C541" s="85"/>
      <c r="D541" s="85"/>
      <c r="E541" s="85"/>
      <c r="F541" s="85"/>
      <c r="G541" s="88"/>
      <c r="H541" s="88"/>
      <c r="I541" s="85" t="str">
        <f t="shared" si="1"/>
        <v/>
      </c>
    </row>
    <row r="542" ht="15.75" customHeight="1">
      <c r="A542" s="85"/>
      <c r="B542" s="85"/>
      <c r="C542" s="85"/>
      <c r="D542" s="85"/>
      <c r="E542" s="85"/>
      <c r="F542" s="85"/>
      <c r="G542" s="88"/>
      <c r="H542" s="88"/>
      <c r="I542" s="85" t="str">
        <f t="shared" si="1"/>
        <v/>
      </c>
    </row>
    <row r="543" ht="15.75" customHeight="1">
      <c r="A543" s="85"/>
      <c r="B543" s="85"/>
      <c r="C543" s="85"/>
      <c r="D543" s="85"/>
      <c r="E543" s="85"/>
      <c r="F543" s="85"/>
      <c r="G543" s="88"/>
      <c r="H543" s="88"/>
      <c r="I543" s="85" t="str">
        <f t="shared" si="1"/>
        <v/>
      </c>
    </row>
    <row r="544" ht="15.75" customHeight="1">
      <c r="A544" s="85"/>
      <c r="B544" s="85"/>
      <c r="C544" s="85"/>
      <c r="D544" s="85"/>
      <c r="E544" s="85"/>
      <c r="F544" s="85"/>
      <c r="G544" s="88"/>
      <c r="H544" s="88"/>
      <c r="I544" s="85" t="str">
        <f t="shared" si="1"/>
        <v/>
      </c>
    </row>
    <row r="545" ht="15.75" customHeight="1">
      <c r="A545" s="85"/>
      <c r="B545" s="85"/>
      <c r="C545" s="85"/>
      <c r="D545" s="85"/>
      <c r="E545" s="85"/>
      <c r="F545" s="85"/>
      <c r="G545" s="88"/>
      <c r="H545" s="88"/>
      <c r="I545" s="85" t="str">
        <f t="shared" si="1"/>
        <v/>
      </c>
    </row>
    <row r="546" ht="15.75" customHeight="1">
      <c r="A546" s="85"/>
      <c r="B546" s="85"/>
      <c r="C546" s="85"/>
      <c r="D546" s="85"/>
      <c r="E546" s="85"/>
      <c r="F546" s="85"/>
      <c r="G546" s="88"/>
      <c r="H546" s="88"/>
      <c r="I546" s="85" t="str">
        <f t="shared" si="1"/>
        <v/>
      </c>
    </row>
    <row r="547" ht="15.75" customHeight="1">
      <c r="A547" s="85"/>
      <c r="B547" s="85"/>
      <c r="C547" s="85"/>
      <c r="D547" s="85"/>
      <c r="E547" s="85"/>
      <c r="F547" s="85"/>
      <c r="G547" s="88"/>
      <c r="H547" s="88"/>
      <c r="I547" s="85" t="str">
        <f t="shared" si="1"/>
        <v/>
      </c>
    </row>
    <row r="548" ht="15.75" customHeight="1">
      <c r="A548" s="85"/>
      <c r="B548" s="85"/>
      <c r="C548" s="85"/>
      <c r="D548" s="85"/>
      <c r="E548" s="85"/>
      <c r="F548" s="85"/>
      <c r="G548" s="88"/>
      <c r="H548" s="88"/>
      <c r="I548" s="85" t="str">
        <f t="shared" si="1"/>
        <v/>
      </c>
    </row>
    <row r="549" ht="15.75" customHeight="1">
      <c r="A549" s="85"/>
      <c r="B549" s="85"/>
      <c r="C549" s="85"/>
      <c r="D549" s="85"/>
      <c r="E549" s="85"/>
      <c r="F549" s="85"/>
      <c r="G549" s="88"/>
      <c r="H549" s="88"/>
      <c r="I549" s="85" t="str">
        <f t="shared" si="1"/>
        <v/>
      </c>
    </row>
    <row r="550" ht="15.75" customHeight="1">
      <c r="A550" s="85"/>
      <c r="B550" s="85"/>
      <c r="C550" s="85"/>
      <c r="D550" s="85"/>
      <c r="E550" s="85"/>
      <c r="F550" s="85"/>
      <c r="G550" s="88"/>
      <c r="H550" s="88"/>
      <c r="I550" s="85" t="str">
        <f t="shared" si="1"/>
        <v/>
      </c>
    </row>
    <row r="551" ht="15.75" customHeight="1">
      <c r="A551" s="85"/>
      <c r="B551" s="85"/>
      <c r="C551" s="85"/>
      <c r="D551" s="85"/>
      <c r="E551" s="85"/>
      <c r="F551" s="85"/>
      <c r="G551" s="88"/>
      <c r="H551" s="88"/>
      <c r="I551" s="85" t="str">
        <f t="shared" si="1"/>
        <v/>
      </c>
    </row>
    <row r="552" ht="15.75" customHeight="1">
      <c r="A552" s="85"/>
      <c r="B552" s="85"/>
      <c r="C552" s="85"/>
      <c r="D552" s="85"/>
      <c r="E552" s="85"/>
      <c r="F552" s="85"/>
      <c r="G552" s="88"/>
      <c r="H552" s="88"/>
      <c r="I552" s="85" t="str">
        <f t="shared" si="1"/>
        <v/>
      </c>
    </row>
    <row r="553" ht="15.75" customHeight="1">
      <c r="A553" s="85"/>
      <c r="B553" s="85"/>
      <c r="C553" s="85"/>
      <c r="D553" s="85"/>
      <c r="E553" s="85"/>
      <c r="F553" s="85"/>
      <c r="G553" s="88"/>
      <c r="H553" s="88"/>
      <c r="I553" s="85" t="str">
        <f t="shared" si="1"/>
        <v/>
      </c>
    </row>
    <row r="554" ht="15.75" customHeight="1">
      <c r="A554" s="85"/>
      <c r="B554" s="85"/>
      <c r="C554" s="85"/>
      <c r="D554" s="85"/>
      <c r="E554" s="85"/>
      <c r="F554" s="85"/>
      <c r="G554" s="88"/>
      <c r="H554" s="88"/>
      <c r="I554" s="85" t="str">
        <f t="shared" si="1"/>
        <v/>
      </c>
    </row>
    <row r="555" ht="15.75" customHeight="1">
      <c r="A555" s="85"/>
      <c r="B555" s="85"/>
      <c r="C555" s="85"/>
      <c r="D555" s="85"/>
      <c r="E555" s="85"/>
      <c r="F555" s="85"/>
      <c r="G555" s="88"/>
      <c r="H555" s="88"/>
      <c r="I555" s="85" t="str">
        <f t="shared" si="1"/>
        <v/>
      </c>
    </row>
    <row r="556" ht="15.75" customHeight="1">
      <c r="A556" s="85"/>
      <c r="B556" s="85"/>
      <c r="C556" s="85"/>
      <c r="D556" s="85"/>
      <c r="E556" s="85"/>
      <c r="F556" s="85"/>
      <c r="G556" s="88"/>
      <c r="H556" s="88"/>
      <c r="I556" s="85" t="str">
        <f t="shared" si="1"/>
        <v/>
      </c>
    </row>
    <row r="557" ht="15.75" customHeight="1">
      <c r="A557" s="85"/>
      <c r="B557" s="85"/>
      <c r="C557" s="85"/>
      <c r="D557" s="85"/>
      <c r="E557" s="85"/>
      <c r="F557" s="85"/>
      <c r="G557" s="88"/>
      <c r="H557" s="88"/>
      <c r="I557" s="85" t="str">
        <f t="shared" si="1"/>
        <v/>
      </c>
    </row>
    <row r="558" ht="15.75" customHeight="1">
      <c r="A558" s="85"/>
      <c r="B558" s="85"/>
      <c r="C558" s="85"/>
      <c r="D558" s="85"/>
      <c r="E558" s="85"/>
      <c r="F558" s="85"/>
      <c r="G558" s="88"/>
      <c r="H558" s="88"/>
      <c r="I558" s="85" t="str">
        <f t="shared" si="1"/>
        <v/>
      </c>
    </row>
    <row r="559" ht="15.75" customHeight="1">
      <c r="A559" s="85"/>
      <c r="B559" s="85"/>
      <c r="C559" s="85"/>
      <c r="D559" s="85"/>
      <c r="E559" s="85"/>
      <c r="F559" s="85"/>
      <c r="G559" s="88"/>
      <c r="H559" s="88"/>
      <c r="I559" s="85" t="str">
        <f t="shared" si="1"/>
        <v/>
      </c>
    </row>
    <row r="560" ht="15.75" customHeight="1">
      <c r="A560" s="85"/>
      <c r="B560" s="85"/>
      <c r="C560" s="85"/>
      <c r="D560" s="85"/>
      <c r="E560" s="85"/>
      <c r="F560" s="85"/>
      <c r="G560" s="88"/>
      <c r="H560" s="88"/>
      <c r="I560" s="85" t="str">
        <f t="shared" si="1"/>
        <v/>
      </c>
    </row>
    <row r="561" ht="15.75" customHeight="1">
      <c r="A561" s="85"/>
      <c r="B561" s="85"/>
      <c r="C561" s="85"/>
      <c r="D561" s="85"/>
      <c r="E561" s="85"/>
      <c r="F561" s="85"/>
      <c r="G561" s="88"/>
      <c r="H561" s="88"/>
      <c r="I561" s="85" t="str">
        <f t="shared" si="1"/>
        <v/>
      </c>
    </row>
    <row r="562" ht="15.75" customHeight="1">
      <c r="A562" s="85"/>
      <c r="B562" s="85"/>
      <c r="C562" s="85"/>
      <c r="D562" s="85"/>
      <c r="E562" s="85"/>
      <c r="F562" s="85"/>
      <c r="G562" s="88"/>
      <c r="H562" s="88"/>
      <c r="I562" s="85" t="str">
        <f t="shared" si="1"/>
        <v/>
      </c>
    </row>
    <row r="563" ht="15.75" customHeight="1">
      <c r="A563" s="85"/>
      <c r="B563" s="85"/>
      <c r="C563" s="85"/>
      <c r="D563" s="85"/>
      <c r="E563" s="85"/>
      <c r="F563" s="85"/>
      <c r="G563" s="88"/>
      <c r="H563" s="88"/>
      <c r="I563" s="85" t="str">
        <f t="shared" si="1"/>
        <v/>
      </c>
    </row>
    <row r="564" ht="15.75" customHeight="1">
      <c r="A564" s="85"/>
      <c r="B564" s="85"/>
      <c r="C564" s="85"/>
      <c r="D564" s="85"/>
      <c r="E564" s="85"/>
      <c r="F564" s="85"/>
      <c r="G564" s="88"/>
      <c r="H564" s="88"/>
      <c r="I564" s="85" t="str">
        <f t="shared" si="1"/>
        <v/>
      </c>
    </row>
    <row r="565" ht="15.75" customHeight="1">
      <c r="A565" s="85"/>
      <c r="B565" s="85"/>
      <c r="C565" s="85"/>
      <c r="D565" s="85"/>
      <c r="E565" s="85"/>
      <c r="F565" s="85"/>
      <c r="G565" s="88"/>
      <c r="H565" s="88"/>
      <c r="I565" s="85" t="str">
        <f t="shared" si="1"/>
        <v/>
      </c>
    </row>
    <row r="566" ht="15.75" customHeight="1">
      <c r="A566" s="85"/>
      <c r="B566" s="85"/>
      <c r="C566" s="85"/>
      <c r="D566" s="85"/>
      <c r="E566" s="85"/>
      <c r="F566" s="85"/>
      <c r="G566" s="88"/>
      <c r="H566" s="88"/>
      <c r="I566" s="85" t="str">
        <f t="shared" si="1"/>
        <v/>
      </c>
    </row>
    <row r="567" ht="15.75" customHeight="1">
      <c r="A567" s="85"/>
      <c r="B567" s="85"/>
      <c r="C567" s="85"/>
      <c r="D567" s="85"/>
      <c r="E567" s="85"/>
      <c r="F567" s="85"/>
      <c r="G567" s="88"/>
      <c r="H567" s="88"/>
      <c r="I567" s="85" t="str">
        <f t="shared" si="1"/>
        <v/>
      </c>
    </row>
    <row r="568" ht="15.75" customHeight="1">
      <c r="A568" s="85"/>
      <c r="B568" s="85"/>
      <c r="C568" s="85"/>
      <c r="D568" s="85"/>
      <c r="E568" s="85"/>
      <c r="F568" s="85"/>
      <c r="G568" s="88"/>
      <c r="H568" s="88"/>
      <c r="I568" s="85" t="str">
        <f t="shared" si="1"/>
        <v/>
      </c>
    </row>
    <row r="569" ht="15.75" customHeight="1">
      <c r="A569" s="85"/>
      <c r="B569" s="85"/>
      <c r="C569" s="85"/>
      <c r="D569" s="85"/>
      <c r="E569" s="85"/>
      <c r="F569" s="85"/>
      <c r="G569" s="88"/>
      <c r="H569" s="88"/>
      <c r="I569" s="85" t="str">
        <f t="shared" si="1"/>
        <v/>
      </c>
    </row>
    <row r="570" ht="15.75" customHeight="1">
      <c r="A570" s="85"/>
      <c r="B570" s="85"/>
      <c r="C570" s="85"/>
      <c r="D570" s="85"/>
      <c r="E570" s="85"/>
      <c r="F570" s="85"/>
      <c r="G570" s="88"/>
      <c r="H570" s="88"/>
      <c r="I570" s="85" t="str">
        <f t="shared" si="1"/>
        <v/>
      </c>
    </row>
    <row r="571" ht="15.75" customHeight="1">
      <c r="A571" s="85"/>
      <c r="B571" s="85"/>
      <c r="C571" s="85"/>
      <c r="D571" s="85"/>
      <c r="E571" s="85"/>
      <c r="F571" s="85"/>
      <c r="G571" s="88"/>
      <c r="H571" s="88"/>
      <c r="I571" s="85" t="str">
        <f t="shared" si="1"/>
        <v/>
      </c>
    </row>
    <row r="572" ht="15.75" customHeight="1">
      <c r="A572" s="85"/>
      <c r="B572" s="85"/>
      <c r="C572" s="85"/>
      <c r="D572" s="85"/>
      <c r="E572" s="85"/>
      <c r="F572" s="85"/>
      <c r="G572" s="88"/>
      <c r="H572" s="88"/>
      <c r="I572" s="85" t="str">
        <f t="shared" si="1"/>
        <v/>
      </c>
    </row>
    <row r="573" ht="15.75" customHeight="1">
      <c r="A573" s="85"/>
      <c r="B573" s="85"/>
      <c r="C573" s="85"/>
      <c r="D573" s="85"/>
      <c r="E573" s="85"/>
      <c r="F573" s="85"/>
      <c r="G573" s="88"/>
      <c r="H573" s="88"/>
      <c r="I573" s="85" t="str">
        <f t="shared" si="1"/>
        <v/>
      </c>
    </row>
    <row r="574" ht="15.75" customHeight="1">
      <c r="A574" s="85"/>
      <c r="B574" s="85"/>
      <c r="C574" s="85"/>
      <c r="D574" s="85"/>
      <c r="E574" s="85"/>
      <c r="F574" s="85"/>
      <c r="G574" s="88"/>
      <c r="H574" s="88"/>
      <c r="I574" s="85" t="str">
        <f t="shared" si="1"/>
        <v/>
      </c>
    </row>
    <row r="575" ht="15.75" customHeight="1">
      <c r="A575" s="85"/>
      <c r="B575" s="85"/>
      <c r="C575" s="85"/>
      <c r="D575" s="85"/>
      <c r="E575" s="85"/>
      <c r="F575" s="85"/>
      <c r="G575" s="88"/>
      <c r="H575" s="88"/>
      <c r="I575" s="85" t="str">
        <f t="shared" si="1"/>
        <v/>
      </c>
    </row>
    <row r="576" ht="15.75" customHeight="1">
      <c r="A576" s="85"/>
      <c r="B576" s="85"/>
      <c r="C576" s="85"/>
      <c r="D576" s="85"/>
      <c r="E576" s="85"/>
      <c r="F576" s="85"/>
      <c r="G576" s="88"/>
      <c r="H576" s="88"/>
      <c r="I576" s="85" t="str">
        <f t="shared" si="1"/>
        <v/>
      </c>
    </row>
    <row r="577" ht="15.75" customHeight="1">
      <c r="A577" s="85"/>
      <c r="B577" s="85"/>
      <c r="C577" s="85"/>
      <c r="D577" s="85"/>
      <c r="E577" s="85"/>
      <c r="F577" s="85"/>
      <c r="G577" s="88"/>
      <c r="H577" s="88"/>
      <c r="I577" s="85" t="str">
        <f t="shared" si="1"/>
        <v/>
      </c>
    </row>
    <row r="578" ht="15.75" customHeight="1">
      <c r="A578" s="85"/>
      <c r="B578" s="85"/>
      <c r="C578" s="85"/>
      <c r="D578" s="85"/>
      <c r="E578" s="85"/>
      <c r="F578" s="85"/>
      <c r="G578" s="88"/>
      <c r="H578" s="88"/>
      <c r="I578" s="85" t="str">
        <f t="shared" si="1"/>
        <v/>
      </c>
    </row>
    <row r="579" ht="15.75" customHeight="1">
      <c r="A579" s="85"/>
      <c r="B579" s="85"/>
      <c r="C579" s="85"/>
      <c r="D579" s="85"/>
      <c r="E579" s="85"/>
      <c r="F579" s="85"/>
      <c r="G579" s="88"/>
      <c r="H579" s="88"/>
      <c r="I579" s="85" t="str">
        <f t="shared" si="1"/>
        <v/>
      </c>
    </row>
    <row r="580" ht="15.75" customHeight="1">
      <c r="A580" s="85"/>
      <c r="B580" s="85"/>
      <c r="C580" s="85"/>
      <c r="D580" s="85"/>
      <c r="E580" s="85"/>
      <c r="F580" s="85"/>
      <c r="G580" s="88"/>
      <c r="H580" s="88"/>
      <c r="I580" s="85" t="str">
        <f t="shared" si="1"/>
        <v/>
      </c>
    </row>
    <row r="581" ht="15.75" customHeight="1">
      <c r="A581" s="85"/>
      <c r="B581" s="85"/>
      <c r="C581" s="85"/>
      <c r="D581" s="85"/>
      <c r="E581" s="85"/>
      <c r="F581" s="85"/>
      <c r="G581" s="88"/>
      <c r="H581" s="88"/>
      <c r="I581" s="85" t="str">
        <f t="shared" si="1"/>
        <v/>
      </c>
    </row>
    <row r="582" ht="15.75" customHeight="1">
      <c r="A582" s="85"/>
      <c r="B582" s="85"/>
      <c r="C582" s="85"/>
      <c r="D582" s="85"/>
      <c r="E582" s="85"/>
      <c r="F582" s="85"/>
      <c r="G582" s="88"/>
      <c r="H582" s="88"/>
      <c r="I582" s="85" t="str">
        <f t="shared" si="1"/>
        <v/>
      </c>
    </row>
    <row r="583" ht="15.75" customHeight="1">
      <c r="A583" s="85"/>
      <c r="B583" s="85"/>
      <c r="C583" s="85"/>
      <c r="D583" s="85"/>
      <c r="E583" s="85"/>
      <c r="F583" s="85"/>
      <c r="G583" s="88"/>
      <c r="H583" s="88"/>
      <c r="I583" s="85" t="str">
        <f t="shared" si="1"/>
        <v/>
      </c>
    </row>
    <row r="584" ht="15.75" customHeight="1">
      <c r="A584" s="85"/>
      <c r="B584" s="85"/>
      <c r="C584" s="85"/>
      <c r="D584" s="85"/>
      <c r="E584" s="85"/>
      <c r="F584" s="85"/>
      <c r="G584" s="88"/>
      <c r="H584" s="88"/>
      <c r="I584" s="85" t="str">
        <f t="shared" si="1"/>
        <v/>
      </c>
    </row>
    <row r="585" ht="15.75" customHeight="1">
      <c r="A585" s="85"/>
      <c r="B585" s="85"/>
      <c r="C585" s="85"/>
      <c r="D585" s="85"/>
      <c r="E585" s="85"/>
      <c r="F585" s="85"/>
      <c r="G585" s="88"/>
      <c r="H585" s="88"/>
      <c r="I585" s="85" t="str">
        <f t="shared" si="1"/>
        <v/>
      </c>
    </row>
    <row r="586" ht="15.75" customHeight="1">
      <c r="A586" s="85"/>
      <c r="B586" s="85"/>
      <c r="C586" s="85"/>
      <c r="D586" s="85"/>
      <c r="E586" s="85"/>
      <c r="F586" s="85"/>
      <c r="G586" s="88"/>
      <c r="H586" s="88"/>
      <c r="I586" s="85" t="str">
        <f t="shared" si="1"/>
        <v/>
      </c>
    </row>
    <row r="587" ht="15.75" customHeight="1">
      <c r="A587" s="85"/>
      <c r="B587" s="85"/>
      <c r="C587" s="85"/>
      <c r="D587" s="85"/>
      <c r="E587" s="85"/>
      <c r="F587" s="85"/>
      <c r="G587" s="88"/>
      <c r="H587" s="88"/>
      <c r="I587" s="85" t="str">
        <f t="shared" si="1"/>
        <v/>
      </c>
    </row>
    <row r="588" ht="15.75" customHeight="1">
      <c r="A588" s="85"/>
      <c r="B588" s="85"/>
      <c r="C588" s="85"/>
      <c r="D588" s="85"/>
      <c r="E588" s="85"/>
      <c r="F588" s="85"/>
      <c r="G588" s="88"/>
      <c r="H588" s="88"/>
      <c r="I588" s="85" t="str">
        <f t="shared" si="1"/>
        <v/>
      </c>
    </row>
    <row r="589" ht="15.75" customHeight="1">
      <c r="A589" s="85"/>
      <c r="B589" s="85"/>
      <c r="C589" s="85"/>
      <c r="D589" s="85"/>
      <c r="E589" s="85"/>
      <c r="F589" s="85"/>
      <c r="G589" s="88"/>
      <c r="H589" s="88"/>
      <c r="I589" s="85" t="str">
        <f t="shared" si="1"/>
        <v/>
      </c>
    </row>
    <row r="590" ht="15.75" customHeight="1">
      <c r="A590" s="85"/>
      <c r="B590" s="85"/>
      <c r="C590" s="85"/>
      <c r="D590" s="85"/>
      <c r="E590" s="85"/>
      <c r="F590" s="85"/>
      <c r="G590" s="88"/>
      <c r="H590" s="88"/>
      <c r="I590" s="85" t="str">
        <f t="shared" si="1"/>
        <v/>
      </c>
    </row>
    <row r="591" ht="15.75" customHeight="1">
      <c r="A591" s="85"/>
      <c r="B591" s="85"/>
      <c r="C591" s="85"/>
      <c r="D591" s="85"/>
      <c r="E591" s="85"/>
      <c r="F591" s="85"/>
      <c r="G591" s="88"/>
      <c r="H591" s="88"/>
      <c r="I591" s="85" t="str">
        <f t="shared" si="1"/>
        <v/>
      </c>
    </row>
    <row r="592" ht="15.75" customHeight="1">
      <c r="A592" s="85"/>
      <c r="B592" s="85"/>
      <c r="C592" s="85"/>
      <c r="D592" s="85"/>
      <c r="E592" s="85"/>
      <c r="F592" s="85"/>
      <c r="G592" s="88"/>
      <c r="H592" s="88"/>
      <c r="I592" s="85" t="str">
        <f t="shared" si="1"/>
        <v/>
      </c>
    </row>
    <row r="593" ht="15.75" customHeight="1">
      <c r="A593" s="85"/>
      <c r="B593" s="85"/>
      <c r="C593" s="85"/>
      <c r="D593" s="85"/>
      <c r="E593" s="85"/>
      <c r="F593" s="85"/>
      <c r="G593" s="88"/>
      <c r="H593" s="88"/>
      <c r="I593" s="85" t="str">
        <f t="shared" si="1"/>
        <v/>
      </c>
    </row>
    <row r="594" ht="15.75" customHeight="1">
      <c r="A594" s="85"/>
      <c r="B594" s="85"/>
      <c r="C594" s="85"/>
      <c r="D594" s="85"/>
      <c r="E594" s="85"/>
      <c r="F594" s="85"/>
      <c r="G594" s="88"/>
      <c r="H594" s="88"/>
      <c r="I594" s="85" t="str">
        <f t="shared" si="1"/>
        <v/>
      </c>
    </row>
    <row r="595" ht="15.75" customHeight="1">
      <c r="A595" s="85"/>
      <c r="B595" s="85"/>
      <c r="C595" s="85"/>
      <c r="D595" s="85"/>
      <c r="E595" s="85"/>
      <c r="F595" s="85"/>
      <c r="G595" s="88"/>
      <c r="H595" s="88"/>
      <c r="I595" s="85" t="str">
        <f t="shared" si="1"/>
        <v/>
      </c>
    </row>
    <row r="596" ht="15.75" customHeight="1">
      <c r="A596" s="85"/>
      <c r="B596" s="85"/>
      <c r="C596" s="85"/>
      <c r="D596" s="85"/>
      <c r="E596" s="85"/>
      <c r="F596" s="85"/>
      <c r="G596" s="88"/>
      <c r="H596" s="88"/>
      <c r="I596" s="85" t="str">
        <f t="shared" si="1"/>
        <v/>
      </c>
    </row>
    <row r="597" ht="15.75" customHeight="1">
      <c r="A597" s="85"/>
      <c r="B597" s="85"/>
      <c r="C597" s="85"/>
      <c r="D597" s="85"/>
      <c r="E597" s="85"/>
      <c r="F597" s="85"/>
      <c r="G597" s="88"/>
      <c r="H597" s="88"/>
      <c r="I597" s="85" t="str">
        <f t="shared" si="1"/>
        <v/>
      </c>
    </row>
    <row r="598" ht="15.75" customHeight="1">
      <c r="A598" s="85"/>
      <c r="B598" s="85"/>
      <c r="C598" s="85"/>
      <c r="D598" s="85"/>
      <c r="E598" s="85"/>
      <c r="F598" s="85"/>
      <c r="G598" s="88"/>
      <c r="H598" s="88"/>
      <c r="I598" s="85" t="str">
        <f t="shared" si="1"/>
        <v/>
      </c>
    </row>
    <row r="599" ht="15.75" customHeight="1">
      <c r="A599" s="85"/>
      <c r="B599" s="85"/>
      <c r="C599" s="85"/>
      <c r="D599" s="85"/>
      <c r="E599" s="85"/>
      <c r="F599" s="85"/>
      <c r="G599" s="88"/>
      <c r="H599" s="88"/>
      <c r="I599" s="85" t="str">
        <f t="shared" si="1"/>
        <v/>
      </c>
    </row>
    <row r="600" ht="15.75" customHeight="1">
      <c r="A600" s="85"/>
      <c r="B600" s="85"/>
      <c r="C600" s="85"/>
      <c r="D600" s="85"/>
      <c r="E600" s="85"/>
      <c r="F600" s="85"/>
      <c r="G600" s="88"/>
      <c r="H600" s="88"/>
      <c r="I600" s="85" t="str">
        <f t="shared" si="1"/>
        <v/>
      </c>
    </row>
    <row r="601" ht="15.75" customHeight="1">
      <c r="A601" s="85"/>
      <c r="B601" s="85"/>
      <c r="C601" s="85"/>
      <c r="D601" s="85"/>
      <c r="E601" s="85"/>
      <c r="F601" s="85"/>
      <c r="G601" s="88"/>
      <c r="H601" s="88"/>
      <c r="I601" s="85" t="str">
        <f t="shared" si="1"/>
        <v/>
      </c>
    </row>
    <row r="602" ht="15.75" customHeight="1">
      <c r="A602" s="85"/>
      <c r="B602" s="85"/>
      <c r="C602" s="85"/>
      <c r="D602" s="85"/>
      <c r="E602" s="85"/>
      <c r="F602" s="85"/>
      <c r="G602" s="88"/>
      <c r="H602" s="88"/>
      <c r="I602" s="85" t="str">
        <f t="shared" si="1"/>
        <v/>
      </c>
    </row>
    <row r="603" ht="15.75" customHeight="1">
      <c r="A603" s="85"/>
      <c r="B603" s="85"/>
      <c r="C603" s="85"/>
      <c r="D603" s="85"/>
      <c r="E603" s="85"/>
      <c r="F603" s="85"/>
      <c r="G603" s="88"/>
      <c r="H603" s="88"/>
      <c r="I603" s="85" t="str">
        <f t="shared" si="1"/>
        <v/>
      </c>
    </row>
    <row r="604" ht="15.75" customHeight="1">
      <c r="A604" s="85"/>
      <c r="B604" s="85"/>
      <c r="C604" s="85"/>
      <c r="D604" s="85"/>
      <c r="E604" s="85"/>
      <c r="F604" s="85"/>
      <c r="G604" s="88"/>
      <c r="H604" s="88"/>
      <c r="I604" s="85" t="str">
        <f t="shared" si="1"/>
        <v/>
      </c>
    </row>
    <row r="605" ht="15.75" customHeight="1">
      <c r="A605" s="85"/>
      <c r="B605" s="85"/>
      <c r="C605" s="85"/>
      <c r="D605" s="85"/>
      <c r="E605" s="85"/>
      <c r="F605" s="85"/>
      <c r="G605" s="88"/>
      <c r="H605" s="88"/>
      <c r="I605" s="85" t="str">
        <f t="shared" si="1"/>
        <v/>
      </c>
    </row>
    <row r="606" ht="15.75" customHeight="1">
      <c r="A606" s="85"/>
      <c r="B606" s="85"/>
      <c r="C606" s="85"/>
      <c r="D606" s="85"/>
      <c r="E606" s="85"/>
      <c r="F606" s="85"/>
      <c r="G606" s="88"/>
      <c r="H606" s="88"/>
      <c r="I606" s="85" t="str">
        <f t="shared" si="1"/>
        <v/>
      </c>
    </row>
    <row r="607" ht="15.75" customHeight="1">
      <c r="A607" s="85"/>
      <c r="B607" s="85"/>
      <c r="C607" s="85"/>
      <c r="D607" s="85"/>
      <c r="E607" s="85"/>
      <c r="F607" s="85"/>
      <c r="G607" s="88"/>
      <c r="H607" s="88"/>
      <c r="I607" s="85" t="str">
        <f t="shared" si="1"/>
        <v/>
      </c>
    </row>
    <row r="608" ht="15.75" customHeight="1">
      <c r="A608" s="85"/>
      <c r="B608" s="85"/>
      <c r="C608" s="85"/>
      <c r="D608" s="85"/>
      <c r="E608" s="85"/>
      <c r="F608" s="85"/>
      <c r="G608" s="88"/>
      <c r="H608" s="88"/>
      <c r="I608" s="85" t="str">
        <f t="shared" si="1"/>
        <v/>
      </c>
    </row>
    <row r="609" ht="15.75" customHeight="1">
      <c r="A609" s="85"/>
      <c r="B609" s="85"/>
      <c r="C609" s="85"/>
      <c r="D609" s="85"/>
      <c r="E609" s="85"/>
      <c r="F609" s="85"/>
      <c r="G609" s="88"/>
      <c r="H609" s="88"/>
      <c r="I609" s="85" t="str">
        <f t="shared" si="1"/>
        <v/>
      </c>
    </row>
    <row r="610" ht="15.75" customHeight="1">
      <c r="A610" s="85"/>
      <c r="B610" s="85"/>
      <c r="C610" s="85"/>
      <c r="D610" s="85"/>
      <c r="E610" s="85"/>
      <c r="F610" s="85"/>
      <c r="G610" s="88"/>
      <c r="H610" s="88"/>
      <c r="I610" s="85" t="str">
        <f t="shared" si="1"/>
        <v/>
      </c>
    </row>
    <row r="611" ht="15.75" customHeight="1">
      <c r="A611" s="85"/>
      <c r="B611" s="85"/>
      <c r="C611" s="85"/>
      <c r="D611" s="85"/>
      <c r="E611" s="85"/>
      <c r="F611" s="85"/>
      <c r="G611" s="88"/>
      <c r="H611" s="88"/>
      <c r="I611" s="85" t="str">
        <f t="shared" si="1"/>
        <v/>
      </c>
    </row>
    <row r="612" ht="15.75" customHeight="1">
      <c r="A612" s="85"/>
      <c r="B612" s="85"/>
      <c r="C612" s="85"/>
      <c r="D612" s="85"/>
      <c r="E612" s="85"/>
      <c r="F612" s="85"/>
      <c r="G612" s="88"/>
      <c r="H612" s="88"/>
      <c r="I612" s="85" t="str">
        <f t="shared" si="1"/>
        <v/>
      </c>
    </row>
    <row r="613" ht="15.75" customHeight="1">
      <c r="A613" s="85"/>
      <c r="B613" s="85"/>
      <c r="C613" s="85"/>
      <c r="D613" s="85"/>
      <c r="E613" s="85"/>
      <c r="F613" s="85"/>
      <c r="G613" s="88"/>
      <c r="H613" s="88"/>
      <c r="I613" s="85" t="str">
        <f t="shared" si="1"/>
        <v/>
      </c>
    </row>
    <row r="614" ht="15.75" customHeight="1">
      <c r="A614" s="85"/>
      <c r="B614" s="85"/>
      <c r="C614" s="85"/>
      <c r="D614" s="85"/>
      <c r="E614" s="85"/>
      <c r="F614" s="85"/>
      <c r="G614" s="88"/>
      <c r="H614" s="88"/>
      <c r="I614" s="85" t="str">
        <f t="shared" si="1"/>
        <v/>
      </c>
    </row>
    <row r="615" ht="15.75" customHeight="1">
      <c r="A615" s="85"/>
      <c r="B615" s="85"/>
      <c r="C615" s="85"/>
      <c r="D615" s="85"/>
      <c r="E615" s="85"/>
      <c r="F615" s="85"/>
      <c r="G615" s="88"/>
      <c r="H615" s="88"/>
      <c r="I615" s="85" t="str">
        <f t="shared" si="1"/>
        <v/>
      </c>
    </row>
    <row r="616" ht="15.75" customHeight="1">
      <c r="A616" s="85"/>
      <c r="B616" s="85"/>
      <c r="C616" s="85"/>
      <c r="D616" s="85"/>
      <c r="E616" s="85"/>
      <c r="F616" s="85"/>
      <c r="G616" s="88"/>
      <c r="H616" s="88"/>
      <c r="I616" s="85" t="str">
        <f t="shared" si="1"/>
        <v/>
      </c>
    </row>
    <row r="617" ht="15.75" customHeight="1">
      <c r="A617" s="85"/>
      <c r="B617" s="85"/>
      <c r="C617" s="85"/>
      <c r="D617" s="85"/>
      <c r="E617" s="85"/>
      <c r="F617" s="85"/>
      <c r="G617" s="88"/>
      <c r="H617" s="88"/>
      <c r="I617" s="85" t="str">
        <f t="shared" si="1"/>
        <v/>
      </c>
    </row>
    <row r="618" ht="15.75" customHeight="1">
      <c r="A618" s="85"/>
      <c r="B618" s="85"/>
      <c r="C618" s="85"/>
      <c r="D618" s="85"/>
      <c r="E618" s="85"/>
      <c r="F618" s="85"/>
      <c r="G618" s="88"/>
      <c r="H618" s="88"/>
      <c r="I618" s="85" t="str">
        <f t="shared" si="1"/>
        <v/>
      </c>
    </row>
    <row r="619" ht="15.75" customHeight="1">
      <c r="A619" s="85"/>
      <c r="B619" s="85"/>
      <c r="C619" s="85"/>
      <c r="D619" s="85"/>
      <c r="E619" s="85"/>
      <c r="F619" s="85"/>
      <c r="G619" s="88"/>
      <c r="H619" s="88"/>
      <c r="I619" s="85" t="str">
        <f t="shared" si="1"/>
        <v/>
      </c>
    </row>
    <row r="620" ht="15.75" customHeight="1">
      <c r="A620" s="85"/>
      <c r="B620" s="85"/>
      <c r="C620" s="85"/>
      <c r="D620" s="85"/>
      <c r="E620" s="85"/>
      <c r="F620" s="85"/>
      <c r="G620" s="88"/>
      <c r="H620" s="88"/>
      <c r="I620" s="85" t="str">
        <f t="shared" si="1"/>
        <v/>
      </c>
    </row>
    <row r="621" ht="15.75" customHeight="1">
      <c r="A621" s="85"/>
      <c r="B621" s="85"/>
      <c r="C621" s="85"/>
      <c r="D621" s="85"/>
      <c r="E621" s="85"/>
      <c r="F621" s="85"/>
      <c r="G621" s="88"/>
      <c r="H621" s="88"/>
      <c r="I621" s="85" t="str">
        <f t="shared" si="1"/>
        <v/>
      </c>
    </row>
    <row r="622" ht="15.75" customHeight="1">
      <c r="A622" s="85"/>
      <c r="B622" s="85"/>
      <c r="C622" s="85"/>
      <c r="D622" s="85"/>
      <c r="E622" s="85"/>
      <c r="F622" s="85"/>
      <c r="G622" s="88"/>
      <c r="H622" s="88"/>
      <c r="I622" s="85" t="str">
        <f t="shared" si="1"/>
        <v/>
      </c>
    </row>
    <row r="623" ht="15.75" customHeight="1">
      <c r="A623" s="85"/>
      <c r="B623" s="85"/>
      <c r="C623" s="85"/>
      <c r="D623" s="85"/>
      <c r="E623" s="85"/>
      <c r="F623" s="85"/>
      <c r="G623" s="88"/>
      <c r="H623" s="88"/>
      <c r="I623" s="85" t="str">
        <f t="shared" si="1"/>
        <v/>
      </c>
    </row>
    <row r="624" ht="15.75" customHeight="1">
      <c r="A624" s="85"/>
      <c r="B624" s="85"/>
      <c r="C624" s="85"/>
      <c r="D624" s="85"/>
      <c r="E624" s="85"/>
      <c r="F624" s="85"/>
      <c r="G624" s="88"/>
      <c r="H624" s="88"/>
      <c r="I624" s="85" t="str">
        <f t="shared" si="1"/>
        <v/>
      </c>
    </row>
    <row r="625" ht="15.75" customHeight="1">
      <c r="A625" s="85"/>
      <c r="B625" s="85"/>
      <c r="C625" s="85"/>
      <c r="D625" s="85"/>
      <c r="E625" s="85"/>
      <c r="F625" s="85"/>
      <c r="G625" s="88"/>
      <c r="H625" s="88"/>
      <c r="I625" s="85" t="str">
        <f t="shared" si="1"/>
        <v/>
      </c>
    </row>
    <row r="626" ht="15.75" customHeight="1">
      <c r="A626" s="85"/>
      <c r="B626" s="85"/>
      <c r="C626" s="85"/>
      <c r="D626" s="85"/>
      <c r="E626" s="85"/>
      <c r="F626" s="85"/>
      <c r="G626" s="88"/>
      <c r="H626" s="88"/>
      <c r="I626" s="85" t="str">
        <f t="shared" si="1"/>
        <v/>
      </c>
    </row>
    <row r="627" ht="15.75" customHeight="1">
      <c r="A627" s="85"/>
      <c r="B627" s="85"/>
      <c r="C627" s="85"/>
      <c r="D627" s="85"/>
      <c r="E627" s="85"/>
      <c r="F627" s="85"/>
      <c r="G627" s="88"/>
      <c r="H627" s="88"/>
      <c r="I627" s="85" t="str">
        <f t="shared" si="1"/>
        <v/>
      </c>
    </row>
    <row r="628" ht="15.75" customHeight="1">
      <c r="A628" s="85"/>
      <c r="B628" s="85"/>
      <c r="C628" s="85"/>
      <c r="D628" s="85"/>
      <c r="E628" s="85"/>
      <c r="F628" s="85"/>
      <c r="G628" s="88"/>
      <c r="H628" s="88"/>
      <c r="I628" s="85" t="str">
        <f t="shared" si="1"/>
        <v/>
      </c>
    </row>
    <row r="629" ht="15.75" customHeight="1">
      <c r="A629" s="85"/>
      <c r="B629" s="85"/>
      <c r="C629" s="85"/>
      <c r="D629" s="85"/>
      <c r="E629" s="85"/>
      <c r="F629" s="85"/>
      <c r="G629" s="88"/>
      <c r="H629" s="88"/>
      <c r="I629" s="85" t="str">
        <f t="shared" si="1"/>
        <v/>
      </c>
    </row>
    <row r="630" ht="15.75" customHeight="1">
      <c r="A630" s="85"/>
      <c r="B630" s="85"/>
      <c r="C630" s="85"/>
      <c r="D630" s="85"/>
      <c r="E630" s="85"/>
      <c r="F630" s="85"/>
      <c r="G630" s="88"/>
      <c r="H630" s="88"/>
      <c r="I630" s="85" t="str">
        <f t="shared" si="1"/>
        <v/>
      </c>
    </row>
    <row r="631" ht="15.75" customHeight="1">
      <c r="A631" s="85"/>
      <c r="B631" s="85"/>
      <c r="C631" s="85"/>
      <c r="D631" s="85"/>
      <c r="E631" s="85"/>
      <c r="F631" s="85"/>
      <c r="G631" s="88"/>
      <c r="H631" s="88"/>
      <c r="I631" s="85" t="str">
        <f t="shared" si="1"/>
        <v/>
      </c>
    </row>
    <row r="632" ht="15.75" customHeight="1">
      <c r="A632" s="85"/>
      <c r="B632" s="85"/>
      <c r="C632" s="85"/>
      <c r="D632" s="85"/>
      <c r="E632" s="85"/>
      <c r="F632" s="85"/>
      <c r="G632" s="88"/>
      <c r="H632" s="88"/>
      <c r="I632" s="85" t="str">
        <f t="shared" si="1"/>
        <v/>
      </c>
    </row>
    <row r="633" ht="15.75" customHeight="1">
      <c r="A633" s="85"/>
      <c r="B633" s="85"/>
      <c r="C633" s="85"/>
      <c r="D633" s="85"/>
      <c r="E633" s="85"/>
      <c r="F633" s="85"/>
      <c r="G633" s="88"/>
      <c r="H633" s="88"/>
      <c r="I633" s="85" t="str">
        <f t="shared" si="1"/>
        <v/>
      </c>
    </row>
    <row r="634" ht="15.75" customHeight="1">
      <c r="A634" s="85"/>
      <c r="B634" s="85"/>
      <c r="C634" s="85"/>
      <c r="D634" s="85"/>
      <c r="E634" s="85"/>
      <c r="F634" s="85"/>
      <c r="G634" s="88"/>
      <c r="H634" s="88"/>
      <c r="I634" s="85" t="str">
        <f t="shared" si="1"/>
        <v/>
      </c>
    </row>
    <row r="635" ht="15.75" customHeight="1">
      <c r="A635" s="85"/>
      <c r="B635" s="85"/>
      <c r="C635" s="85"/>
      <c r="D635" s="85"/>
      <c r="E635" s="85"/>
      <c r="F635" s="85"/>
      <c r="G635" s="88"/>
      <c r="H635" s="88"/>
      <c r="I635" s="85" t="str">
        <f t="shared" si="1"/>
        <v/>
      </c>
    </row>
    <row r="636" ht="15.75" customHeight="1">
      <c r="A636" s="85"/>
      <c r="B636" s="85"/>
      <c r="C636" s="85"/>
      <c r="D636" s="85"/>
      <c r="E636" s="85"/>
      <c r="F636" s="85"/>
      <c r="G636" s="88"/>
      <c r="H636" s="88"/>
      <c r="I636" s="85" t="str">
        <f t="shared" si="1"/>
        <v/>
      </c>
    </row>
    <row r="637" ht="15.75" customHeight="1">
      <c r="A637" s="85"/>
      <c r="B637" s="85"/>
      <c r="C637" s="85"/>
      <c r="D637" s="85"/>
      <c r="E637" s="85"/>
      <c r="F637" s="85"/>
      <c r="G637" s="88"/>
      <c r="H637" s="88"/>
      <c r="I637" s="85" t="str">
        <f t="shared" si="1"/>
        <v/>
      </c>
    </row>
    <row r="638" ht="15.75" customHeight="1">
      <c r="A638" s="85"/>
      <c r="B638" s="85"/>
      <c r="C638" s="85"/>
      <c r="D638" s="85"/>
      <c r="E638" s="85"/>
      <c r="F638" s="85"/>
      <c r="G638" s="88"/>
      <c r="H638" s="88"/>
      <c r="I638" s="85" t="str">
        <f t="shared" si="1"/>
        <v/>
      </c>
    </row>
    <row r="639" ht="15.75" customHeight="1">
      <c r="A639" s="85"/>
      <c r="B639" s="85"/>
      <c r="C639" s="85"/>
      <c r="D639" s="85"/>
      <c r="E639" s="85"/>
      <c r="F639" s="85"/>
      <c r="G639" s="88"/>
      <c r="H639" s="88"/>
      <c r="I639" s="85" t="str">
        <f t="shared" si="1"/>
        <v/>
      </c>
    </row>
    <row r="640" ht="15.75" customHeight="1">
      <c r="A640" s="85"/>
      <c r="B640" s="85"/>
      <c r="C640" s="85"/>
      <c r="D640" s="85"/>
      <c r="E640" s="85"/>
      <c r="F640" s="85"/>
      <c r="G640" s="88"/>
      <c r="H640" s="88"/>
      <c r="I640" s="85" t="str">
        <f t="shared" si="1"/>
        <v/>
      </c>
    </row>
    <row r="641" ht="15.75" customHeight="1">
      <c r="A641" s="85"/>
      <c r="B641" s="85"/>
      <c r="C641" s="85"/>
      <c r="D641" s="85"/>
      <c r="E641" s="85"/>
      <c r="F641" s="85"/>
      <c r="G641" s="88"/>
      <c r="H641" s="88"/>
      <c r="I641" s="85" t="str">
        <f t="shared" si="1"/>
        <v/>
      </c>
    </row>
    <row r="642" ht="15.75" customHeight="1">
      <c r="A642" s="85"/>
      <c r="B642" s="85"/>
      <c r="C642" s="85"/>
      <c r="D642" s="85"/>
      <c r="E642" s="85"/>
      <c r="F642" s="85"/>
      <c r="G642" s="88"/>
      <c r="H642" s="88"/>
      <c r="I642" s="85" t="str">
        <f t="shared" si="1"/>
        <v/>
      </c>
    </row>
    <row r="643" ht="15.75" customHeight="1">
      <c r="A643" s="85"/>
      <c r="B643" s="85"/>
      <c r="C643" s="85"/>
      <c r="D643" s="85"/>
      <c r="E643" s="85"/>
      <c r="F643" s="85"/>
      <c r="G643" s="88"/>
      <c r="H643" s="88"/>
      <c r="I643" s="85" t="str">
        <f t="shared" si="1"/>
        <v/>
      </c>
    </row>
    <row r="644" ht="15.75" customHeight="1">
      <c r="A644" s="85"/>
      <c r="B644" s="85"/>
      <c r="C644" s="85"/>
      <c r="D644" s="85"/>
      <c r="E644" s="85"/>
      <c r="F644" s="85"/>
      <c r="G644" s="88"/>
      <c r="H644" s="88"/>
      <c r="I644" s="85" t="str">
        <f t="shared" si="1"/>
        <v/>
      </c>
    </row>
    <row r="645" ht="15.75" customHeight="1">
      <c r="A645" s="85"/>
      <c r="B645" s="85"/>
      <c r="C645" s="85"/>
      <c r="D645" s="85"/>
      <c r="E645" s="85"/>
      <c r="F645" s="85"/>
      <c r="G645" s="88"/>
      <c r="H645" s="88"/>
      <c r="I645" s="85" t="str">
        <f t="shared" si="1"/>
        <v/>
      </c>
    </row>
    <row r="646" ht="15.75" customHeight="1">
      <c r="A646" s="85"/>
      <c r="B646" s="85"/>
      <c r="C646" s="85"/>
      <c r="D646" s="85"/>
      <c r="E646" s="85"/>
      <c r="F646" s="85"/>
      <c r="G646" s="88"/>
      <c r="H646" s="88"/>
      <c r="I646" s="85" t="str">
        <f t="shared" si="1"/>
        <v/>
      </c>
    </row>
    <row r="647" ht="15.75" customHeight="1">
      <c r="A647" s="85"/>
      <c r="B647" s="85"/>
      <c r="C647" s="85"/>
      <c r="D647" s="85"/>
      <c r="E647" s="85"/>
      <c r="F647" s="85"/>
      <c r="G647" s="88"/>
      <c r="H647" s="88"/>
      <c r="I647" s="85" t="str">
        <f t="shared" si="1"/>
        <v/>
      </c>
    </row>
    <row r="648" ht="15.75" customHeight="1">
      <c r="A648" s="85"/>
      <c r="B648" s="85"/>
      <c r="C648" s="85"/>
      <c r="D648" s="85"/>
      <c r="E648" s="85"/>
      <c r="F648" s="85"/>
      <c r="G648" s="88"/>
      <c r="H648" s="88"/>
      <c r="I648" s="85" t="str">
        <f t="shared" si="1"/>
        <v/>
      </c>
    </row>
    <row r="649" ht="15.75" customHeight="1">
      <c r="A649" s="85"/>
      <c r="B649" s="85"/>
      <c r="C649" s="85"/>
      <c r="D649" s="85"/>
      <c r="E649" s="85"/>
      <c r="F649" s="85"/>
      <c r="G649" s="88"/>
      <c r="H649" s="88"/>
      <c r="I649" s="85" t="str">
        <f t="shared" si="1"/>
        <v/>
      </c>
    </row>
    <row r="650" ht="15.75" customHeight="1">
      <c r="A650" s="85"/>
      <c r="B650" s="85"/>
      <c r="C650" s="85"/>
      <c r="D650" s="85"/>
      <c r="E650" s="85"/>
      <c r="F650" s="85"/>
      <c r="G650" s="88"/>
      <c r="H650" s="88"/>
      <c r="I650" s="85" t="str">
        <f t="shared" si="1"/>
        <v/>
      </c>
    </row>
    <row r="651" ht="15.75" customHeight="1">
      <c r="A651" s="85"/>
      <c r="B651" s="85"/>
      <c r="C651" s="85"/>
      <c r="D651" s="85"/>
      <c r="E651" s="85"/>
      <c r="F651" s="85"/>
      <c r="G651" s="88"/>
      <c r="H651" s="88"/>
      <c r="I651" s="85" t="str">
        <f t="shared" si="1"/>
        <v/>
      </c>
    </row>
    <row r="652" ht="15.75" customHeight="1">
      <c r="A652" s="85"/>
      <c r="B652" s="85"/>
      <c r="C652" s="85"/>
      <c r="D652" s="85"/>
      <c r="E652" s="85"/>
      <c r="F652" s="85"/>
      <c r="G652" s="88"/>
      <c r="H652" s="88"/>
      <c r="I652" s="85" t="str">
        <f t="shared" si="1"/>
        <v/>
      </c>
    </row>
    <row r="653" ht="15.75" customHeight="1">
      <c r="A653" s="85"/>
      <c r="B653" s="85"/>
      <c r="C653" s="85"/>
      <c r="D653" s="85"/>
      <c r="E653" s="85"/>
      <c r="F653" s="85"/>
      <c r="G653" s="88"/>
      <c r="H653" s="88"/>
      <c r="I653" s="85" t="str">
        <f t="shared" si="1"/>
        <v/>
      </c>
    </row>
    <row r="654" ht="15.75" customHeight="1">
      <c r="A654" s="85"/>
      <c r="B654" s="85"/>
      <c r="C654" s="85"/>
      <c r="D654" s="85"/>
      <c r="E654" s="85"/>
      <c r="F654" s="85"/>
      <c r="G654" s="88"/>
      <c r="H654" s="88"/>
      <c r="I654" s="85" t="str">
        <f t="shared" si="1"/>
        <v/>
      </c>
    </row>
    <row r="655" ht="15.75" customHeight="1">
      <c r="A655" s="85"/>
      <c r="B655" s="85"/>
      <c r="C655" s="85"/>
      <c r="D655" s="85"/>
      <c r="E655" s="85"/>
      <c r="F655" s="85"/>
      <c r="G655" s="88"/>
      <c r="H655" s="88"/>
      <c r="I655" s="85" t="str">
        <f t="shared" si="1"/>
        <v/>
      </c>
    </row>
    <row r="656" ht="15.75" customHeight="1">
      <c r="A656" s="85"/>
      <c r="B656" s="85"/>
      <c r="C656" s="85"/>
      <c r="D656" s="85"/>
      <c r="E656" s="85"/>
      <c r="F656" s="85"/>
      <c r="G656" s="88"/>
      <c r="H656" s="88"/>
      <c r="I656" s="85" t="str">
        <f t="shared" si="1"/>
        <v/>
      </c>
    </row>
    <row r="657" ht="15.75" customHeight="1">
      <c r="A657" s="85"/>
      <c r="B657" s="85"/>
      <c r="C657" s="85"/>
      <c r="D657" s="85"/>
      <c r="E657" s="85"/>
      <c r="F657" s="85"/>
      <c r="G657" s="88"/>
      <c r="H657" s="88"/>
      <c r="I657" s="85" t="str">
        <f t="shared" si="1"/>
        <v/>
      </c>
    </row>
    <row r="658" ht="15.75" customHeight="1">
      <c r="A658" s="85"/>
      <c r="B658" s="85"/>
      <c r="C658" s="85"/>
      <c r="D658" s="85"/>
      <c r="E658" s="85"/>
      <c r="F658" s="85"/>
      <c r="G658" s="88"/>
      <c r="H658" s="88"/>
      <c r="I658" s="85" t="str">
        <f t="shared" si="1"/>
        <v/>
      </c>
    </row>
    <row r="659" ht="15.75" customHeight="1">
      <c r="A659" s="85"/>
      <c r="B659" s="85"/>
      <c r="C659" s="85"/>
      <c r="D659" s="85"/>
      <c r="E659" s="85"/>
      <c r="F659" s="85"/>
      <c r="G659" s="88"/>
      <c r="H659" s="88"/>
      <c r="I659" s="85" t="str">
        <f t="shared" si="1"/>
        <v/>
      </c>
    </row>
    <row r="660" ht="15.75" customHeight="1">
      <c r="A660" s="85"/>
      <c r="B660" s="85"/>
      <c r="C660" s="85"/>
      <c r="D660" s="85"/>
      <c r="E660" s="85"/>
      <c r="F660" s="85"/>
      <c r="G660" s="88"/>
      <c r="H660" s="88"/>
      <c r="I660" s="85" t="str">
        <f t="shared" si="1"/>
        <v/>
      </c>
    </row>
    <row r="661" ht="15.75" customHeight="1">
      <c r="A661" s="85"/>
      <c r="B661" s="85"/>
      <c r="C661" s="85"/>
      <c r="D661" s="85"/>
      <c r="E661" s="85"/>
      <c r="F661" s="85"/>
      <c r="G661" s="88"/>
      <c r="H661" s="88"/>
      <c r="I661" s="85" t="str">
        <f t="shared" si="1"/>
        <v/>
      </c>
    </row>
    <row r="662" ht="15.75" customHeight="1">
      <c r="A662" s="85"/>
      <c r="B662" s="85"/>
      <c r="C662" s="85"/>
      <c r="D662" s="85"/>
      <c r="E662" s="85"/>
      <c r="F662" s="85"/>
      <c r="G662" s="88"/>
      <c r="H662" s="88"/>
      <c r="I662" s="85" t="str">
        <f t="shared" si="1"/>
        <v/>
      </c>
    </row>
    <row r="663" ht="15.75" customHeight="1">
      <c r="A663" s="85"/>
      <c r="B663" s="85"/>
      <c r="C663" s="85"/>
      <c r="D663" s="85"/>
      <c r="E663" s="85"/>
      <c r="F663" s="85"/>
      <c r="G663" s="88"/>
      <c r="H663" s="88"/>
      <c r="I663" s="85" t="str">
        <f t="shared" si="1"/>
        <v/>
      </c>
    </row>
    <row r="664" ht="15.75" customHeight="1">
      <c r="A664" s="85"/>
      <c r="B664" s="85"/>
      <c r="C664" s="85"/>
      <c r="D664" s="85"/>
      <c r="E664" s="85"/>
      <c r="F664" s="85"/>
      <c r="G664" s="88"/>
      <c r="H664" s="88"/>
      <c r="I664" s="85" t="str">
        <f t="shared" si="1"/>
        <v/>
      </c>
    </row>
    <row r="665" ht="15.75" customHeight="1">
      <c r="A665" s="85"/>
      <c r="B665" s="85"/>
      <c r="C665" s="85"/>
      <c r="D665" s="85"/>
      <c r="E665" s="85"/>
      <c r="F665" s="85"/>
      <c r="G665" s="88"/>
      <c r="H665" s="88"/>
      <c r="I665" s="85" t="str">
        <f t="shared" si="1"/>
        <v/>
      </c>
    </row>
    <row r="666" ht="15.75" customHeight="1">
      <c r="A666" s="85"/>
      <c r="B666" s="85"/>
      <c r="C666" s="85"/>
      <c r="D666" s="85"/>
      <c r="E666" s="85"/>
      <c r="F666" s="85"/>
      <c r="G666" s="88"/>
      <c r="H666" s="88"/>
      <c r="I666" s="85" t="str">
        <f t="shared" si="1"/>
        <v/>
      </c>
    </row>
    <row r="667" ht="15.75" customHeight="1">
      <c r="A667" s="85"/>
      <c r="B667" s="85"/>
      <c r="C667" s="85"/>
      <c r="D667" s="85"/>
      <c r="E667" s="85"/>
      <c r="F667" s="85"/>
      <c r="G667" s="88"/>
      <c r="H667" s="88"/>
      <c r="I667" s="85" t="str">
        <f t="shared" si="1"/>
        <v/>
      </c>
    </row>
    <row r="668" ht="15.75" customHeight="1">
      <c r="A668" s="85"/>
      <c r="B668" s="85"/>
      <c r="C668" s="85"/>
      <c r="D668" s="85"/>
      <c r="E668" s="85"/>
      <c r="F668" s="85"/>
      <c r="G668" s="88"/>
      <c r="H668" s="88"/>
      <c r="I668" s="85" t="str">
        <f t="shared" si="1"/>
        <v/>
      </c>
    </row>
    <row r="669" ht="15.75" customHeight="1">
      <c r="A669" s="85"/>
      <c r="B669" s="85"/>
      <c r="C669" s="85"/>
      <c r="D669" s="85"/>
      <c r="E669" s="85"/>
      <c r="F669" s="85"/>
      <c r="G669" s="88"/>
      <c r="H669" s="88"/>
      <c r="I669" s="85" t="str">
        <f t="shared" si="1"/>
        <v/>
      </c>
    </row>
    <row r="670" ht="15.75" customHeight="1">
      <c r="A670" s="85"/>
      <c r="B670" s="85"/>
      <c r="C670" s="85"/>
      <c r="D670" s="85"/>
      <c r="E670" s="85"/>
      <c r="F670" s="85"/>
      <c r="G670" s="88"/>
      <c r="H670" s="88"/>
      <c r="I670" s="85" t="str">
        <f t="shared" si="1"/>
        <v/>
      </c>
    </row>
    <row r="671" ht="15.75" customHeight="1">
      <c r="A671" s="85"/>
      <c r="B671" s="85"/>
      <c r="C671" s="85"/>
      <c r="D671" s="85"/>
      <c r="E671" s="85"/>
      <c r="F671" s="85"/>
      <c r="G671" s="88"/>
      <c r="H671" s="88"/>
      <c r="I671" s="85" t="str">
        <f t="shared" si="1"/>
        <v/>
      </c>
    </row>
    <row r="672" ht="15.75" customHeight="1">
      <c r="A672" s="85"/>
      <c r="B672" s="85"/>
      <c r="C672" s="85"/>
      <c r="D672" s="85"/>
      <c r="E672" s="85"/>
      <c r="F672" s="85"/>
      <c r="G672" s="88"/>
      <c r="H672" s="88"/>
      <c r="I672" s="85" t="str">
        <f t="shared" si="1"/>
        <v/>
      </c>
    </row>
    <row r="673" ht="15.75" customHeight="1">
      <c r="A673" s="85"/>
      <c r="B673" s="85"/>
      <c r="C673" s="85"/>
      <c r="D673" s="85"/>
      <c r="E673" s="85"/>
      <c r="F673" s="85"/>
      <c r="G673" s="88"/>
      <c r="H673" s="88"/>
      <c r="I673" s="85" t="str">
        <f t="shared" si="1"/>
        <v/>
      </c>
    </row>
    <row r="674" ht="15.75" customHeight="1">
      <c r="A674" s="85"/>
      <c r="B674" s="85"/>
      <c r="C674" s="85"/>
      <c r="D674" s="85"/>
      <c r="E674" s="85"/>
      <c r="F674" s="85"/>
      <c r="G674" s="88"/>
      <c r="H674" s="88"/>
      <c r="I674" s="85" t="str">
        <f t="shared" si="1"/>
        <v/>
      </c>
    </row>
    <row r="675" ht="15.75" customHeight="1">
      <c r="A675" s="85"/>
      <c r="B675" s="85"/>
      <c r="C675" s="85"/>
      <c r="D675" s="85"/>
      <c r="E675" s="85"/>
      <c r="F675" s="85"/>
      <c r="G675" s="88"/>
      <c r="H675" s="88"/>
      <c r="I675" s="85" t="str">
        <f t="shared" si="1"/>
        <v/>
      </c>
    </row>
    <row r="676" ht="15.75" customHeight="1">
      <c r="A676" s="85"/>
      <c r="B676" s="85"/>
      <c r="C676" s="85"/>
      <c r="D676" s="85"/>
      <c r="E676" s="85"/>
      <c r="F676" s="85"/>
      <c r="G676" s="88"/>
      <c r="H676" s="88"/>
      <c r="I676" s="85" t="str">
        <f t="shared" si="1"/>
        <v/>
      </c>
    </row>
    <row r="677" ht="15.75" customHeight="1">
      <c r="A677" s="85"/>
      <c r="B677" s="85"/>
      <c r="C677" s="85"/>
      <c r="D677" s="85"/>
      <c r="E677" s="85"/>
      <c r="F677" s="85"/>
      <c r="G677" s="88"/>
      <c r="H677" s="88"/>
      <c r="I677" s="85" t="str">
        <f t="shared" si="1"/>
        <v/>
      </c>
    </row>
    <row r="678" ht="15.75" customHeight="1">
      <c r="A678" s="85"/>
      <c r="B678" s="85"/>
      <c r="C678" s="85"/>
      <c r="D678" s="85"/>
      <c r="E678" s="85"/>
      <c r="F678" s="85"/>
      <c r="G678" s="88"/>
      <c r="H678" s="88"/>
      <c r="I678" s="85" t="str">
        <f t="shared" si="1"/>
        <v/>
      </c>
    </row>
    <row r="679" ht="15.75" customHeight="1">
      <c r="A679" s="85"/>
      <c r="B679" s="85"/>
      <c r="C679" s="85"/>
      <c r="D679" s="85"/>
      <c r="E679" s="85"/>
      <c r="F679" s="85"/>
      <c r="G679" s="88"/>
      <c r="H679" s="88"/>
      <c r="I679" s="85" t="str">
        <f t="shared" si="1"/>
        <v/>
      </c>
    </row>
    <row r="680" ht="15.75" customHeight="1">
      <c r="A680" s="85"/>
      <c r="B680" s="85"/>
      <c r="C680" s="85"/>
      <c r="D680" s="85"/>
      <c r="E680" s="85"/>
      <c r="F680" s="85"/>
      <c r="G680" s="88"/>
      <c r="H680" s="88"/>
      <c r="I680" s="85" t="str">
        <f t="shared" si="1"/>
        <v/>
      </c>
    </row>
    <row r="681" ht="15.75" customHeight="1">
      <c r="A681" s="85"/>
      <c r="B681" s="85"/>
      <c r="C681" s="85"/>
      <c r="D681" s="85"/>
      <c r="E681" s="85"/>
      <c r="F681" s="85"/>
      <c r="G681" s="88"/>
      <c r="H681" s="88"/>
      <c r="I681" s="85" t="str">
        <f t="shared" si="1"/>
        <v/>
      </c>
    </row>
    <row r="682" ht="15.75" customHeight="1">
      <c r="A682" s="85"/>
      <c r="B682" s="85"/>
      <c r="C682" s="85"/>
      <c r="D682" s="85"/>
      <c r="E682" s="85"/>
      <c r="F682" s="85"/>
      <c r="G682" s="88"/>
      <c r="H682" s="88"/>
      <c r="I682" s="85" t="str">
        <f t="shared" si="1"/>
        <v/>
      </c>
    </row>
    <row r="683" ht="15.75" customHeight="1">
      <c r="A683" s="85"/>
      <c r="B683" s="85"/>
      <c r="C683" s="85"/>
      <c r="D683" s="85"/>
      <c r="E683" s="85"/>
      <c r="F683" s="85"/>
      <c r="G683" s="88"/>
      <c r="H683" s="88"/>
      <c r="I683" s="85" t="str">
        <f t="shared" si="1"/>
        <v/>
      </c>
    </row>
    <row r="684" ht="15.75" customHeight="1">
      <c r="A684" s="85"/>
      <c r="B684" s="85"/>
      <c r="C684" s="85"/>
      <c r="D684" s="85"/>
      <c r="E684" s="85"/>
      <c r="F684" s="85"/>
      <c r="G684" s="88"/>
      <c r="H684" s="88"/>
      <c r="I684" s="85" t="str">
        <f t="shared" si="1"/>
        <v/>
      </c>
    </row>
    <row r="685" ht="15.75" customHeight="1">
      <c r="A685" s="85"/>
      <c r="B685" s="85"/>
      <c r="C685" s="85"/>
      <c r="D685" s="85"/>
      <c r="E685" s="85"/>
      <c r="F685" s="85"/>
      <c r="G685" s="88"/>
      <c r="H685" s="88"/>
      <c r="I685" s="85" t="str">
        <f t="shared" si="1"/>
        <v/>
      </c>
    </row>
    <row r="686" ht="15.75" customHeight="1">
      <c r="A686" s="85"/>
      <c r="B686" s="85"/>
      <c r="C686" s="85"/>
      <c r="D686" s="85"/>
      <c r="E686" s="85"/>
      <c r="F686" s="85"/>
      <c r="G686" s="88"/>
      <c r="H686" s="88"/>
      <c r="I686" s="85" t="str">
        <f t="shared" si="1"/>
        <v/>
      </c>
    </row>
    <row r="687" ht="15.75" customHeight="1">
      <c r="A687" s="85"/>
      <c r="B687" s="85"/>
      <c r="C687" s="85"/>
      <c r="D687" s="85"/>
      <c r="E687" s="85"/>
      <c r="F687" s="85"/>
      <c r="G687" s="88"/>
      <c r="H687" s="88"/>
      <c r="I687" s="85" t="str">
        <f t="shared" si="1"/>
        <v/>
      </c>
    </row>
    <row r="688" ht="15.75" customHeight="1">
      <c r="A688" s="85"/>
      <c r="B688" s="85"/>
      <c r="C688" s="85"/>
      <c r="D688" s="85"/>
      <c r="E688" s="85"/>
      <c r="F688" s="85"/>
      <c r="G688" s="88"/>
      <c r="H688" s="88"/>
      <c r="I688" s="85" t="str">
        <f t="shared" si="1"/>
        <v/>
      </c>
    </row>
    <row r="689" ht="15.75" customHeight="1">
      <c r="A689" s="85"/>
      <c r="B689" s="85"/>
      <c r="C689" s="85"/>
      <c r="D689" s="85"/>
      <c r="E689" s="85"/>
      <c r="F689" s="85"/>
      <c r="G689" s="88"/>
      <c r="H689" s="88"/>
      <c r="I689" s="85" t="str">
        <f t="shared" si="1"/>
        <v/>
      </c>
    </row>
    <row r="690" ht="15.75" customHeight="1">
      <c r="A690" s="85"/>
      <c r="B690" s="85"/>
      <c r="C690" s="85"/>
      <c r="D690" s="85"/>
      <c r="E690" s="85"/>
      <c r="F690" s="85"/>
      <c r="G690" s="88"/>
      <c r="H690" s="88"/>
      <c r="I690" s="85" t="str">
        <f t="shared" si="1"/>
        <v/>
      </c>
    </row>
    <row r="691" ht="15.75" customHeight="1">
      <c r="A691" s="85"/>
      <c r="B691" s="85"/>
      <c r="C691" s="85"/>
      <c r="D691" s="85"/>
      <c r="E691" s="85"/>
      <c r="F691" s="85"/>
      <c r="G691" s="88"/>
      <c r="H691" s="88"/>
      <c r="I691" s="85" t="str">
        <f t="shared" si="1"/>
        <v/>
      </c>
    </row>
    <row r="692" ht="15.75" customHeight="1">
      <c r="A692" s="85"/>
      <c r="B692" s="85"/>
      <c r="C692" s="85"/>
      <c r="D692" s="85"/>
      <c r="E692" s="85"/>
      <c r="F692" s="85"/>
      <c r="G692" s="88"/>
      <c r="H692" s="88"/>
      <c r="I692" s="85" t="str">
        <f t="shared" si="1"/>
        <v/>
      </c>
    </row>
    <row r="693" ht="15.75" customHeight="1">
      <c r="A693" s="85"/>
      <c r="B693" s="85"/>
      <c r="C693" s="85"/>
      <c r="D693" s="85"/>
      <c r="E693" s="85"/>
      <c r="F693" s="85"/>
      <c r="G693" s="88"/>
      <c r="H693" s="88"/>
      <c r="I693" s="85" t="str">
        <f t="shared" si="1"/>
        <v/>
      </c>
    </row>
    <row r="694" ht="15.75" customHeight="1">
      <c r="A694" s="85"/>
      <c r="B694" s="85"/>
      <c r="C694" s="85"/>
      <c r="D694" s="85"/>
      <c r="E694" s="85"/>
      <c r="F694" s="85"/>
      <c r="G694" s="88"/>
      <c r="H694" s="88"/>
      <c r="I694" s="85" t="str">
        <f t="shared" si="1"/>
        <v/>
      </c>
    </row>
    <row r="695" ht="15.75" customHeight="1">
      <c r="A695" s="85"/>
      <c r="B695" s="85"/>
      <c r="C695" s="85"/>
      <c r="D695" s="85"/>
      <c r="E695" s="85"/>
      <c r="F695" s="85"/>
      <c r="G695" s="88"/>
      <c r="H695" s="88"/>
      <c r="I695" s="85" t="str">
        <f t="shared" si="1"/>
        <v/>
      </c>
    </row>
    <row r="696" ht="15.75" customHeight="1">
      <c r="A696" s="85"/>
      <c r="B696" s="85"/>
      <c r="C696" s="85"/>
      <c r="D696" s="85"/>
      <c r="E696" s="85"/>
      <c r="F696" s="85"/>
      <c r="G696" s="88"/>
      <c r="H696" s="88"/>
      <c r="I696" s="85" t="str">
        <f t="shared" si="1"/>
        <v/>
      </c>
    </row>
    <row r="697" ht="15.75" customHeight="1">
      <c r="A697" s="85"/>
      <c r="B697" s="85"/>
      <c r="C697" s="85"/>
      <c r="D697" s="85"/>
      <c r="E697" s="85"/>
      <c r="F697" s="85"/>
      <c r="G697" s="88"/>
      <c r="H697" s="88"/>
      <c r="I697" s="85" t="str">
        <f t="shared" si="1"/>
        <v/>
      </c>
    </row>
    <row r="698" ht="15.75" customHeight="1">
      <c r="A698" s="85"/>
      <c r="B698" s="85"/>
      <c r="C698" s="85"/>
      <c r="D698" s="85"/>
      <c r="E698" s="85"/>
      <c r="F698" s="85"/>
      <c r="G698" s="88"/>
      <c r="H698" s="88"/>
      <c r="I698" s="85" t="str">
        <f t="shared" si="1"/>
        <v/>
      </c>
    </row>
    <row r="699" ht="15.75" customHeight="1">
      <c r="A699" s="85"/>
      <c r="B699" s="85"/>
      <c r="C699" s="85"/>
      <c r="D699" s="85"/>
      <c r="E699" s="85"/>
      <c r="F699" s="85"/>
      <c r="G699" s="88"/>
      <c r="H699" s="88"/>
      <c r="I699" s="85" t="str">
        <f t="shared" si="1"/>
        <v/>
      </c>
    </row>
    <row r="700" ht="15.75" customHeight="1">
      <c r="A700" s="85"/>
      <c r="B700" s="85"/>
      <c r="C700" s="85"/>
      <c r="D700" s="85"/>
      <c r="E700" s="85"/>
      <c r="F700" s="85"/>
      <c r="G700" s="88"/>
      <c r="H700" s="88"/>
      <c r="I700" s="85" t="str">
        <f t="shared" si="1"/>
        <v/>
      </c>
    </row>
    <row r="701" ht="15.75" customHeight="1">
      <c r="A701" s="85"/>
      <c r="B701" s="85"/>
      <c r="C701" s="85"/>
      <c r="D701" s="85"/>
      <c r="E701" s="85"/>
      <c r="F701" s="85"/>
      <c r="G701" s="88"/>
      <c r="H701" s="88"/>
      <c r="I701" s="85" t="str">
        <f t="shared" si="1"/>
        <v/>
      </c>
    </row>
    <row r="702" ht="15.75" customHeight="1">
      <c r="A702" s="85"/>
      <c r="B702" s="85"/>
      <c r="C702" s="85"/>
      <c r="D702" s="85"/>
      <c r="E702" s="85"/>
      <c r="F702" s="85"/>
      <c r="G702" s="88"/>
      <c r="H702" s="88"/>
      <c r="I702" s="85" t="str">
        <f t="shared" si="1"/>
        <v/>
      </c>
    </row>
    <row r="703" ht="15.75" customHeight="1">
      <c r="A703" s="85"/>
      <c r="B703" s="85"/>
      <c r="C703" s="85"/>
      <c r="D703" s="85"/>
      <c r="E703" s="85"/>
      <c r="F703" s="85"/>
      <c r="G703" s="88"/>
      <c r="H703" s="88"/>
      <c r="I703" s="85" t="str">
        <f t="shared" si="1"/>
        <v/>
      </c>
    </row>
    <row r="704" ht="15.75" customHeight="1">
      <c r="A704" s="85"/>
      <c r="B704" s="85"/>
      <c r="C704" s="85"/>
      <c r="D704" s="85"/>
      <c r="E704" s="85"/>
      <c r="F704" s="85"/>
      <c r="G704" s="88"/>
      <c r="H704" s="88"/>
      <c r="I704" s="85" t="str">
        <f t="shared" si="1"/>
        <v/>
      </c>
    </row>
    <row r="705" ht="15.75" customHeight="1">
      <c r="A705" s="85"/>
      <c r="B705" s="85"/>
      <c r="C705" s="85"/>
      <c r="D705" s="85"/>
      <c r="E705" s="85"/>
      <c r="F705" s="85"/>
      <c r="G705" s="88"/>
      <c r="H705" s="88"/>
      <c r="I705" s="85" t="str">
        <f t="shared" si="1"/>
        <v/>
      </c>
    </row>
    <row r="706" ht="15.75" customHeight="1">
      <c r="A706" s="85"/>
      <c r="B706" s="85"/>
      <c r="C706" s="85"/>
      <c r="D706" s="85"/>
      <c r="E706" s="85"/>
      <c r="F706" s="85"/>
      <c r="G706" s="88"/>
      <c r="H706" s="88"/>
      <c r="I706" s="85" t="str">
        <f t="shared" si="1"/>
        <v/>
      </c>
    </row>
    <row r="707" ht="15.75" customHeight="1">
      <c r="A707" s="85"/>
      <c r="B707" s="85"/>
      <c r="C707" s="85"/>
      <c r="D707" s="85"/>
      <c r="E707" s="85"/>
      <c r="F707" s="85"/>
      <c r="G707" s="88"/>
      <c r="H707" s="88"/>
      <c r="I707" s="85" t="str">
        <f t="shared" si="1"/>
        <v/>
      </c>
    </row>
    <row r="708" ht="15.75" customHeight="1">
      <c r="A708" s="85"/>
      <c r="B708" s="85"/>
      <c r="C708" s="85"/>
      <c r="D708" s="85"/>
      <c r="E708" s="85"/>
      <c r="F708" s="85"/>
      <c r="G708" s="88"/>
      <c r="H708" s="88"/>
      <c r="I708" s="85" t="str">
        <f t="shared" si="1"/>
        <v/>
      </c>
    </row>
    <row r="709" ht="15.75" customHeight="1">
      <c r="A709" s="85"/>
      <c r="B709" s="85"/>
      <c r="C709" s="85"/>
      <c r="D709" s="85"/>
      <c r="E709" s="85"/>
      <c r="F709" s="85"/>
      <c r="G709" s="88"/>
      <c r="H709" s="88"/>
      <c r="I709" s="85" t="str">
        <f t="shared" si="1"/>
        <v/>
      </c>
    </row>
    <row r="710" ht="15.75" customHeight="1">
      <c r="A710" s="85"/>
      <c r="B710" s="85"/>
      <c r="C710" s="85"/>
      <c r="D710" s="85"/>
      <c r="E710" s="85"/>
      <c r="F710" s="85"/>
      <c r="G710" s="88"/>
      <c r="H710" s="88"/>
      <c r="I710" s="85" t="str">
        <f t="shared" si="1"/>
        <v/>
      </c>
    </row>
    <row r="711" ht="15.75" customHeight="1">
      <c r="A711" s="85"/>
      <c r="B711" s="85"/>
      <c r="C711" s="85"/>
      <c r="D711" s="85"/>
      <c r="E711" s="85"/>
      <c r="F711" s="85"/>
      <c r="G711" s="88"/>
      <c r="H711" s="88"/>
      <c r="I711" s="85" t="str">
        <f t="shared" si="1"/>
        <v/>
      </c>
    </row>
    <row r="712" ht="15.75" customHeight="1">
      <c r="A712" s="85"/>
      <c r="B712" s="85"/>
      <c r="C712" s="85"/>
      <c r="D712" s="85"/>
      <c r="E712" s="85"/>
      <c r="F712" s="85"/>
      <c r="G712" s="88"/>
      <c r="H712" s="88"/>
      <c r="I712" s="85" t="str">
        <f t="shared" si="1"/>
        <v/>
      </c>
    </row>
    <row r="713" ht="15.75" customHeight="1">
      <c r="A713" s="85"/>
      <c r="B713" s="85"/>
      <c r="C713" s="85"/>
      <c r="D713" s="85"/>
      <c r="E713" s="85"/>
      <c r="F713" s="85"/>
      <c r="G713" s="88"/>
      <c r="H713" s="88"/>
      <c r="I713" s="85" t="str">
        <f t="shared" si="1"/>
        <v/>
      </c>
    </row>
    <row r="714" ht="15.75" customHeight="1">
      <c r="A714" s="85"/>
      <c r="B714" s="85"/>
      <c r="C714" s="85"/>
      <c r="D714" s="85"/>
      <c r="E714" s="85"/>
      <c r="F714" s="85"/>
      <c r="G714" s="88"/>
      <c r="H714" s="88"/>
      <c r="I714" s="85" t="str">
        <f t="shared" si="1"/>
        <v/>
      </c>
    </row>
    <row r="715" ht="15.75" customHeight="1">
      <c r="A715" s="85"/>
      <c r="B715" s="85"/>
      <c r="C715" s="85"/>
      <c r="D715" s="85"/>
      <c r="E715" s="85"/>
      <c r="F715" s="85"/>
      <c r="G715" s="88"/>
      <c r="H715" s="88"/>
      <c r="I715" s="85" t="str">
        <f t="shared" si="1"/>
        <v/>
      </c>
    </row>
    <row r="716" ht="15.75" customHeight="1">
      <c r="A716" s="85"/>
      <c r="B716" s="85"/>
      <c r="C716" s="85"/>
      <c r="D716" s="85"/>
      <c r="E716" s="85"/>
      <c r="F716" s="85"/>
      <c r="G716" s="88"/>
      <c r="H716" s="88"/>
      <c r="I716" s="85" t="str">
        <f t="shared" si="1"/>
        <v/>
      </c>
    </row>
    <row r="717" ht="15.75" customHeight="1">
      <c r="A717" s="85"/>
      <c r="B717" s="85"/>
      <c r="C717" s="85"/>
      <c r="D717" s="85"/>
      <c r="E717" s="85"/>
      <c r="F717" s="85"/>
      <c r="G717" s="88"/>
      <c r="H717" s="88"/>
      <c r="I717" s="85" t="str">
        <f t="shared" si="1"/>
        <v/>
      </c>
    </row>
    <row r="718" ht="15.75" customHeight="1">
      <c r="A718" s="85"/>
      <c r="B718" s="85"/>
      <c r="C718" s="85"/>
      <c r="D718" s="85"/>
      <c r="E718" s="85"/>
      <c r="F718" s="85"/>
      <c r="G718" s="88"/>
      <c r="H718" s="88"/>
      <c r="I718" s="85" t="str">
        <f t="shared" si="1"/>
        <v/>
      </c>
    </row>
    <row r="719" ht="15.75" customHeight="1">
      <c r="A719" s="85"/>
      <c r="B719" s="85"/>
      <c r="C719" s="85"/>
      <c r="D719" s="85"/>
      <c r="E719" s="85"/>
      <c r="F719" s="85"/>
      <c r="G719" s="88"/>
      <c r="H719" s="88"/>
      <c r="I719" s="85" t="str">
        <f t="shared" si="1"/>
        <v/>
      </c>
    </row>
    <row r="720" ht="15.75" customHeight="1">
      <c r="A720" s="85"/>
      <c r="B720" s="85"/>
      <c r="C720" s="85"/>
      <c r="D720" s="85"/>
      <c r="E720" s="85"/>
      <c r="F720" s="85"/>
      <c r="G720" s="88"/>
      <c r="H720" s="88"/>
      <c r="I720" s="85" t="str">
        <f t="shared" si="1"/>
        <v/>
      </c>
    </row>
    <row r="721" ht="15.75" customHeight="1">
      <c r="A721" s="85"/>
      <c r="B721" s="85"/>
      <c r="C721" s="85"/>
      <c r="D721" s="85"/>
      <c r="E721" s="85"/>
      <c r="F721" s="85"/>
      <c r="G721" s="88"/>
      <c r="H721" s="88"/>
      <c r="I721" s="85" t="str">
        <f t="shared" si="1"/>
        <v/>
      </c>
    </row>
    <row r="722" ht="15.75" customHeight="1">
      <c r="A722" s="85"/>
      <c r="B722" s="85"/>
      <c r="C722" s="85"/>
      <c r="D722" s="85"/>
      <c r="E722" s="85"/>
      <c r="F722" s="85"/>
      <c r="G722" s="88"/>
      <c r="H722" s="88"/>
      <c r="I722" s="85" t="str">
        <f t="shared" si="1"/>
        <v/>
      </c>
    </row>
    <row r="723" ht="15.75" customHeight="1">
      <c r="A723" s="85"/>
      <c r="B723" s="85"/>
      <c r="C723" s="85"/>
      <c r="D723" s="85"/>
      <c r="E723" s="85"/>
      <c r="F723" s="85"/>
      <c r="G723" s="88"/>
      <c r="H723" s="88"/>
      <c r="I723" s="85" t="str">
        <f t="shared" si="1"/>
        <v/>
      </c>
    </row>
    <row r="724" ht="15.75" customHeight="1">
      <c r="A724" s="85"/>
      <c r="B724" s="85"/>
      <c r="C724" s="85"/>
      <c r="D724" s="85"/>
      <c r="E724" s="85"/>
      <c r="F724" s="85"/>
      <c r="G724" s="88"/>
      <c r="H724" s="88"/>
      <c r="I724" s="85" t="str">
        <f t="shared" si="1"/>
        <v/>
      </c>
    </row>
    <row r="725" ht="15.75" customHeight="1">
      <c r="A725" s="85"/>
      <c r="B725" s="85"/>
      <c r="C725" s="85"/>
      <c r="D725" s="85"/>
      <c r="E725" s="85"/>
      <c r="F725" s="85"/>
      <c r="G725" s="88"/>
      <c r="H725" s="88"/>
      <c r="I725" s="85" t="str">
        <f t="shared" si="1"/>
        <v/>
      </c>
    </row>
    <row r="726" ht="15.75" customHeight="1">
      <c r="A726" s="85"/>
      <c r="B726" s="85"/>
      <c r="C726" s="85"/>
      <c r="D726" s="85"/>
      <c r="E726" s="85"/>
      <c r="F726" s="85"/>
      <c r="G726" s="88"/>
      <c r="H726" s="88"/>
      <c r="I726" s="85" t="str">
        <f t="shared" si="1"/>
        <v/>
      </c>
    </row>
    <row r="727" ht="15.75" customHeight="1">
      <c r="A727" s="85"/>
      <c r="B727" s="85"/>
      <c r="C727" s="85"/>
      <c r="D727" s="85"/>
      <c r="E727" s="85"/>
      <c r="F727" s="85"/>
      <c r="G727" s="88"/>
      <c r="H727" s="88"/>
      <c r="I727" s="85" t="str">
        <f t="shared" si="1"/>
        <v/>
      </c>
    </row>
    <row r="728" ht="15.75" customHeight="1">
      <c r="A728" s="85"/>
      <c r="B728" s="85"/>
      <c r="C728" s="85"/>
      <c r="D728" s="85"/>
      <c r="E728" s="85"/>
      <c r="F728" s="85"/>
      <c r="G728" s="88"/>
      <c r="H728" s="88"/>
      <c r="I728" s="85" t="str">
        <f t="shared" si="1"/>
        <v/>
      </c>
    </row>
    <row r="729" ht="15.75" customHeight="1">
      <c r="A729" s="85"/>
      <c r="B729" s="85"/>
      <c r="C729" s="85"/>
      <c r="D729" s="85"/>
      <c r="E729" s="85"/>
      <c r="F729" s="85"/>
      <c r="G729" s="88"/>
      <c r="H729" s="88"/>
      <c r="I729" s="85" t="str">
        <f t="shared" si="1"/>
        <v/>
      </c>
    </row>
    <row r="730" ht="15.75" customHeight="1">
      <c r="A730" s="85"/>
      <c r="B730" s="85"/>
      <c r="C730" s="85"/>
      <c r="D730" s="85"/>
      <c r="E730" s="85"/>
      <c r="F730" s="85"/>
      <c r="G730" s="88"/>
      <c r="H730" s="88"/>
      <c r="I730" s="85" t="str">
        <f t="shared" si="1"/>
        <v/>
      </c>
    </row>
    <row r="731" ht="15.75" customHeight="1">
      <c r="A731" s="85"/>
      <c r="B731" s="85"/>
      <c r="C731" s="85"/>
      <c r="D731" s="85"/>
      <c r="E731" s="85"/>
      <c r="F731" s="85"/>
      <c r="G731" s="88"/>
      <c r="H731" s="88"/>
      <c r="I731" s="85" t="str">
        <f t="shared" si="1"/>
        <v/>
      </c>
    </row>
    <row r="732" ht="15.75" customHeight="1">
      <c r="A732" s="85"/>
      <c r="B732" s="85"/>
      <c r="C732" s="85"/>
      <c r="D732" s="85"/>
      <c r="E732" s="85"/>
      <c r="F732" s="85"/>
      <c r="G732" s="88"/>
      <c r="H732" s="88"/>
      <c r="I732" s="85" t="str">
        <f t="shared" si="1"/>
        <v/>
      </c>
    </row>
    <row r="733" ht="15.75" customHeight="1">
      <c r="A733" s="85"/>
      <c r="B733" s="85"/>
      <c r="C733" s="85"/>
      <c r="D733" s="85"/>
      <c r="E733" s="85"/>
      <c r="F733" s="85"/>
      <c r="G733" s="88"/>
      <c r="H733" s="88"/>
      <c r="I733" s="85" t="str">
        <f t="shared" si="1"/>
        <v/>
      </c>
    </row>
    <row r="734" ht="15.75" customHeight="1">
      <c r="A734" s="85"/>
      <c r="B734" s="85"/>
      <c r="C734" s="85"/>
      <c r="D734" s="85"/>
      <c r="E734" s="85"/>
      <c r="F734" s="85"/>
      <c r="G734" s="88"/>
      <c r="H734" s="88"/>
      <c r="I734" s="85" t="str">
        <f t="shared" si="1"/>
        <v/>
      </c>
    </row>
    <row r="735" ht="15.75" customHeight="1">
      <c r="A735" s="85"/>
      <c r="B735" s="85"/>
      <c r="C735" s="85"/>
      <c r="D735" s="85"/>
      <c r="E735" s="85"/>
      <c r="F735" s="85"/>
      <c r="G735" s="88"/>
      <c r="H735" s="88"/>
      <c r="I735" s="85" t="str">
        <f t="shared" si="1"/>
        <v/>
      </c>
    </row>
    <row r="736" ht="15.75" customHeight="1">
      <c r="A736" s="85"/>
      <c r="B736" s="85"/>
      <c r="C736" s="85"/>
      <c r="D736" s="85"/>
      <c r="E736" s="85"/>
      <c r="F736" s="85"/>
      <c r="G736" s="88"/>
      <c r="H736" s="88"/>
      <c r="I736" s="85" t="str">
        <f t="shared" si="1"/>
        <v/>
      </c>
    </row>
    <row r="737" ht="15.75" customHeight="1">
      <c r="A737" s="85"/>
      <c r="B737" s="85"/>
      <c r="C737" s="85"/>
      <c r="D737" s="85"/>
      <c r="E737" s="85"/>
      <c r="F737" s="85"/>
      <c r="G737" s="88"/>
      <c r="H737" s="88"/>
      <c r="I737" s="85" t="str">
        <f t="shared" si="1"/>
        <v/>
      </c>
    </row>
    <row r="738" ht="15.75" customHeight="1">
      <c r="A738" s="85"/>
      <c r="B738" s="85"/>
      <c r="C738" s="85"/>
      <c r="D738" s="85"/>
      <c r="E738" s="85"/>
      <c r="F738" s="85"/>
      <c r="G738" s="88"/>
      <c r="H738" s="88"/>
      <c r="I738" s="85" t="str">
        <f t="shared" si="1"/>
        <v/>
      </c>
    </row>
    <row r="739" ht="15.75" customHeight="1">
      <c r="A739" s="85"/>
      <c r="B739" s="85"/>
      <c r="C739" s="85"/>
      <c r="D739" s="85"/>
      <c r="E739" s="85"/>
      <c r="F739" s="85"/>
      <c r="G739" s="88"/>
      <c r="H739" s="88"/>
      <c r="I739" s="85" t="str">
        <f t="shared" si="1"/>
        <v/>
      </c>
    </row>
    <row r="740" ht="15.75" customHeight="1">
      <c r="A740" s="85"/>
      <c r="B740" s="85"/>
      <c r="C740" s="85"/>
      <c r="D740" s="85"/>
      <c r="E740" s="85"/>
      <c r="F740" s="85"/>
      <c r="G740" s="88"/>
      <c r="H740" s="88"/>
      <c r="I740" s="85" t="str">
        <f t="shared" si="1"/>
        <v/>
      </c>
    </row>
    <row r="741" ht="15.75" customHeight="1">
      <c r="A741" s="85"/>
      <c r="B741" s="85"/>
      <c r="C741" s="85"/>
      <c r="D741" s="85"/>
      <c r="E741" s="85"/>
      <c r="F741" s="85"/>
      <c r="G741" s="88"/>
      <c r="H741" s="88"/>
      <c r="I741" s="85" t="str">
        <f t="shared" si="1"/>
        <v/>
      </c>
    </row>
    <row r="742" ht="15.75" customHeight="1">
      <c r="A742" s="85"/>
      <c r="B742" s="85"/>
      <c r="C742" s="85"/>
      <c r="D742" s="85"/>
      <c r="E742" s="85"/>
      <c r="F742" s="85"/>
      <c r="G742" s="88"/>
      <c r="H742" s="88"/>
      <c r="I742" s="85" t="str">
        <f t="shared" si="1"/>
        <v/>
      </c>
    </row>
    <row r="743" ht="15.75" customHeight="1">
      <c r="A743" s="85"/>
      <c r="B743" s="85"/>
      <c r="C743" s="85"/>
      <c r="D743" s="85"/>
      <c r="E743" s="85"/>
      <c r="F743" s="85"/>
      <c r="G743" s="88"/>
      <c r="H743" s="88"/>
      <c r="I743" s="85" t="str">
        <f t="shared" si="1"/>
        <v/>
      </c>
    </row>
    <row r="744" ht="15.75" customHeight="1">
      <c r="A744" s="85"/>
      <c r="B744" s="85"/>
      <c r="C744" s="85"/>
      <c r="D744" s="85"/>
      <c r="E744" s="85"/>
      <c r="F744" s="85"/>
      <c r="G744" s="88"/>
      <c r="H744" s="88"/>
      <c r="I744" s="85" t="str">
        <f t="shared" si="1"/>
        <v/>
      </c>
    </row>
    <row r="745" ht="15.75" customHeight="1">
      <c r="A745" s="85"/>
      <c r="B745" s="85"/>
      <c r="C745" s="85"/>
      <c r="D745" s="85"/>
      <c r="E745" s="85"/>
      <c r="F745" s="85"/>
      <c r="G745" s="88"/>
      <c r="H745" s="88"/>
      <c r="I745" s="85" t="str">
        <f t="shared" si="1"/>
        <v/>
      </c>
    </row>
    <row r="746" ht="15.75" customHeight="1">
      <c r="A746" s="85"/>
      <c r="B746" s="85"/>
      <c r="C746" s="85"/>
      <c r="D746" s="85"/>
      <c r="E746" s="85"/>
      <c r="F746" s="85"/>
      <c r="G746" s="88"/>
      <c r="H746" s="88"/>
      <c r="I746" s="85" t="str">
        <f t="shared" si="1"/>
        <v/>
      </c>
    </row>
    <row r="747" ht="15.75" customHeight="1">
      <c r="A747" s="85"/>
      <c r="B747" s="85"/>
      <c r="C747" s="85"/>
      <c r="D747" s="85"/>
      <c r="E747" s="85"/>
      <c r="F747" s="85"/>
      <c r="G747" s="88"/>
      <c r="H747" s="88"/>
      <c r="I747" s="85" t="str">
        <f t="shared" si="1"/>
        <v/>
      </c>
    </row>
    <row r="748" ht="15.75" customHeight="1">
      <c r="A748" s="85"/>
      <c r="B748" s="85"/>
      <c r="C748" s="85"/>
      <c r="D748" s="85"/>
      <c r="E748" s="85"/>
      <c r="F748" s="85"/>
      <c r="G748" s="88"/>
      <c r="H748" s="88"/>
      <c r="I748" s="85" t="str">
        <f t="shared" si="1"/>
        <v/>
      </c>
    </row>
    <row r="749" ht="15.75" customHeight="1">
      <c r="A749" s="85"/>
      <c r="B749" s="85"/>
      <c r="C749" s="85"/>
      <c r="D749" s="85"/>
      <c r="E749" s="85"/>
      <c r="F749" s="85"/>
      <c r="G749" s="88"/>
      <c r="H749" s="88"/>
      <c r="I749" s="85" t="str">
        <f t="shared" si="1"/>
        <v/>
      </c>
    </row>
    <row r="750" ht="15.75" customHeight="1">
      <c r="A750" s="85"/>
      <c r="B750" s="85"/>
      <c r="C750" s="85"/>
      <c r="D750" s="85"/>
      <c r="E750" s="85"/>
      <c r="F750" s="85"/>
      <c r="G750" s="88"/>
      <c r="H750" s="88"/>
      <c r="I750" s="85" t="str">
        <f t="shared" si="1"/>
        <v/>
      </c>
    </row>
    <row r="751" ht="15.75" customHeight="1">
      <c r="A751" s="85"/>
      <c r="B751" s="85"/>
      <c r="C751" s="85"/>
      <c r="D751" s="85"/>
      <c r="E751" s="85"/>
      <c r="F751" s="85"/>
      <c r="G751" s="88"/>
      <c r="H751" s="88"/>
      <c r="I751" s="85" t="str">
        <f t="shared" si="1"/>
        <v/>
      </c>
    </row>
    <row r="752" ht="15.75" customHeight="1">
      <c r="A752" s="85"/>
      <c r="B752" s="85"/>
      <c r="C752" s="85"/>
      <c r="D752" s="85"/>
      <c r="E752" s="85"/>
      <c r="F752" s="85"/>
      <c r="G752" s="88"/>
      <c r="H752" s="88"/>
      <c r="I752" s="85" t="str">
        <f t="shared" si="1"/>
        <v/>
      </c>
    </row>
    <row r="753" ht="15.75" customHeight="1">
      <c r="A753" s="85"/>
      <c r="B753" s="85"/>
      <c r="C753" s="85"/>
      <c r="D753" s="85"/>
      <c r="E753" s="85"/>
      <c r="F753" s="85"/>
      <c r="G753" s="88"/>
      <c r="H753" s="88"/>
      <c r="I753" s="85" t="str">
        <f t="shared" si="1"/>
        <v/>
      </c>
    </row>
    <row r="754" ht="15.75" customHeight="1">
      <c r="A754" s="85"/>
      <c r="B754" s="85"/>
      <c r="C754" s="85"/>
      <c r="D754" s="85"/>
      <c r="E754" s="85"/>
      <c r="F754" s="85"/>
      <c r="G754" s="88"/>
      <c r="H754" s="88"/>
      <c r="I754" s="85" t="str">
        <f t="shared" si="1"/>
        <v/>
      </c>
    </row>
    <row r="755" ht="15.75" customHeight="1">
      <c r="A755" s="85"/>
      <c r="B755" s="85"/>
      <c r="C755" s="85"/>
      <c r="D755" s="85"/>
      <c r="E755" s="85"/>
      <c r="F755" s="85"/>
      <c r="G755" s="88"/>
      <c r="H755" s="88"/>
      <c r="I755" s="85" t="str">
        <f t="shared" si="1"/>
        <v/>
      </c>
    </row>
    <row r="756" ht="15.75" customHeight="1">
      <c r="A756" s="85"/>
      <c r="B756" s="85"/>
      <c r="C756" s="85"/>
      <c r="D756" s="85"/>
      <c r="E756" s="85"/>
      <c r="F756" s="85"/>
      <c r="G756" s="88"/>
      <c r="H756" s="88"/>
      <c r="I756" s="85" t="str">
        <f t="shared" si="1"/>
        <v/>
      </c>
    </row>
    <row r="757" ht="15.75" customHeight="1">
      <c r="A757" s="85"/>
      <c r="B757" s="85"/>
      <c r="C757" s="85"/>
      <c r="D757" s="85"/>
      <c r="E757" s="85"/>
      <c r="F757" s="85"/>
      <c r="G757" s="88"/>
      <c r="H757" s="88"/>
      <c r="I757" s="85" t="str">
        <f t="shared" si="1"/>
        <v/>
      </c>
    </row>
    <row r="758" ht="15.75" customHeight="1">
      <c r="A758" s="85"/>
      <c r="B758" s="85"/>
      <c r="C758" s="85"/>
      <c r="D758" s="85"/>
      <c r="E758" s="85"/>
      <c r="F758" s="85"/>
      <c r="G758" s="88"/>
      <c r="H758" s="88"/>
      <c r="I758" s="85" t="str">
        <f t="shared" si="1"/>
        <v/>
      </c>
    </row>
    <row r="759" ht="15.75" customHeight="1">
      <c r="A759" s="85"/>
      <c r="B759" s="85"/>
      <c r="C759" s="85"/>
      <c r="D759" s="85"/>
      <c r="E759" s="85"/>
      <c r="F759" s="85"/>
      <c r="G759" s="88"/>
      <c r="H759" s="88"/>
      <c r="I759" s="85" t="str">
        <f t="shared" si="1"/>
        <v/>
      </c>
    </row>
    <row r="760" ht="15.75" customHeight="1">
      <c r="A760" s="85"/>
      <c r="B760" s="85"/>
      <c r="C760" s="85"/>
      <c r="D760" s="85"/>
      <c r="E760" s="85"/>
      <c r="F760" s="85"/>
      <c r="G760" s="88"/>
      <c r="H760" s="88"/>
      <c r="I760" s="85" t="str">
        <f t="shared" si="1"/>
        <v/>
      </c>
    </row>
    <row r="761" ht="15.75" customHeight="1">
      <c r="A761" s="85"/>
      <c r="B761" s="85"/>
      <c r="C761" s="85"/>
      <c r="D761" s="85"/>
      <c r="E761" s="85"/>
      <c r="F761" s="85"/>
      <c r="G761" s="88"/>
      <c r="H761" s="88"/>
      <c r="I761" s="85" t="str">
        <f t="shared" si="1"/>
        <v/>
      </c>
    </row>
    <row r="762" ht="15.75" customHeight="1">
      <c r="A762" s="85"/>
      <c r="B762" s="85"/>
      <c r="C762" s="85"/>
      <c r="D762" s="85"/>
      <c r="E762" s="85"/>
      <c r="F762" s="85"/>
      <c r="G762" s="88"/>
      <c r="H762" s="88"/>
      <c r="I762" s="85" t="str">
        <f t="shared" si="1"/>
        <v/>
      </c>
    </row>
    <row r="763" ht="15.75" customHeight="1">
      <c r="A763" s="85"/>
      <c r="B763" s="85"/>
      <c r="C763" s="85"/>
      <c r="D763" s="85"/>
      <c r="E763" s="85"/>
      <c r="F763" s="85"/>
      <c r="G763" s="88"/>
      <c r="H763" s="88"/>
      <c r="I763" s="85" t="str">
        <f t="shared" si="1"/>
        <v/>
      </c>
    </row>
    <row r="764" ht="15.75" customHeight="1">
      <c r="A764" s="85"/>
      <c r="B764" s="85"/>
      <c r="C764" s="85"/>
      <c r="D764" s="85"/>
      <c r="E764" s="85"/>
      <c r="F764" s="85"/>
      <c r="G764" s="88"/>
      <c r="H764" s="88"/>
      <c r="I764" s="85" t="str">
        <f t="shared" si="1"/>
        <v/>
      </c>
    </row>
    <row r="765" ht="15.75" customHeight="1">
      <c r="A765" s="85"/>
      <c r="B765" s="85"/>
      <c r="C765" s="85"/>
      <c r="D765" s="85"/>
      <c r="E765" s="85"/>
      <c r="F765" s="85"/>
      <c r="G765" s="88"/>
      <c r="H765" s="88"/>
      <c r="I765" s="85" t="str">
        <f t="shared" si="1"/>
        <v/>
      </c>
    </row>
    <row r="766" ht="15.75" customHeight="1">
      <c r="A766" s="85"/>
      <c r="B766" s="85"/>
      <c r="C766" s="85"/>
      <c r="D766" s="85"/>
      <c r="E766" s="85"/>
      <c r="F766" s="85"/>
      <c r="G766" s="88"/>
      <c r="H766" s="88"/>
      <c r="I766" s="85" t="str">
        <f t="shared" si="1"/>
        <v/>
      </c>
    </row>
    <row r="767" ht="15.75" customHeight="1">
      <c r="A767" s="85"/>
      <c r="B767" s="85"/>
      <c r="C767" s="85"/>
      <c r="D767" s="85"/>
      <c r="E767" s="85"/>
      <c r="F767" s="85"/>
      <c r="G767" s="88"/>
      <c r="H767" s="88"/>
      <c r="I767" s="85" t="str">
        <f t="shared" si="1"/>
        <v/>
      </c>
    </row>
    <row r="768" ht="15.75" customHeight="1">
      <c r="A768" s="85"/>
      <c r="B768" s="85"/>
      <c r="C768" s="85"/>
      <c r="D768" s="85"/>
      <c r="E768" s="85"/>
      <c r="F768" s="85"/>
      <c r="G768" s="88"/>
      <c r="H768" s="88"/>
      <c r="I768" s="85" t="str">
        <f t="shared" si="1"/>
        <v/>
      </c>
    </row>
    <row r="769" ht="15.75" customHeight="1">
      <c r="A769" s="85"/>
      <c r="B769" s="85"/>
      <c r="C769" s="85"/>
      <c r="D769" s="85"/>
      <c r="E769" s="85"/>
      <c r="F769" s="85"/>
      <c r="G769" s="88"/>
      <c r="H769" s="88"/>
      <c r="I769" s="85" t="str">
        <f t="shared" si="1"/>
        <v/>
      </c>
    </row>
    <row r="770" ht="15.75" customHeight="1">
      <c r="A770" s="85"/>
      <c r="B770" s="85"/>
      <c r="C770" s="85"/>
      <c r="D770" s="85"/>
      <c r="E770" s="85"/>
      <c r="F770" s="85"/>
      <c r="G770" s="88"/>
      <c r="H770" s="88"/>
      <c r="I770" s="85" t="str">
        <f t="shared" si="1"/>
        <v/>
      </c>
    </row>
    <row r="771" ht="15.75" customHeight="1">
      <c r="A771" s="85"/>
      <c r="B771" s="85"/>
      <c r="C771" s="85"/>
      <c r="D771" s="85"/>
      <c r="E771" s="85"/>
      <c r="F771" s="85"/>
      <c r="G771" s="88"/>
      <c r="H771" s="88"/>
      <c r="I771" s="85" t="str">
        <f t="shared" si="1"/>
        <v/>
      </c>
    </row>
    <row r="772" ht="15.75" customHeight="1">
      <c r="A772" s="85"/>
      <c r="B772" s="85"/>
      <c r="C772" s="85"/>
      <c r="D772" s="85"/>
      <c r="E772" s="85"/>
      <c r="F772" s="85"/>
      <c r="G772" s="88"/>
      <c r="H772" s="88"/>
      <c r="I772" s="85" t="str">
        <f t="shared" si="1"/>
        <v/>
      </c>
    </row>
    <row r="773" ht="15.75" customHeight="1">
      <c r="A773" s="85"/>
      <c r="B773" s="85"/>
      <c r="C773" s="85"/>
      <c r="D773" s="85"/>
      <c r="E773" s="85"/>
      <c r="F773" s="85"/>
      <c r="G773" s="88"/>
      <c r="H773" s="88"/>
      <c r="I773" s="85" t="str">
        <f t="shared" si="1"/>
        <v/>
      </c>
    </row>
    <row r="774" ht="15.75" customHeight="1">
      <c r="A774" s="85"/>
      <c r="B774" s="85"/>
      <c r="C774" s="85"/>
      <c r="D774" s="85"/>
      <c r="E774" s="85"/>
      <c r="F774" s="85"/>
      <c r="G774" s="88"/>
      <c r="H774" s="88"/>
      <c r="I774" s="85" t="str">
        <f t="shared" si="1"/>
        <v/>
      </c>
    </row>
    <row r="775" ht="15.75" customHeight="1">
      <c r="A775" s="85"/>
      <c r="B775" s="85"/>
      <c r="C775" s="85"/>
      <c r="D775" s="85"/>
      <c r="E775" s="85"/>
      <c r="F775" s="85"/>
      <c r="G775" s="88"/>
      <c r="H775" s="88"/>
      <c r="I775" s="85" t="str">
        <f t="shared" si="1"/>
        <v/>
      </c>
    </row>
    <row r="776" ht="15.75" customHeight="1">
      <c r="A776" s="85"/>
      <c r="B776" s="85"/>
      <c r="C776" s="85"/>
      <c r="D776" s="85"/>
      <c r="E776" s="85"/>
      <c r="F776" s="85"/>
      <c r="G776" s="88"/>
      <c r="H776" s="88"/>
      <c r="I776" s="85" t="str">
        <f t="shared" si="1"/>
        <v/>
      </c>
    </row>
    <row r="777" ht="15.75" customHeight="1">
      <c r="A777" s="85"/>
      <c r="B777" s="85"/>
      <c r="C777" s="85"/>
      <c r="D777" s="85"/>
      <c r="E777" s="85"/>
      <c r="F777" s="85"/>
      <c r="G777" s="88"/>
      <c r="H777" s="88"/>
      <c r="I777" s="85" t="str">
        <f t="shared" si="1"/>
        <v/>
      </c>
    </row>
    <row r="778" ht="15.75" customHeight="1">
      <c r="A778" s="85"/>
      <c r="B778" s="85"/>
      <c r="C778" s="85"/>
      <c r="D778" s="85"/>
      <c r="E778" s="85"/>
      <c r="F778" s="85"/>
      <c r="G778" s="88"/>
      <c r="H778" s="88"/>
      <c r="I778" s="85" t="str">
        <f t="shared" si="1"/>
        <v/>
      </c>
    </row>
    <row r="779" ht="15.75" customHeight="1">
      <c r="A779" s="85"/>
      <c r="B779" s="85"/>
      <c r="C779" s="85"/>
      <c r="D779" s="85"/>
      <c r="E779" s="85"/>
      <c r="F779" s="85"/>
      <c r="G779" s="88"/>
      <c r="H779" s="88"/>
      <c r="I779" s="85" t="str">
        <f t="shared" si="1"/>
        <v/>
      </c>
    </row>
    <row r="780" ht="15.75" customHeight="1">
      <c r="A780" s="85"/>
      <c r="B780" s="85"/>
      <c r="C780" s="85"/>
      <c r="D780" s="85"/>
      <c r="E780" s="85"/>
      <c r="F780" s="85"/>
      <c r="G780" s="88"/>
      <c r="H780" s="88"/>
      <c r="I780" s="85" t="str">
        <f t="shared" si="1"/>
        <v/>
      </c>
    </row>
    <row r="781" ht="15.75" customHeight="1">
      <c r="A781" s="85"/>
      <c r="B781" s="85"/>
      <c r="C781" s="85"/>
      <c r="D781" s="85"/>
      <c r="E781" s="85"/>
      <c r="F781" s="85"/>
      <c r="G781" s="88"/>
      <c r="H781" s="88"/>
      <c r="I781" s="85" t="str">
        <f t="shared" si="1"/>
        <v/>
      </c>
    </row>
    <row r="782" ht="15.75" customHeight="1">
      <c r="A782" s="85"/>
      <c r="B782" s="85"/>
      <c r="C782" s="85"/>
      <c r="D782" s="85"/>
      <c r="E782" s="85"/>
      <c r="F782" s="85"/>
      <c r="G782" s="88"/>
      <c r="H782" s="88"/>
      <c r="I782" s="85" t="str">
        <f t="shared" si="1"/>
        <v/>
      </c>
    </row>
    <row r="783" ht="15.75" customHeight="1">
      <c r="A783" s="85"/>
      <c r="B783" s="85"/>
      <c r="C783" s="85"/>
      <c r="D783" s="85"/>
      <c r="E783" s="85"/>
      <c r="F783" s="85"/>
      <c r="G783" s="88"/>
      <c r="H783" s="88"/>
      <c r="I783" s="85" t="str">
        <f t="shared" si="1"/>
        <v/>
      </c>
    </row>
    <row r="784" ht="15.75" customHeight="1">
      <c r="A784" s="85"/>
      <c r="B784" s="85"/>
      <c r="C784" s="85"/>
      <c r="D784" s="85"/>
      <c r="E784" s="85"/>
      <c r="F784" s="85"/>
      <c r="G784" s="88"/>
      <c r="H784" s="88"/>
      <c r="I784" s="85" t="str">
        <f t="shared" si="1"/>
        <v/>
      </c>
    </row>
    <row r="785" ht="15.75" customHeight="1">
      <c r="A785" s="85"/>
      <c r="B785" s="85"/>
      <c r="C785" s="85"/>
      <c r="D785" s="85"/>
      <c r="E785" s="85"/>
      <c r="F785" s="85"/>
      <c r="G785" s="88"/>
      <c r="H785" s="88"/>
      <c r="I785" s="85" t="str">
        <f t="shared" si="1"/>
        <v/>
      </c>
    </row>
    <row r="786" ht="15.75" customHeight="1">
      <c r="A786" s="85"/>
      <c r="B786" s="85"/>
      <c r="C786" s="85"/>
      <c r="D786" s="85"/>
      <c r="E786" s="85"/>
      <c r="F786" s="85"/>
      <c r="G786" s="88"/>
      <c r="H786" s="88"/>
      <c r="I786" s="85" t="str">
        <f t="shared" si="1"/>
        <v/>
      </c>
    </row>
    <row r="787" ht="15.75" customHeight="1">
      <c r="A787" s="85"/>
      <c r="B787" s="85"/>
      <c r="C787" s="85"/>
      <c r="D787" s="85"/>
      <c r="E787" s="85"/>
      <c r="F787" s="85"/>
      <c r="G787" s="88"/>
      <c r="H787" s="88"/>
      <c r="I787" s="85" t="str">
        <f t="shared" si="1"/>
        <v/>
      </c>
    </row>
    <row r="788" ht="15.75" customHeight="1">
      <c r="A788" s="85"/>
      <c r="B788" s="85"/>
      <c r="C788" s="85"/>
      <c r="D788" s="85"/>
      <c r="E788" s="85"/>
      <c r="F788" s="85"/>
      <c r="G788" s="88"/>
      <c r="H788" s="88"/>
      <c r="I788" s="85" t="str">
        <f t="shared" si="1"/>
        <v/>
      </c>
    </row>
    <row r="789" ht="15.75" customHeight="1">
      <c r="A789" s="85"/>
      <c r="B789" s="85"/>
      <c r="C789" s="85"/>
      <c r="D789" s="85"/>
      <c r="E789" s="85"/>
      <c r="F789" s="85"/>
      <c r="G789" s="88"/>
      <c r="H789" s="88"/>
      <c r="I789" s="85" t="str">
        <f t="shared" si="1"/>
        <v/>
      </c>
    </row>
    <row r="790" ht="15.75" customHeight="1">
      <c r="A790" s="85"/>
      <c r="B790" s="85"/>
      <c r="C790" s="85"/>
      <c r="D790" s="85"/>
      <c r="E790" s="85"/>
      <c r="F790" s="85"/>
      <c r="G790" s="88"/>
      <c r="H790" s="88"/>
      <c r="I790" s="85" t="str">
        <f t="shared" si="1"/>
        <v/>
      </c>
    </row>
    <row r="791" ht="15.75" customHeight="1">
      <c r="A791" s="85"/>
      <c r="B791" s="85"/>
      <c r="C791" s="85"/>
      <c r="D791" s="85"/>
      <c r="E791" s="85"/>
      <c r="F791" s="85"/>
      <c r="G791" s="88"/>
      <c r="H791" s="88"/>
      <c r="I791" s="85" t="str">
        <f t="shared" si="1"/>
        <v/>
      </c>
    </row>
    <row r="792" ht="15.75" customHeight="1">
      <c r="A792" s="85"/>
      <c r="B792" s="85"/>
      <c r="C792" s="85"/>
      <c r="D792" s="85"/>
      <c r="E792" s="85"/>
      <c r="F792" s="85"/>
      <c r="G792" s="88"/>
      <c r="H792" s="88"/>
      <c r="I792" s="85" t="str">
        <f t="shared" si="1"/>
        <v/>
      </c>
    </row>
    <row r="793" ht="15.75" customHeight="1">
      <c r="A793" s="85"/>
      <c r="B793" s="85"/>
      <c r="C793" s="85"/>
      <c r="D793" s="85"/>
      <c r="E793" s="85"/>
      <c r="F793" s="85"/>
      <c r="G793" s="88"/>
      <c r="H793" s="88"/>
      <c r="I793" s="85" t="str">
        <f t="shared" si="1"/>
        <v/>
      </c>
    </row>
    <row r="794" ht="15.75" customHeight="1">
      <c r="A794" s="85"/>
      <c r="B794" s="85"/>
      <c r="C794" s="85"/>
      <c r="D794" s="85"/>
      <c r="E794" s="85"/>
      <c r="F794" s="85"/>
      <c r="G794" s="88"/>
      <c r="H794" s="88"/>
      <c r="I794" s="85" t="str">
        <f t="shared" si="1"/>
        <v/>
      </c>
    </row>
    <row r="795" ht="15.75" customHeight="1">
      <c r="A795" s="85"/>
      <c r="B795" s="85"/>
      <c r="C795" s="85"/>
      <c r="D795" s="85"/>
      <c r="E795" s="85"/>
      <c r="F795" s="85"/>
      <c r="G795" s="88"/>
      <c r="H795" s="88"/>
      <c r="I795" s="85" t="str">
        <f t="shared" si="1"/>
        <v/>
      </c>
    </row>
    <row r="796" ht="15.75" customHeight="1">
      <c r="A796" s="85"/>
      <c r="B796" s="85"/>
      <c r="C796" s="85"/>
      <c r="D796" s="85"/>
      <c r="E796" s="85"/>
      <c r="F796" s="85"/>
      <c r="G796" s="88"/>
      <c r="H796" s="88"/>
      <c r="I796" s="85" t="str">
        <f t="shared" si="1"/>
        <v/>
      </c>
    </row>
    <row r="797" ht="15.75" customHeight="1">
      <c r="A797" s="85"/>
      <c r="B797" s="85"/>
      <c r="C797" s="85"/>
      <c r="D797" s="85"/>
      <c r="E797" s="85"/>
      <c r="F797" s="85"/>
      <c r="G797" s="88"/>
      <c r="H797" s="88"/>
      <c r="I797" s="85" t="str">
        <f t="shared" si="1"/>
        <v/>
      </c>
    </row>
    <row r="798" ht="15.75" customHeight="1">
      <c r="A798" s="85"/>
      <c r="B798" s="85"/>
      <c r="C798" s="85"/>
      <c r="D798" s="85"/>
      <c r="E798" s="85"/>
      <c r="F798" s="85"/>
      <c r="G798" s="88"/>
      <c r="H798" s="88"/>
      <c r="I798" s="85" t="str">
        <f t="shared" si="1"/>
        <v/>
      </c>
    </row>
    <row r="799" ht="15.75" customHeight="1">
      <c r="A799" s="85"/>
      <c r="B799" s="85"/>
      <c r="C799" s="85"/>
      <c r="D799" s="85"/>
      <c r="E799" s="85"/>
      <c r="F799" s="85"/>
      <c r="G799" s="88"/>
      <c r="H799" s="88"/>
      <c r="I799" s="85" t="str">
        <f t="shared" si="1"/>
        <v/>
      </c>
    </row>
    <row r="800" ht="15.75" customHeight="1">
      <c r="A800" s="85"/>
      <c r="B800" s="85"/>
      <c r="C800" s="85"/>
      <c r="D800" s="85"/>
      <c r="E800" s="85"/>
      <c r="F800" s="85"/>
      <c r="G800" s="88"/>
      <c r="H800" s="88"/>
      <c r="I800" s="85" t="str">
        <f t="shared" si="1"/>
        <v/>
      </c>
    </row>
    <row r="801" ht="15.75" customHeight="1">
      <c r="A801" s="85"/>
      <c r="B801" s="85"/>
      <c r="C801" s="85"/>
      <c r="D801" s="85"/>
      <c r="E801" s="85"/>
      <c r="F801" s="85"/>
      <c r="G801" s="88"/>
      <c r="H801" s="88"/>
      <c r="I801" s="85" t="str">
        <f t="shared" si="1"/>
        <v/>
      </c>
    </row>
    <row r="802" ht="15.75" customHeight="1">
      <c r="A802" s="85"/>
      <c r="B802" s="85"/>
      <c r="C802" s="85"/>
      <c r="D802" s="85"/>
      <c r="E802" s="85"/>
      <c r="F802" s="85"/>
      <c r="G802" s="88"/>
      <c r="H802" s="88"/>
      <c r="I802" s="85" t="str">
        <f t="shared" si="1"/>
        <v/>
      </c>
    </row>
    <row r="803" ht="15.75" customHeight="1">
      <c r="A803" s="85"/>
      <c r="B803" s="85"/>
      <c r="C803" s="85"/>
      <c r="D803" s="85"/>
      <c r="E803" s="85"/>
      <c r="F803" s="85"/>
      <c r="G803" s="88"/>
      <c r="H803" s="88"/>
      <c r="I803" s="85" t="str">
        <f t="shared" si="1"/>
        <v/>
      </c>
    </row>
    <row r="804" ht="15.75" customHeight="1">
      <c r="A804" s="85"/>
      <c r="B804" s="85"/>
      <c r="C804" s="85"/>
      <c r="D804" s="85"/>
      <c r="E804" s="85"/>
      <c r="F804" s="85"/>
      <c r="G804" s="88"/>
      <c r="H804" s="88"/>
      <c r="I804" s="85" t="str">
        <f t="shared" si="1"/>
        <v/>
      </c>
    </row>
    <row r="805" ht="15.75" customHeight="1">
      <c r="A805" s="85"/>
      <c r="B805" s="85"/>
      <c r="C805" s="85"/>
      <c r="D805" s="85"/>
      <c r="E805" s="85"/>
      <c r="F805" s="85"/>
      <c r="G805" s="88"/>
      <c r="H805" s="88"/>
      <c r="I805" s="85" t="str">
        <f t="shared" si="1"/>
        <v/>
      </c>
    </row>
    <row r="806" ht="15.75" customHeight="1">
      <c r="A806" s="85"/>
      <c r="B806" s="85"/>
      <c r="C806" s="85"/>
      <c r="D806" s="85"/>
      <c r="E806" s="85"/>
      <c r="F806" s="85"/>
      <c r="G806" s="88"/>
      <c r="H806" s="88"/>
      <c r="I806" s="85" t="str">
        <f t="shared" si="1"/>
        <v/>
      </c>
    </row>
    <row r="807" ht="15.75" customHeight="1">
      <c r="A807" s="85"/>
      <c r="B807" s="85"/>
      <c r="C807" s="85"/>
      <c r="D807" s="85"/>
      <c r="E807" s="85"/>
      <c r="F807" s="85"/>
      <c r="G807" s="88"/>
      <c r="H807" s="88"/>
      <c r="I807" s="85" t="str">
        <f t="shared" si="1"/>
        <v/>
      </c>
    </row>
    <row r="808" ht="15.75" customHeight="1">
      <c r="A808" s="85"/>
      <c r="B808" s="85"/>
      <c r="C808" s="85"/>
      <c r="D808" s="85"/>
      <c r="E808" s="85"/>
      <c r="F808" s="85"/>
      <c r="G808" s="88"/>
      <c r="H808" s="88"/>
      <c r="I808" s="85" t="str">
        <f t="shared" si="1"/>
        <v/>
      </c>
    </row>
    <row r="809" ht="15.75" customHeight="1">
      <c r="A809" s="85"/>
      <c r="B809" s="85"/>
      <c r="C809" s="85"/>
      <c r="D809" s="85"/>
      <c r="E809" s="85"/>
      <c r="F809" s="85"/>
      <c r="G809" s="88"/>
      <c r="H809" s="88"/>
      <c r="I809" s="85" t="str">
        <f t="shared" si="1"/>
        <v/>
      </c>
    </row>
    <row r="810" ht="15.75" customHeight="1">
      <c r="A810" s="85"/>
      <c r="B810" s="85"/>
      <c r="C810" s="85"/>
      <c r="D810" s="85"/>
      <c r="E810" s="85"/>
      <c r="F810" s="85"/>
      <c r="G810" s="88"/>
      <c r="H810" s="88"/>
      <c r="I810" s="85" t="str">
        <f t="shared" si="1"/>
        <v/>
      </c>
    </row>
    <row r="811" ht="15.75" customHeight="1">
      <c r="A811" s="85"/>
      <c r="B811" s="85"/>
      <c r="C811" s="85"/>
      <c r="D811" s="85"/>
      <c r="E811" s="85"/>
      <c r="F811" s="85"/>
      <c r="G811" s="88"/>
      <c r="H811" s="88"/>
      <c r="I811" s="85" t="str">
        <f t="shared" si="1"/>
        <v/>
      </c>
    </row>
    <row r="812" ht="15.75" customHeight="1">
      <c r="A812" s="85"/>
      <c r="B812" s="85"/>
      <c r="C812" s="85"/>
      <c r="D812" s="85"/>
      <c r="E812" s="85"/>
      <c r="F812" s="85"/>
      <c r="G812" s="88"/>
      <c r="H812" s="88"/>
      <c r="I812" s="85" t="str">
        <f t="shared" si="1"/>
        <v/>
      </c>
    </row>
    <row r="813" ht="15.75" customHeight="1">
      <c r="A813" s="85"/>
      <c r="B813" s="85"/>
      <c r="C813" s="85"/>
      <c r="D813" s="85"/>
      <c r="E813" s="85"/>
      <c r="F813" s="85"/>
      <c r="G813" s="88"/>
      <c r="H813" s="88"/>
      <c r="I813" s="85" t="str">
        <f t="shared" si="1"/>
        <v/>
      </c>
    </row>
    <row r="814" ht="15.75" customHeight="1">
      <c r="A814" s="85"/>
      <c r="B814" s="85"/>
      <c r="C814" s="85"/>
      <c r="D814" s="85"/>
      <c r="E814" s="85"/>
      <c r="F814" s="85"/>
      <c r="G814" s="88"/>
      <c r="H814" s="88"/>
      <c r="I814" s="85" t="str">
        <f t="shared" si="1"/>
        <v/>
      </c>
    </row>
    <row r="815" ht="15.75" customHeight="1">
      <c r="A815" s="85"/>
      <c r="B815" s="85"/>
      <c r="C815" s="85"/>
      <c r="D815" s="85"/>
      <c r="E815" s="85"/>
      <c r="F815" s="85"/>
      <c r="G815" s="88"/>
      <c r="H815" s="88"/>
      <c r="I815" s="85" t="str">
        <f t="shared" si="1"/>
        <v/>
      </c>
    </row>
    <row r="816" ht="15.75" customHeight="1">
      <c r="A816" s="85"/>
      <c r="B816" s="85"/>
      <c r="C816" s="85"/>
      <c r="D816" s="85"/>
      <c r="E816" s="85"/>
      <c r="F816" s="85"/>
      <c r="G816" s="88"/>
      <c r="H816" s="88"/>
      <c r="I816" s="85" t="str">
        <f t="shared" si="1"/>
        <v/>
      </c>
    </row>
    <row r="817" ht="15.75" customHeight="1">
      <c r="A817" s="85"/>
      <c r="B817" s="85"/>
      <c r="C817" s="85"/>
      <c r="D817" s="85"/>
      <c r="E817" s="85"/>
      <c r="F817" s="85"/>
      <c r="G817" s="88"/>
      <c r="H817" s="88"/>
      <c r="I817" s="85" t="str">
        <f t="shared" si="1"/>
        <v/>
      </c>
    </row>
    <row r="818" ht="15.75" customHeight="1">
      <c r="A818" s="85"/>
      <c r="B818" s="85"/>
      <c r="C818" s="85"/>
      <c r="D818" s="85"/>
      <c r="E818" s="85"/>
      <c r="F818" s="85"/>
      <c r="G818" s="88"/>
      <c r="H818" s="88"/>
      <c r="I818" s="85" t="str">
        <f t="shared" si="1"/>
        <v/>
      </c>
    </row>
    <row r="819" ht="15.75" customHeight="1">
      <c r="A819" s="85"/>
      <c r="B819" s="85"/>
      <c r="C819" s="85"/>
      <c r="D819" s="85"/>
      <c r="E819" s="85"/>
      <c r="F819" s="85"/>
      <c r="G819" s="88"/>
      <c r="H819" s="88"/>
      <c r="I819" s="85" t="str">
        <f t="shared" si="1"/>
        <v/>
      </c>
    </row>
    <row r="820" ht="15.75" customHeight="1">
      <c r="A820" s="85"/>
      <c r="B820" s="85"/>
      <c r="C820" s="85"/>
      <c r="D820" s="85"/>
      <c r="E820" s="85"/>
      <c r="F820" s="85"/>
      <c r="G820" s="88"/>
      <c r="H820" s="88"/>
      <c r="I820" s="85" t="str">
        <f t="shared" si="1"/>
        <v/>
      </c>
    </row>
    <row r="821" ht="15.75" customHeight="1">
      <c r="A821" s="85"/>
      <c r="B821" s="85"/>
      <c r="C821" s="85"/>
      <c r="D821" s="85"/>
      <c r="E821" s="85"/>
      <c r="F821" s="85"/>
      <c r="G821" s="88"/>
      <c r="H821" s="88"/>
      <c r="I821" s="85" t="str">
        <f t="shared" si="1"/>
        <v/>
      </c>
    </row>
    <row r="822" ht="15.75" customHeight="1">
      <c r="A822" s="85"/>
      <c r="B822" s="85"/>
      <c r="C822" s="85"/>
      <c r="D822" s="85"/>
      <c r="E822" s="85"/>
      <c r="F822" s="85"/>
      <c r="G822" s="88"/>
      <c r="H822" s="88"/>
      <c r="I822" s="85" t="str">
        <f t="shared" si="1"/>
        <v/>
      </c>
    </row>
    <row r="823" ht="15.75" customHeight="1">
      <c r="A823" s="85"/>
      <c r="B823" s="85"/>
      <c r="C823" s="85"/>
      <c r="D823" s="85"/>
      <c r="E823" s="85"/>
      <c r="F823" s="85"/>
      <c r="G823" s="88"/>
      <c r="H823" s="88"/>
      <c r="I823" s="85" t="str">
        <f t="shared" si="1"/>
        <v/>
      </c>
    </row>
    <row r="824" ht="15.75" customHeight="1">
      <c r="A824" s="85"/>
      <c r="B824" s="85"/>
      <c r="C824" s="85"/>
      <c r="D824" s="85"/>
      <c r="E824" s="85"/>
      <c r="F824" s="85"/>
      <c r="G824" s="88"/>
      <c r="H824" s="88"/>
      <c r="I824" s="85" t="str">
        <f t="shared" si="1"/>
        <v/>
      </c>
    </row>
    <row r="825" ht="15.75" customHeight="1">
      <c r="A825" s="85"/>
      <c r="B825" s="85"/>
      <c r="C825" s="85"/>
      <c r="D825" s="85"/>
      <c r="E825" s="85"/>
      <c r="F825" s="85"/>
      <c r="G825" s="88"/>
      <c r="H825" s="88"/>
      <c r="I825" s="85" t="str">
        <f t="shared" si="1"/>
        <v/>
      </c>
    </row>
    <row r="826" ht="15.75" customHeight="1">
      <c r="A826" s="85"/>
      <c r="B826" s="85"/>
      <c r="C826" s="85"/>
      <c r="D826" s="85"/>
      <c r="E826" s="85"/>
      <c r="F826" s="85"/>
      <c r="G826" s="88"/>
      <c r="H826" s="88"/>
      <c r="I826" s="85" t="str">
        <f t="shared" si="1"/>
        <v/>
      </c>
    </row>
    <row r="827" ht="15.75" customHeight="1">
      <c r="A827" s="85"/>
      <c r="B827" s="85"/>
      <c r="C827" s="85"/>
      <c r="D827" s="85"/>
      <c r="E827" s="85"/>
      <c r="F827" s="85"/>
      <c r="G827" s="88"/>
      <c r="H827" s="88"/>
      <c r="I827" s="85" t="str">
        <f t="shared" si="1"/>
        <v/>
      </c>
    </row>
    <row r="828" ht="15.75" customHeight="1">
      <c r="A828" s="85"/>
      <c r="B828" s="85"/>
      <c r="C828" s="85"/>
      <c r="D828" s="85"/>
      <c r="E828" s="85"/>
      <c r="F828" s="85"/>
      <c r="G828" s="88"/>
      <c r="H828" s="88"/>
      <c r="I828" s="85" t="str">
        <f t="shared" si="1"/>
        <v/>
      </c>
    </row>
    <row r="829" ht="15.75" customHeight="1">
      <c r="A829" s="85"/>
      <c r="B829" s="85"/>
      <c r="C829" s="85"/>
      <c r="D829" s="85"/>
      <c r="E829" s="85"/>
      <c r="F829" s="85"/>
      <c r="G829" s="88"/>
      <c r="H829" s="88"/>
      <c r="I829" s="85" t="str">
        <f t="shared" si="1"/>
        <v/>
      </c>
    </row>
    <row r="830" ht="15.75" customHeight="1">
      <c r="A830" s="85"/>
      <c r="B830" s="85"/>
      <c r="C830" s="85"/>
      <c r="D830" s="85"/>
      <c r="E830" s="85"/>
      <c r="F830" s="85"/>
      <c r="G830" s="88"/>
      <c r="H830" s="88"/>
      <c r="I830" s="85" t="str">
        <f t="shared" si="1"/>
        <v/>
      </c>
    </row>
    <row r="831" ht="15.75" customHeight="1">
      <c r="A831" s="85"/>
      <c r="B831" s="85"/>
      <c r="C831" s="85"/>
      <c r="D831" s="85"/>
      <c r="E831" s="85"/>
      <c r="F831" s="85"/>
      <c r="G831" s="88"/>
      <c r="H831" s="88"/>
      <c r="I831" s="85" t="str">
        <f t="shared" si="1"/>
        <v/>
      </c>
    </row>
    <row r="832" ht="15.75" customHeight="1">
      <c r="A832" s="85"/>
      <c r="B832" s="85"/>
      <c r="C832" s="85"/>
      <c r="D832" s="85"/>
      <c r="E832" s="85"/>
      <c r="F832" s="85"/>
      <c r="G832" s="88"/>
      <c r="H832" s="88"/>
      <c r="I832" s="85" t="str">
        <f t="shared" si="1"/>
        <v/>
      </c>
    </row>
    <row r="833" ht="15.75" customHeight="1">
      <c r="A833" s="85"/>
      <c r="B833" s="85"/>
      <c r="C833" s="85"/>
      <c r="D833" s="85"/>
      <c r="E833" s="85"/>
      <c r="F833" s="85"/>
      <c r="G833" s="88"/>
      <c r="H833" s="88"/>
      <c r="I833" s="85" t="str">
        <f t="shared" si="1"/>
        <v/>
      </c>
    </row>
    <row r="834" ht="15.75" customHeight="1">
      <c r="A834" s="85"/>
      <c r="B834" s="85"/>
      <c r="C834" s="85"/>
      <c r="D834" s="85"/>
      <c r="E834" s="85"/>
      <c r="F834" s="85"/>
      <c r="G834" s="88"/>
      <c r="H834" s="88"/>
      <c r="I834" s="85" t="str">
        <f t="shared" si="1"/>
        <v/>
      </c>
    </row>
    <row r="835" ht="15.75" customHeight="1">
      <c r="A835" s="85"/>
      <c r="B835" s="85"/>
      <c r="C835" s="85"/>
      <c r="D835" s="85"/>
      <c r="E835" s="85"/>
      <c r="F835" s="85"/>
      <c r="G835" s="88"/>
      <c r="H835" s="88"/>
      <c r="I835" s="85" t="str">
        <f t="shared" si="1"/>
        <v/>
      </c>
    </row>
    <row r="836" ht="15.75" customHeight="1">
      <c r="A836" s="85"/>
      <c r="B836" s="85"/>
      <c r="C836" s="85"/>
      <c r="D836" s="85"/>
      <c r="E836" s="85"/>
      <c r="F836" s="85"/>
      <c r="G836" s="88"/>
      <c r="H836" s="88"/>
      <c r="I836" s="85" t="str">
        <f t="shared" si="1"/>
        <v/>
      </c>
    </row>
    <row r="837" ht="15.75" customHeight="1">
      <c r="A837" s="85"/>
      <c r="B837" s="85"/>
      <c r="C837" s="85"/>
      <c r="D837" s="85"/>
      <c r="E837" s="85"/>
      <c r="F837" s="85"/>
      <c r="G837" s="88"/>
      <c r="H837" s="88"/>
      <c r="I837" s="85" t="str">
        <f t="shared" si="1"/>
        <v/>
      </c>
    </row>
    <row r="838" ht="15.75" customHeight="1">
      <c r="A838" s="85"/>
      <c r="B838" s="85"/>
      <c r="C838" s="85"/>
      <c r="D838" s="85"/>
      <c r="E838" s="85"/>
      <c r="F838" s="85"/>
      <c r="G838" s="88"/>
      <c r="H838" s="88"/>
      <c r="I838" s="85" t="str">
        <f t="shared" si="1"/>
        <v/>
      </c>
    </row>
    <row r="839" ht="15.75" customHeight="1">
      <c r="A839" s="85"/>
      <c r="B839" s="85"/>
      <c r="C839" s="85"/>
      <c r="D839" s="85"/>
      <c r="E839" s="85"/>
      <c r="F839" s="85"/>
      <c r="G839" s="88"/>
      <c r="H839" s="88"/>
      <c r="I839" s="85" t="str">
        <f t="shared" si="1"/>
        <v/>
      </c>
    </row>
    <row r="840" ht="15.75" customHeight="1">
      <c r="A840" s="85"/>
      <c r="B840" s="85"/>
      <c r="C840" s="85"/>
      <c r="D840" s="85"/>
      <c r="E840" s="85"/>
      <c r="F840" s="85"/>
      <c r="G840" s="88"/>
      <c r="H840" s="88"/>
      <c r="I840" s="85" t="str">
        <f t="shared" si="1"/>
        <v/>
      </c>
    </row>
    <row r="841" ht="15.75" customHeight="1">
      <c r="A841" s="85"/>
      <c r="B841" s="85"/>
      <c r="C841" s="85"/>
      <c r="D841" s="85"/>
      <c r="E841" s="85"/>
      <c r="F841" s="85"/>
      <c r="G841" s="88"/>
      <c r="H841" s="88"/>
      <c r="I841" s="85" t="str">
        <f t="shared" si="1"/>
        <v/>
      </c>
    </row>
    <row r="842" ht="15.75" customHeight="1">
      <c r="A842" s="85"/>
      <c r="B842" s="85"/>
      <c r="C842" s="85"/>
      <c r="D842" s="85"/>
      <c r="E842" s="85"/>
      <c r="F842" s="85"/>
      <c r="G842" s="88"/>
      <c r="H842" s="88"/>
      <c r="I842" s="85" t="str">
        <f t="shared" si="1"/>
        <v/>
      </c>
    </row>
    <row r="843" ht="15.75" customHeight="1">
      <c r="A843" s="85"/>
      <c r="B843" s="85"/>
      <c r="C843" s="85"/>
      <c r="D843" s="85"/>
      <c r="E843" s="85"/>
      <c r="F843" s="85"/>
      <c r="G843" s="88"/>
      <c r="H843" s="88"/>
      <c r="I843" s="85" t="str">
        <f t="shared" si="1"/>
        <v/>
      </c>
    </row>
    <row r="844" ht="15.75" customHeight="1">
      <c r="A844" s="85"/>
      <c r="B844" s="85"/>
      <c r="C844" s="85"/>
      <c r="D844" s="85"/>
      <c r="E844" s="85"/>
      <c r="F844" s="85"/>
      <c r="G844" s="88"/>
      <c r="H844" s="88"/>
      <c r="I844" s="85" t="str">
        <f t="shared" si="1"/>
        <v/>
      </c>
    </row>
    <row r="845" ht="15.75" customHeight="1">
      <c r="A845" s="85"/>
      <c r="B845" s="85"/>
      <c r="C845" s="85"/>
      <c r="D845" s="85"/>
      <c r="E845" s="85"/>
      <c r="F845" s="85"/>
      <c r="G845" s="88"/>
      <c r="H845" s="88"/>
      <c r="I845" s="85" t="str">
        <f t="shared" si="1"/>
        <v/>
      </c>
    </row>
    <row r="846" ht="15.75" customHeight="1">
      <c r="A846" s="85"/>
      <c r="B846" s="85"/>
      <c r="C846" s="85"/>
      <c r="D846" s="85"/>
      <c r="E846" s="85"/>
      <c r="F846" s="85"/>
      <c r="G846" s="88"/>
      <c r="H846" s="88"/>
      <c r="I846" s="85" t="str">
        <f t="shared" si="1"/>
        <v/>
      </c>
    </row>
    <row r="847" ht="15.75" customHeight="1">
      <c r="A847" s="85"/>
      <c r="B847" s="85"/>
      <c r="C847" s="85"/>
      <c r="D847" s="85"/>
      <c r="E847" s="85"/>
      <c r="F847" s="85"/>
      <c r="G847" s="88"/>
      <c r="H847" s="88"/>
      <c r="I847" s="85" t="str">
        <f t="shared" si="1"/>
        <v/>
      </c>
    </row>
    <row r="848" ht="15.75" customHeight="1">
      <c r="A848" s="85"/>
      <c r="B848" s="85"/>
      <c r="C848" s="85"/>
      <c r="D848" s="85"/>
      <c r="E848" s="85"/>
      <c r="F848" s="85"/>
      <c r="G848" s="88"/>
      <c r="H848" s="88"/>
      <c r="I848" s="85" t="str">
        <f t="shared" si="1"/>
        <v/>
      </c>
    </row>
    <row r="849" ht="15.75" customHeight="1">
      <c r="A849" s="85"/>
      <c r="B849" s="85"/>
      <c r="C849" s="85"/>
      <c r="D849" s="85"/>
      <c r="E849" s="85"/>
      <c r="F849" s="85"/>
      <c r="G849" s="88"/>
      <c r="H849" s="88"/>
      <c r="I849" s="85" t="str">
        <f t="shared" si="1"/>
        <v/>
      </c>
    </row>
    <row r="850" ht="15.75" customHeight="1">
      <c r="A850" s="85"/>
      <c r="B850" s="85"/>
      <c r="C850" s="85"/>
      <c r="D850" s="85"/>
      <c r="E850" s="85"/>
      <c r="F850" s="85"/>
      <c r="G850" s="88"/>
      <c r="H850" s="88"/>
      <c r="I850" s="85" t="str">
        <f t="shared" si="1"/>
        <v/>
      </c>
    </row>
    <row r="851" ht="15.75" customHeight="1">
      <c r="A851" s="85"/>
      <c r="B851" s="85"/>
      <c r="C851" s="85"/>
      <c r="D851" s="85"/>
      <c r="E851" s="85"/>
      <c r="F851" s="85"/>
      <c r="G851" s="88"/>
      <c r="H851" s="88"/>
      <c r="I851" s="85" t="str">
        <f t="shared" si="1"/>
        <v/>
      </c>
    </row>
    <row r="852" ht="15.75" customHeight="1">
      <c r="A852" s="85"/>
      <c r="B852" s="85"/>
      <c r="C852" s="85"/>
      <c r="D852" s="85"/>
      <c r="E852" s="85"/>
      <c r="F852" s="85"/>
      <c r="G852" s="88"/>
      <c r="H852" s="88"/>
      <c r="I852" s="85" t="str">
        <f t="shared" si="1"/>
        <v/>
      </c>
    </row>
    <row r="853" ht="15.75" customHeight="1">
      <c r="A853" s="85"/>
      <c r="B853" s="85"/>
      <c r="C853" s="85"/>
      <c r="D853" s="85"/>
      <c r="E853" s="85"/>
      <c r="F853" s="85"/>
      <c r="G853" s="88"/>
      <c r="H853" s="88"/>
      <c r="I853" s="85" t="str">
        <f t="shared" si="1"/>
        <v/>
      </c>
    </row>
    <row r="854" ht="15.75" customHeight="1">
      <c r="A854" s="85"/>
      <c r="B854" s="85"/>
      <c r="C854" s="85"/>
      <c r="D854" s="85"/>
      <c r="E854" s="85"/>
      <c r="F854" s="85"/>
      <c r="G854" s="88"/>
      <c r="H854" s="88"/>
      <c r="I854" s="85" t="str">
        <f t="shared" si="1"/>
        <v/>
      </c>
    </row>
    <row r="855" ht="15.75" customHeight="1">
      <c r="A855" s="85"/>
      <c r="B855" s="85"/>
      <c r="C855" s="85"/>
      <c r="D855" s="85"/>
      <c r="E855" s="85"/>
      <c r="F855" s="85"/>
      <c r="G855" s="88"/>
      <c r="H855" s="88"/>
      <c r="I855" s="85" t="str">
        <f t="shared" si="1"/>
        <v/>
      </c>
    </row>
    <row r="856" ht="15.75" customHeight="1">
      <c r="A856" s="85"/>
      <c r="B856" s="85"/>
      <c r="C856" s="85"/>
      <c r="D856" s="85"/>
      <c r="E856" s="85"/>
      <c r="F856" s="85"/>
      <c r="G856" s="88"/>
      <c r="H856" s="88"/>
      <c r="I856" s="85" t="str">
        <f t="shared" si="1"/>
        <v/>
      </c>
    </row>
    <row r="857" ht="15.75" customHeight="1">
      <c r="A857" s="85"/>
      <c r="B857" s="85"/>
      <c r="C857" s="85"/>
      <c r="D857" s="85"/>
      <c r="E857" s="85"/>
      <c r="F857" s="85"/>
      <c r="G857" s="88"/>
      <c r="H857" s="88"/>
      <c r="I857" s="85" t="str">
        <f t="shared" si="1"/>
        <v/>
      </c>
    </row>
    <row r="858" ht="15.75" customHeight="1">
      <c r="A858" s="85"/>
      <c r="B858" s="85"/>
      <c r="C858" s="85"/>
      <c r="D858" s="85"/>
      <c r="E858" s="85"/>
      <c r="F858" s="85"/>
      <c r="G858" s="88"/>
      <c r="H858" s="88"/>
      <c r="I858" s="85" t="str">
        <f t="shared" si="1"/>
        <v/>
      </c>
    </row>
    <row r="859" ht="15.75" customHeight="1">
      <c r="A859" s="85"/>
      <c r="B859" s="85"/>
      <c r="C859" s="85"/>
      <c r="D859" s="85"/>
      <c r="E859" s="85"/>
      <c r="F859" s="85"/>
      <c r="G859" s="88"/>
      <c r="H859" s="88"/>
      <c r="I859" s="85" t="str">
        <f t="shared" si="1"/>
        <v/>
      </c>
    </row>
    <row r="860" ht="15.75" customHeight="1">
      <c r="A860" s="85"/>
      <c r="B860" s="85"/>
      <c r="C860" s="85"/>
      <c r="D860" s="85"/>
      <c r="E860" s="85"/>
      <c r="F860" s="85"/>
      <c r="G860" s="88"/>
      <c r="H860" s="88"/>
      <c r="I860" s="85" t="str">
        <f t="shared" si="1"/>
        <v/>
      </c>
    </row>
    <row r="861" ht="15.75" customHeight="1">
      <c r="A861" s="85"/>
      <c r="B861" s="85"/>
      <c r="C861" s="85"/>
      <c r="D861" s="85"/>
      <c r="E861" s="85"/>
      <c r="F861" s="85"/>
      <c r="G861" s="88"/>
      <c r="H861" s="88"/>
      <c r="I861" s="85" t="str">
        <f t="shared" si="1"/>
        <v/>
      </c>
    </row>
    <row r="862" ht="15.75" customHeight="1">
      <c r="A862" s="85"/>
      <c r="B862" s="85"/>
      <c r="C862" s="85"/>
      <c r="D862" s="85"/>
      <c r="E862" s="85"/>
      <c r="F862" s="85"/>
      <c r="G862" s="88"/>
      <c r="H862" s="88"/>
      <c r="I862" s="85" t="str">
        <f t="shared" si="1"/>
        <v/>
      </c>
    </row>
    <row r="863" ht="15.75" customHeight="1">
      <c r="A863" s="85"/>
      <c r="B863" s="85"/>
      <c r="C863" s="85"/>
      <c r="D863" s="85"/>
      <c r="E863" s="85"/>
      <c r="F863" s="85"/>
      <c r="G863" s="88"/>
      <c r="H863" s="88"/>
      <c r="I863" s="85" t="str">
        <f t="shared" si="1"/>
        <v/>
      </c>
    </row>
    <row r="864" ht="15.75" customHeight="1">
      <c r="A864" s="85"/>
      <c r="B864" s="85"/>
      <c r="C864" s="85"/>
      <c r="D864" s="85"/>
      <c r="E864" s="85"/>
      <c r="F864" s="85"/>
      <c r="G864" s="88"/>
      <c r="H864" s="88"/>
      <c r="I864" s="85" t="str">
        <f t="shared" si="1"/>
        <v/>
      </c>
    </row>
    <row r="865" ht="15.75" customHeight="1">
      <c r="A865" s="85"/>
      <c r="B865" s="85"/>
      <c r="C865" s="85"/>
      <c r="D865" s="85"/>
      <c r="E865" s="85"/>
      <c r="F865" s="85"/>
      <c r="G865" s="88"/>
      <c r="H865" s="88"/>
      <c r="I865" s="85" t="str">
        <f t="shared" si="1"/>
        <v/>
      </c>
    </row>
    <row r="866" ht="15.75" customHeight="1">
      <c r="A866" s="85"/>
      <c r="B866" s="85"/>
      <c r="C866" s="85"/>
      <c r="D866" s="85"/>
      <c r="E866" s="85"/>
      <c r="F866" s="85"/>
      <c r="G866" s="88"/>
      <c r="H866" s="88"/>
      <c r="I866" s="85" t="str">
        <f t="shared" si="1"/>
        <v/>
      </c>
    </row>
    <row r="867" ht="15.75" customHeight="1">
      <c r="A867" s="85"/>
      <c r="B867" s="85"/>
      <c r="C867" s="85"/>
      <c r="D867" s="85"/>
      <c r="E867" s="85"/>
      <c r="F867" s="85"/>
      <c r="G867" s="88"/>
      <c r="H867" s="88"/>
      <c r="I867" s="85" t="str">
        <f t="shared" si="1"/>
        <v/>
      </c>
    </row>
    <row r="868" ht="15.75" customHeight="1">
      <c r="A868" s="85"/>
      <c r="B868" s="85"/>
      <c r="C868" s="85"/>
      <c r="D868" s="85"/>
      <c r="E868" s="85"/>
      <c r="F868" s="85"/>
      <c r="G868" s="88"/>
      <c r="H868" s="88"/>
      <c r="I868" s="85" t="str">
        <f t="shared" si="1"/>
        <v/>
      </c>
    </row>
    <row r="869" ht="15.75" customHeight="1">
      <c r="A869" s="85"/>
      <c r="B869" s="85"/>
      <c r="C869" s="85"/>
      <c r="D869" s="85"/>
      <c r="E869" s="85"/>
      <c r="F869" s="85"/>
      <c r="G869" s="88"/>
      <c r="H869" s="88"/>
      <c r="I869" s="85" t="str">
        <f t="shared" si="1"/>
        <v/>
      </c>
    </row>
    <row r="870" ht="15.75" customHeight="1">
      <c r="A870" s="85"/>
      <c r="B870" s="85"/>
      <c r="C870" s="85"/>
      <c r="D870" s="85"/>
      <c r="E870" s="85"/>
      <c r="F870" s="85"/>
      <c r="G870" s="88"/>
      <c r="H870" s="88"/>
      <c r="I870" s="85" t="str">
        <f t="shared" si="1"/>
        <v/>
      </c>
    </row>
    <row r="871" ht="15.75" customHeight="1">
      <c r="A871" s="85"/>
      <c r="B871" s="85"/>
      <c r="C871" s="85"/>
      <c r="D871" s="85"/>
      <c r="E871" s="85"/>
      <c r="F871" s="85"/>
      <c r="G871" s="88"/>
      <c r="H871" s="88"/>
      <c r="I871" s="85" t="str">
        <f t="shared" si="1"/>
        <v/>
      </c>
    </row>
    <row r="872" ht="15.75" customHeight="1">
      <c r="A872" s="85"/>
      <c r="B872" s="85"/>
      <c r="C872" s="85"/>
      <c r="D872" s="85"/>
      <c r="E872" s="85"/>
      <c r="F872" s="85"/>
      <c r="G872" s="88"/>
      <c r="H872" s="88"/>
      <c r="I872" s="85" t="str">
        <f t="shared" si="1"/>
        <v/>
      </c>
    </row>
    <row r="873" ht="15.75" customHeight="1">
      <c r="A873" s="85"/>
      <c r="B873" s="85"/>
      <c r="C873" s="85"/>
      <c r="D873" s="85"/>
      <c r="E873" s="85"/>
      <c r="F873" s="85"/>
      <c r="G873" s="88"/>
      <c r="H873" s="88"/>
      <c r="I873" s="85" t="str">
        <f t="shared" si="1"/>
        <v/>
      </c>
    </row>
    <row r="874" ht="15.75" customHeight="1">
      <c r="A874" s="85"/>
      <c r="B874" s="85"/>
      <c r="C874" s="85"/>
      <c r="D874" s="85"/>
      <c r="E874" s="85"/>
      <c r="F874" s="85"/>
      <c r="G874" s="88"/>
      <c r="H874" s="88"/>
      <c r="I874" s="85" t="str">
        <f t="shared" si="1"/>
        <v/>
      </c>
    </row>
    <row r="875" ht="15.75" customHeight="1">
      <c r="A875" s="85"/>
      <c r="B875" s="85"/>
      <c r="C875" s="85"/>
      <c r="D875" s="85"/>
      <c r="E875" s="85"/>
      <c r="F875" s="85"/>
      <c r="G875" s="88"/>
      <c r="H875" s="88"/>
      <c r="I875" s="85" t="str">
        <f t="shared" si="1"/>
        <v/>
      </c>
    </row>
    <row r="876" ht="15.75" customHeight="1">
      <c r="A876" s="85"/>
      <c r="B876" s="85"/>
      <c r="C876" s="85"/>
      <c r="D876" s="85"/>
      <c r="E876" s="85"/>
      <c r="F876" s="85"/>
      <c r="G876" s="88"/>
      <c r="H876" s="88"/>
      <c r="I876" s="85" t="str">
        <f t="shared" si="1"/>
        <v/>
      </c>
    </row>
    <row r="877" ht="15.75" customHeight="1">
      <c r="A877" s="85"/>
      <c r="B877" s="85"/>
      <c r="C877" s="85"/>
      <c r="D877" s="85"/>
      <c r="E877" s="85"/>
      <c r="F877" s="85"/>
      <c r="G877" s="88"/>
      <c r="H877" s="88"/>
      <c r="I877" s="85" t="str">
        <f t="shared" si="1"/>
        <v/>
      </c>
    </row>
    <row r="878" ht="15.75" customHeight="1">
      <c r="A878" s="85"/>
      <c r="B878" s="85"/>
      <c r="C878" s="85"/>
      <c r="D878" s="85"/>
      <c r="E878" s="85"/>
      <c r="F878" s="85"/>
      <c r="G878" s="88"/>
      <c r="H878" s="88"/>
      <c r="I878" s="85" t="str">
        <f t="shared" si="1"/>
        <v/>
      </c>
    </row>
    <row r="879" ht="15.75" customHeight="1">
      <c r="A879" s="85"/>
      <c r="B879" s="85"/>
      <c r="C879" s="85"/>
      <c r="D879" s="85"/>
      <c r="E879" s="85"/>
      <c r="F879" s="85"/>
      <c r="G879" s="88"/>
      <c r="H879" s="88"/>
      <c r="I879" s="85" t="str">
        <f t="shared" si="1"/>
        <v/>
      </c>
    </row>
    <row r="880" ht="15.75" customHeight="1">
      <c r="A880" s="85"/>
      <c r="B880" s="85"/>
      <c r="C880" s="85"/>
      <c r="D880" s="85"/>
      <c r="E880" s="85"/>
      <c r="F880" s="85"/>
      <c r="G880" s="88"/>
      <c r="H880" s="88"/>
      <c r="I880" s="85" t="str">
        <f t="shared" si="1"/>
        <v/>
      </c>
    </row>
    <row r="881" ht="15.75" customHeight="1">
      <c r="A881" s="85"/>
      <c r="B881" s="85"/>
      <c r="C881" s="85"/>
      <c r="D881" s="85"/>
      <c r="E881" s="85"/>
      <c r="F881" s="85"/>
      <c r="G881" s="88"/>
      <c r="H881" s="88"/>
      <c r="I881" s="85" t="str">
        <f t="shared" si="1"/>
        <v/>
      </c>
    </row>
    <row r="882" ht="15.75" customHeight="1">
      <c r="A882" s="85"/>
      <c r="B882" s="85"/>
      <c r="C882" s="85"/>
      <c r="D882" s="85"/>
      <c r="E882" s="85"/>
      <c r="F882" s="85"/>
      <c r="G882" s="88"/>
      <c r="H882" s="88"/>
      <c r="I882" s="85" t="str">
        <f t="shared" si="1"/>
        <v/>
      </c>
    </row>
    <row r="883" ht="15.75" customHeight="1">
      <c r="A883" s="85"/>
      <c r="B883" s="85"/>
      <c r="C883" s="85"/>
      <c r="D883" s="85"/>
      <c r="E883" s="85"/>
      <c r="F883" s="85"/>
      <c r="G883" s="88"/>
      <c r="H883" s="88"/>
      <c r="I883" s="85" t="str">
        <f t="shared" si="1"/>
        <v/>
      </c>
    </row>
    <row r="884" ht="15.75" customHeight="1">
      <c r="A884" s="85"/>
      <c r="B884" s="85"/>
      <c r="C884" s="85"/>
      <c r="D884" s="85"/>
      <c r="E884" s="85"/>
      <c r="F884" s="85"/>
      <c r="G884" s="88"/>
      <c r="H884" s="88"/>
      <c r="I884" s="85" t="str">
        <f t="shared" si="1"/>
        <v/>
      </c>
    </row>
    <row r="885" ht="15.75" customHeight="1">
      <c r="A885" s="85"/>
      <c r="B885" s="85"/>
      <c r="C885" s="85"/>
      <c r="D885" s="85"/>
      <c r="E885" s="85"/>
      <c r="F885" s="85"/>
      <c r="G885" s="88"/>
      <c r="H885" s="88"/>
      <c r="I885" s="85" t="str">
        <f t="shared" si="1"/>
        <v/>
      </c>
    </row>
    <row r="886" ht="15.75" customHeight="1">
      <c r="A886" s="85"/>
      <c r="B886" s="85"/>
      <c r="C886" s="85"/>
      <c r="D886" s="85"/>
      <c r="E886" s="85"/>
      <c r="F886" s="85"/>
      <c r="G886" s="88"/>
      <c r="H886" s="88"/>
      <c r="I886" s="85" t="str">
        <f t="shared" si="1"/>
        <v/>
      </c>
    </row>
    <row r="887" ht="15.75" customHeight="1">
      <c r="A887" s="85"/>
      <c r="B887" s="85"/>
      <c r="C887" s="85"/>
      <c r="D887" s="85"/>
      <c r="E887" s="85"/>
      <c r="F887" s="85"/>
      <c r="G887" s="88"/>
      <c r="H887" s="88"/>
      <c r="I887" s="85" t="str">
        <f t="shared" si="1"/>
        <v/>
      </c>
    </row>
    <row r="888" ht="15.75" customHeight="1">
      <c r="A888" s="85"/>
      <c r="B888" s="85"/>
      <c r="C888" s="85"/>
      <c r="D888" s="85"/>
      <c r="E888" s="85"/>
      <c r="F888" s="85"/>
      <c r="G888" s="88"/>
      <c r="H888" s="88"/>
      <c r="I888" s="85" t="str">
        <f t="shared" si="1"/>
        <v/>
      </c>
    </row>
    <row r="889" ht="15.75" customHeight="1">
      <c r="A889" s="85"/>
      <c r="B889" s="85"/>
      <c r="C889" s="85"/>
      <c r="D889" s="85"/>
      <c r="E889" s="85"/>
      <c r="F889" s="85"/>
      <c r="G889" s="88"/>
      <c r="H889" s="88"/>
      <c r="I889" s="85" t="str">
        <f t="shared" si="1"/>
        <v/>
      </c>
    </row>
    <row r="890" ht="15.75" customHeight="1">
      <c r="A890" s="85"/>
      <c r="B890" s="85"/>
      <c r="C890" s="85"/>
      <c r="D890" s="85"/>
      <c r="E890" s="85"/>
      <c r="F890" s="85"/>
      <c r="G890" s="88"/>
      <c r="H890" s="88"/>
      <c r="I890" s="85" t="str">
        <f t="shared" si="1"/>
        <v/>
      </c>
    </row>
    <row r="891" ht="15.75" customHeight="1">
      <c r="A891" s="85"/>
      <c r="B891" s="85"/>
      <c r="C891" s="85"/>
      <c r="D891" s="85"/>
      <c r="E891" s="85"/>
      <c r="F891" s="85"/>
      <c r="G891" s="88"/>
      <c r="H891" s="88"/>
      <c r="I891" s="85" t="str">
        <f t="shared" si="1"/>
        <v/>
      </c>
    </row>
    <row r="892" ht="15.75" customHeight="1">
      <c r="A892" s="85"/>
      <c r="B892" s="85"/>
      <c r="C892" s="85"/>
      <c r="D892" s="85"/>
      <c r="E892" s="85"/>
      <c r="F892" s="85"/>
      <c r="G892" s="88"/>
      <c r="H892" s="88"/>
      <c r="I892" s="85" t="str">
        <f t="shared" si="1"/>
        <v/>
      </c>
    </row>
    <row r="893" ht="15.75" customHeight="1">
      <c r="A893" s="85"/>
      <c r="B893" s="85"/>
      <c r="C893" s="85"/>
      <c r="D893" s="85"/>
      <c r="E893" s="85"/>
      <c r="F893" s="85"/>
      <c r="G893" s="88"/>
      <c r="H893" s="88"/>
      <c r="I893" s="85" t="str">
        <f t="shared" si="1"/>
        <v/>
      </c>
    </row>
    <row r="894" ht="15.75" customHeight="1">
      <c r="A894" s="85"/>
      <c r="B894" s="85"/>
      <c r="C894" s="85"/>
      <c r="D894" s="85"/>
      <c r="E894" s="85"/>
      <c r="F894" s="85"/>
      <c r="G894" s="88"/>
      <c r="H894" s="88"/>
      <c r="I894" s="85" t="str">
        <f t="shared" si="1"/>
        <v/>
      </c>
    </row>
    <row r="895" ht="15.75" customHeight="1">
      <c r="A895" s="85"/>
      <c r="B895" s="85"/>
      <c r="C895" s="85"/>
      <c r="D895" s="85"/>
      <c r="E895" s="85"/>
      <c r="F895" s="85"/>
      <c r="G895" s="88"/>
      <c r="H895" s="88"/>
      <c r="I895" s="85" t="str">
        <f t="shared" si="1"/>
        <v/>
      </c>
    </row>
    <row r="896" ht="15.75" customHeight="1">
      <c r="A896" s="85"/>
      <c r="B896" s="85"/>
      <c r="C896" s="85"/>
      <c r="D896" s="85"/>
      <c r="E896" s="85"/>
      <c r="F896" s="85"/>
      <c r="G896" s="88"/>
      <c r="H896" s="88"/>
      <c r="I896" s="85" t="str">
        <f t="shared" si="1"/>
        <v/>
      </c>
    </row>
    <row r="897" ht="15.75" customHeight="1">
      <c r="A897" s="85"/>
      <c r="B897" s="85"/>
      <c r="C897" s="85"/>
      <c r="D897" s="85"/>
      <c r="E897" s="85"/>
      <c r="F897" s="85"/>
      <c r="G897" s="88"/>
      <c r="H897" s="88"/>
      <c r="I897" s="85" t="str">
        <f t="shared" si="1"/>
        <v/>
      </c>
    </row>
    <row r="898" ht="15.75" customHeight="1">
      <c r="A898" s="85"/>
      <c r="B898" s="85"/>
      <c r="C898" s="85"/>
      <c r="D898" s="85"/>
      <c r="E898" s="85"/>
      <c r="F898" s="85"/>
      <c r="G898" s="88"/>
      <c r="H898" s="88"/>
      <c r="I898" s="85" t="str">
        <f t="shared" si="1"/>
        <v/>
      </c>
    </row>
    <row r="899" ht="15.75" customHeight="1">
      <c r="A899" s="85"/>
      <c r="B899" s="85"/>
      <c r="C899" s="85"/>
      <c r="D899" s="85"/>
      <c r="E899" s="85"/>
      <c r="F899" s="85"/>
      <c r="G899" s="88"/>
      <c r="H899" s="88"/>
      <c r="I899" s="85" t="str">
        <f t="shared" si="1"/>
        <v/>
      </c>
    </row>
    <row r="900" ht="15.75" customHeight="1">
      <c r="A900" s="85"/>
      <c r="B900" s="85"/>
      <c r="C900" s="85"/>
      <c r="D900" s="85"/>
      <c r="E900" s="85"/>
      <c r="F900" s="85"/>
      <c r="G900" s="88"/>
      <c r="H900" s="88"/>
      <c r="I900" s="85" t="str">
        <f t="shared" si="1"/>
        <v/>
      </c>
    </row>
    <row r="901" ht="15.75" customHeight="1">
      <c r="A901" s="85"/>
      <c r="B901" s="85"/>
      <c r="C901" s="85"/>
      <c r="D901" s="85"/>
      <c r="E901" s="85"/>
      <c r="F901" s="85"/>
      <c r="G901" s="88"/>
      <c r="H901" s="88"/>
      <c r="I901" s="85" t="str">
        <f t="shared" si="1"/>
        <v/>
      </c>
    </row>
    <row r="902" ht="15.75" customHeight="1">
      <c r="A902" s="85"/>
      <c r="B902" s="85"/>
      <c r="C902" s="85"/>
      <c r="D902" s="85"/>
      <c r="E902" s="85"/>
      <c r="F902" s="85"/>
      <c r="G902" s="88"/>
      <c r="H902" s="88"/>
      <c r="I902" s="85" t="str">
        <f t="shared" si="1"/>
        <v/>
      </c>
    </row>
    <row r="903" ht="15.75" customHeight="1">
      <c r="A903" s="85"/>
      <c r="B903" s="85"/>
      <c r="C903" s="85"/>
      <c r="D903" s="85"/>
      <c r="E903" s="85"/>
      <c r="F903" s="85"/>
      <c r="G903" s="88"/>
      <c r="H903" s="88"/>
      <c r="I903" s="85" t="str">
        <f t="shared" si="1"/>
        <v/>
      </c>
    </row>
    <row r="904" ht="15.75" customHeight="1">
      <c r="A904" s="85"/>
      <c r="B904" s="85"/>
      <c r="C904" s="85"/>
      <c r="D904" s="85"/>
      <c r="E904" s="85"/>
      <c r="F904" s="85"/>
      <c r="G904" s="88"/>
      <c r="H904" s="88"/>
      <c r="I904" s="85" t="str">
        <f t="shared" si="1"/>
        <v/>
      </c>
    </row>
    <row r="905" ht="15.75" customHeight="1">
      <c r="A905" s="85"/>
      <c r="B905" s="85"/>
      <c r="C905" s="85"/>
      <c r="D905" s="85"/>
      <c r="E905" s="85"/>
      <c r="F905" s="85"/>
      <c r="G905" s="88"/>
      <c r="H905" s="88"/>
      <c r="I905" s="85" t="str">
        <f t="shared" si="1"/>
        <v/>
      </c>
    </row>
    <row r="906" ht="15.75" customHeight="1">
      <c r="A906" s="85"/>
      <c r="B906" s="85"/>
      <c r="C906" s="85"/>
      <c r="D906" s="85"/>
      <c r="E906" s="85"/>
      <c r="F906" s="85"/>
      <c r="G906" s="88"/>
      <c r="H906" s="88"/>
      <c r="I906" s="85" t="str">
        <f t="shared" si="1"/>
        <v/>
      </c>
    </row>
    <row r="907" ht="15.75" customHeight="1">
      <c r="A907" s="85"/>
      <c r="B907" s="85"/>
      <c r="C907" s="85"/>
      <c r="D907" s="85"/>
      <c r="E907" s="85"/>
      <c r="F907" s="85"/>
      <c r="G907" s="88"/>
      <c r="H907" s="88"/>
      <c r="I907" s="85" t="str">
        <f t="shared" si="1"/>
        <v/>
      </c>
    </row>
    <row r="908" ht="15.75" customHeight="1">
      <c r="A908" s="85"/>
      <c r="B908" s="85"/>
      <c r="C908" s="85"/>
      <c r="D908" s="85"/>
      <c r="E908" s="85"/>
      <c r="F908" s="85"/>
      <c r="G908" s="88"/>
      <c r="H908" s="88"/>
      <c r="I908" s="85" t="str">
        <f t="shared" si="1"/>
        <v/>
      </c>
    </row>
    <row r="909" ht="15.75" customHeight="1">
      <c r="A909" s="85"/>
      <c r="B909" s="85"/>
      <c r="C909" s="85"/>
      <c r="D909" s="85"/>
      <c r="E909" s="85"/>
      <c r="F909" s="85"/>
      <c r="G909" s="88"/>
      <c r="H909" s="88"/>
      <c r="I909" s="85" t="str">
        <f t="shared" si="1"/>
        <v/>
      </c>
    </row>
    <row r="910" ht="15.75" customHeight="1">
      <c r="A910" s="85"/>
      <c r="B910" s="85"/>
      <c r="C910" s="85"/>
      <c r="D910" s="85"/>
      <c r="E910" s="85"/>
      <c r="F910" s="85"/>
      <c r="G910" s="88"/>
      <c r="H910" s="88"/>
      <c r="I910" s="85" t="str">
        <f t="shared" si="1"/>
        <v/>
      </c>
    </row>
    <row r="911" ht="15.75" customHeight="1">
      <c r="A911" s="85"/>
      <c r="B911" s="85"/>
      <c r="C911" s="85"/>
      <c r="D911" s="85"/>
      <c r="E911" s="85"/>
      <c r="F911" s="85"/>
      <c r="G911" s="88"/>
      <c r="H911" s="88"/>
      <c r="I911" s="85" t="str">
        <f t="shared" si="1"/>
        <v/>
      </c>
    </row>
    <row r="912" ht="15.75" customHeight="1">
      <c r="A912" s="85"/>
      <c r="B912" s="85"/>
      <c r="C912" s="85"/>
      <c r="D912" s="85"/>
      <c r="E912" s="85"/>
      <c r="F912" s="85"/>
      <c r="G912" s="88"/>
      <c r="H912" s="88"/>
      <c r="I912" s="85" t="str">
        <f t="shared" si="1"/>
        <v/>
      </c>
    </row>
    <row r="913" ht="15.75" customHeight="1">
      <c r="A913" s="85"/>
      <c r="B913" s="85"/>
      <c r="C913" s="85"/>
      <c r="D913" s="85"/>
      <c r="E913" s="85"/>
      <c r="F913" s="85"/>
      <c r="G913" s="88"/>
      <c r="H913" s="88"/>
      <c r="I913" s="85" t="str">
        <f t="shared" si="1"/>
        <v/>
      </c>
    </row>
    <row r="914" ht="15.75" customHeight="1">
      <c r="A914" s="85"/>
      <c r="B914" s="85"/>
      <c r="C914" s="85"/>
      <c r="D914" s="85"/>
      <c r="E914" s="85"/>
      <c r="F914" s="85"/>
      <c r="G914" s="88"/>
      <c r="H914" s="88"/>
      <c r="I914" s="85" t="str">
        <f t="shared" si="1"/>
        <v/>
      </c>
    </row>
    <row r="915" ht="15.75" customHeight="1">
      <c r="A915" s="85"/>
      <c r="B915" s="85"/>
      <c r="C915" s="85"/>
      <c r="D915" s="85"/>
      <c r="E915" s="85"/>
      <c r="F915" s="85"/>
      <c r="G915" s="88"/>
      <c r="H915" s="88"/>
      <c r="I915" s="85" t="str">
        <f t="shared" si="1"/>
        <v/>
      </c>
    </row>
    <row r="916" ht="15.75" customHeight="1">
      <c r="A916" s="85"/>
      <c r="B916" s="85"/>
      <c r="C916" s="85"/>
      <c r="D916" s="85"/>
      <c r="E916" s="85"/>
      <c r="F916" s="85"/>
      <c r="G916" s="88"/>
      <c r="H916" s="88"/>
      <c r="I916" s="85" t="str">
        <f t="shared" si="1"/>
        <v/>
      </c>
    </row>
    <row r="917" ht="15.75" customHeight="1">
      <c r="A917" s="85"/>
      <c r="B917" s="85"/>
      <c r="C917" s="85"/>
      <c r="D917" s="85"/>
      <c r="E917" s="85"/>
      <c r="F917" s="85"/>
      <c r="G917" s="88"/>
      <c r="H917" s="88"/>
      <c r="I917" s="85" t="str">
        <f t="shared" si="1"/>
        <v/>
      </c>
    </row>
    <row r="918" ht="15.75" customHeight="1">
      <c r="A918" s="85"/>
      <c r="B918" s="85"/>
      <c r="C918" s="85"/>
      <c r="D918" s="85"/>
      <c r="E918" s="85"/>
      <c r="F918" s="85"/>
      <c r="G918" s="88"/>
      <c r="H918" s="88"/>
      <c r="I918" s="85" t="str">
        <f t="shared" si="1"/>
        <v/>
      </c>
    </row>
    <row r="919" ht="15.75" customHeight="1">
      <c r="A919" s="85"/>
      <c r="B919" s="85"/>
      <c r="C919" s="85"/>
      <c r="D919" s="85"/>
      <c r="E919" s="85"/>
      <c r="F919" s="85"/>
      <c r="G919" s="88"/>
      <c r="H919" s="88"/>
      <c r="I919" s="85" t="str">
        <f t="shared" si="1"/>
        <v/>
      </c>
    </row>
    <row r="920" ht="15.75" customHeight="1">
      <c r="A920" s="85"/>
      <c r="B920" s="85"/>
      <c r="C920" s="85"/>
      <c r="D920" s="85"/>
      <c r="E920" s="85"/>
      <c r="F920" s="85"/>
      <c r="G920" s="88"/>
      <c r="H920" s="88"/>
      <c r="I920" s="85" t="str">
        <f t="shared" si="1"/>
        <v/>
      </c>
    </row>
    <row r="921" ht="15.75" customHeight="1">
      <c r="A921" s="85"/>
      <c r="B921" s="85"/>
      <c r="C921" s="85"/>
      <c r="D921" s="85"/>
      <c r="E921" s="85"/>
      <c r="F921" s="85"/>
      <c r="G921" s="88"/>
      <c r="H921" s="88"/>
      <c r="I921" s="85" t="str">
        <f t="shared" si="1"/>
        <v/>
      </c>
    </row>
    <row r="922" ht="15.75" customHeight="1">
      <c r="A922" s="85"/>
      <c r="B922" s="85"/>
      <c r="C922" s="85"/>
      <c r="D922" s="85"/>
      <c r="E922" s="85"/>
      <c r="F922" s="85"/>
      <c r="G922" s="88"/>
      <c r="H922" s="88"/>
      <c r="I922" s="85" t="str">
        <f t="shared" si="1"/>
        <v/>
      </c>
    </row>
    <row r="923" ht="15.75" customHeight="1">
      <c r="A923" s="85"/>
      <c r="B923" s="85"/>
      <c r="C923" s="85"/>
      <c r="D923" s="85"/>
      <c r="E923" s="85"/>
      <c r="F923" s="85"/>
      <c r="G923" s="88"/>
      <c r="H923" s="88"/>
      <c r="I923" s="85" t="str">
        <f t="shared" si="1"/>
        <v/>
      </c>
    </row>
    <row r="924" ht="15.75" customHeight="1">
      <c r="A924" s="85"/>
      <c r="B924" s="85"/>
      <c r="C924" s="85"/>
      <c r="D924" s="85"/>
      <c r="E924" s="85"/>
      <c r="F924" s="85"/>
      <c r="G924" s="88"/>
      <c r="H924" s="88"/>
      <c r="I924" s="85" t="str">
        <f t="shared" si="1"/>
        <v/>
      </c>
    </row>
    <row r="925" ht="15.75" customHeight="1">
      <c r="A925" s="85"/>
      <c r="B925" s="85"/>
      <c r="C925" s="85"/>
      <c r="D925" s="85"/>
      <c r="E925" s="85"/>
      <c r="F925" s="85"/>
      <c r="G925" s="88"/>
      <c r="H925" s="88"/>
      <c r="I925" s="85" t="str">
        <f t="shared" si="1"/>
        <v/>
      </c>
    </row>
    <row r="926" ht="15.75" customHeight="1">
      <c r="A926" s="85"/>
      <c r="B926" s="85"/>
      <c r="C926" s="85"/>
      <c r="D926" s="85"/>
      <c r="E926" s="85"/>
      <c r="F926" s="85"/>
      <c r="G926" s="88"/>
      <c r="H926" s="88"/>
      <c r="I926" s="85" t="str">
        <f t="shared" si="1"/>
        <v/>
      </c>
    </row>
    <row r="927" ht="15.75" customHeight="1">
      <c r="A927" s="85"/>
      <c r="B927" s="85"/>
      <c r="C927" s="85"/>
      <c r="D927" s="85"/>
      <c r="E927" s="85"/>
      <c r="F927" s="85"/>
      <c r="G927" s="88"/>
      <c r="H927" s="88"/>
      <c r="I927" s="85" t="str">
        <f t="shared" si="1"/>
        <v/>
      </c>
    </row>
    <row r="928" ht="15.75" customHeight="1">
      <c r="A928" s="85"/>
      <c r="B928" s="85"/>
      <c r="C928" s="85"/>
      <c r="D928" s="85"/>
      <c r="E928" s="85"/>
      <c r="F928" s="85"/>
      <c r="G928" s="88"/>
      <c r="H928" s="88"/>
      <c r="I928" s="85" t="str">
        <f t="shared" si="1"/>
        <v/>
      </c>
    </row>
    <row r="929" ht="15.75" customHeight="1">
      <c r="A929" s="85"/>
      <c r="B929" s="85"/>
      <c r="C929" s="85"/>
      <c r="D929" s="85"/>
      <c r="E929" s="85"/>
      <c r="F929" s="85"/>
      <c r="G929" s="88"/>
      <c r="H929" s="88"/>
      <c r="I929" s="85" t="str">
        <f t="shared" si="1"/>
        <v/>
      </c>
    </row>
    <row r="930" ht="15.75" customHeight="1">
      <c r="A930" s="85"/>
      <c r="B930" s="85"/>
      <c r="C930" s="85"/>
      <c r="D930" s="85"/>
      <c r="E930" s="85"/>
      <c r="F930" s="85"/>
      <c r="G930" s="88"/>
      <c r="H930" s="88"/>
      <c r="I930" s="85" t="str">
        <f t="shared" si="1"/>
        <v/>
      </c>
    </row>
    <row r="931" ht="15.75" customHeight="1">
      <c r="A931" s="85"/>
      <c r="B931" s="85"/>
      <c r="C931" s="85"/>
      <c r="D931" s="85"/>
      <c r="E931" s="85"/>
      <c r="F931" s="85"/>
      <c r="G931" s="88"/>
      <c r="H931" s="88"/>
      <c r="I931" s="85" t="str">
        <f t="shared" si="1"/>
        <v/>
      </c>
    </row>
    <row r="932" ht="15.75" customHeight="1">
      <c r="A932" s="85"/>
      <c r="B932" s="85"/>
      <c r="C932" s="85"/>
      <c r="D932" s="85"/>
      <c r="E932" s="85"/>
      <c r="F932" s="85"/>
      <c r="G932" s="88"/>
      <c r="H932" s="88"/>
      <c r="I932" s="85" t="str">
        <f t="shared" si="1"/>
        <v/>
      </c>
    </row>
    <row r="933" ht="15.75" customHeight="1">
      <c r="A933" s="85"/>
      <c r="B933" s="85"/>
      <c r="C933" s="85"/>
      <c r="D933" s="85"/>
      <c r="E933" s="85"/>
      <c r="F933" s="85"/>
      <c r="G933" s="88"/>
      <c r="H933" s="88"/>
      <c r="I933" s="85" t="str">
        <f t="shared" si="1"/>
        <v/>
      </c>
    </row>
    <row r="934" ht="15.75" customHeight="1">
      <c r="A934" s="85"/>
      <c r="B934" s="85"/>
      <c r="C934" s="85"/>
      <c r="D934" s="85"/>
      <c r="E934" s="85"/>
      <c r="F934" s="85"/>
      <c r="G934" s="88"/>
      <c r="H934" s="88"/>
      <c r="I934" s="85" t="str">
        <f t="shared" si="1"/>
        <v/>
      </c>
    </row>
    <row r="935" ht="15.75" customHeight="1">
      <c r="A935" s="85"/>
      <c r="B935" s="85"/>
      <c r="C935" s="85"/>
      <c r="D935" s="85"/>
      <c r="E935" s="85"/>
      <c r="F935" s="85"/>
      <c r="G935" s="88"/>
      <c r="H935" s="88"/>
      <c r="I935" s="85" t="str">
        <f t="shared" si="1"/>
        <v/>
      </c>
    </row>
    <row r="936" ht="15.75" customHeight="1">
      <c r="A936" s="85"/>
      <c r="B936" s="85"/>
      <c r="C936" s="85"/>
      <c r="D936" s="85"/>
      <c r="E936" s="85"/>
      <c r="F936" s="85"/>
      <c r="G936" s="88"/>
      <c r="H936" s="88"/>
      <c r="I936" s="85" t="str">
        <f t="shared" si="1"/>
        <v/>
      </c>
    </row>
    <row r="937" ht="15.75" customHeight="1">
      <c r="A937" s="85"/>
      <c r="B937" s="85"/>
      <c r="C937" s="85"/>
      <c r="D937" s="85"/>
      <c r="E937" s="85"/>
      <c r="F937" s="85"/>
      <c r="G937" s="88"/>
      <c r="H937" s="88"/>
      <c r="I937" s="85" t="str">
        <f t="shared" si="1"/>
        <v/>
      </c>
    </row>
    <row r="938" ht="15.75" customHeight="1">
      <c r="A938" s="85"/>
      <c r="B938" s="85"/>
      <c r="C938" s="85"/>
      <c r="D938" s="85"/>
      <c r="E938" s="85"/>
      <c r="F938" s="85"/>
      <c r="G938" s="88"/>
      <c r="H938" s="88"/>
      <c r="I938" s="85" t="str">
        <f t="shared" si="1"/>
        <v/>
      </c>
    </row>
    <row r="939" ht="15.75" customHeight="1">
      <c r="A939" s="85"/>
      <c r="B939" s="85"/>
      <c r="C939" s="85"/>
      <c r="D939" s="85"/>
      <c r="E939" s="85"/>
      <c r="F939" s="85"/>
      <c r="G939" s="88"/>
      <c r="H939" s="88"/>
      <c r="I939" s="85" t="str">
        <f t="shared" si="1"/>
        <v/>
      </c>
    </row>
    <row r="940" ht="15.75" customHeight="1">
      <c r="A940" s="85"/>
      <c r="B940" s="85"/>
      <c r="C940" s="85"/>
      <c r="D940" s="85"/>
      <c r="E940" s="85"/>
      <c r="F940" s="85"/>
      <c r="G940" s="88"/>
      <c r="H940" s="88"/>
      <c r="I940" s="85" t="str">
        <f t="shared" si="1"/>
        <v/>
      </c>
    </row>
    <row r="941" ht="15.75" customHeight="1">
      <c r="A941" s="85"/>
      <c r="B941" s="85"/>
      <c r="C941" s="85"/>
      <c r="D941" s="85"/>
      <c r="E941" s="85"/>
      <c r="F941" s="85"/>
      <c r="G941" s="88"/>
      <c r="H941" s="88"/>
      <c r="I941" s="85" t="str">
        <f t="shared" si="1"/>
        <v/>
      </c>
    </row>
    <row r="942" ht="15.75" customHeight="1">
      <c r="A942" s="85"/>
      <c r="B942" s="85"/>
      <c r="C942" s="85"/>
      <c r="D942" s="85"/>
      <c r="E942" s="85"/>
      <c r="F942" s="85"/>
      <c r="G942" s="88"/>
      <c r="H942" s="88"/>
      <c r="I942" s="85" t="str">
        <f t="shared" si="1"/>
        <v/>
      </c>
    </row>
    <row r="943" ht="15.75" customHeight="1">
      <c r="A943" s="85"/>
      <c r="B943" s="85"/>
      <c r="C943" s="85"/>
      <c r="D943" s="85"/>
      <c r="E943" s="85"/>
      <c r="F943" s="85"/>
      <c r="G943" s="88"/>
      <c r="H943" s="88"/>
      <c r="I943" s="85" t="str">
        <f t="shared" si="1"/>
        <v/>
      </c>
    </row>
    <row r="944" ht="15.75" customHeight="1">
      <c r="A944" s="85"/>
      <c r="B944" s="85"/>
      <c r="C944" s="85"/>
      <c r="D944" s="85"/>
      <c r="E944" s="85"/>
      <c r="F944" s="85"/>
      <c r="G944" s="88"/>
      <c r="H944" s="88"/>
      <c r="I944" s="85" t="str">
        <f t="shared" si="1"/>
        <v/>
      </c>
    </row>
    <row r="945" ht="15.75" customHeight="1">
      <c r="A945" s="85"/>
      <c r="B945" s="85"/>
      <c r="C945" s="85"/>
      <c r="D945" s="85"/>
      <c r="E945" s="85"/>
      <c r="F945" s="85"/>
      <c r="G945" s="88"/>
      <c r="H945" s="88"/>
      <c r="I945" s="85" t="str">
        <f t="shared" si="1"/>
        <v/>
      </c>
    </row>
    <row r="946" ht="15.75" customHeight="1">
      <c r="A946" s="85"/>
      <c r="B946" s="85"/>
      <c r="C946" s="85"/>
      <c r="D946" s="85"/>
      <c r="E946" s="85"/>
      <c r="F946" s="85"/>
      <c r="G946" s="88"/>
      <c r="H946" s="88"/>
      <c r="I946" s="85" t="str">
        <f t="shared" si="1"/>
        <v/>
      </c>
    </row>
    <row r="947" ht="15.75" customHeight="1">
      <c r="A947" s="85"/>
      <c r="B947" s="85"/>
      <c r="C947" s="85"/>
      <c r="D947" s="85"/>
      <c r="E947" s="85"/>
      <c r="F947" s="85"/>
      <c r="G947" s="88"/>
      <c r="H947" s="88"/>
      <c r="I947" s="85" t="str">
        <f t="shared" si="1"/>
        <v/>
      </c>
    </row>
    <row r="948" ht="15.75" customHeight="1">
      <c r="A948" s="85"/>
      <c r="B948" s="85"/>
      <c r="C948" s="85"/>
      <c r="D948" s="85"/>
      <c r="E948" s="85"/>
      <c r="F948" s="85"/>
      <c r="G948" s="88"/>
      <c r="H948" s="88"/>
      <c r="I948" s="85" t="str">
        <f t="shared" si="1"/>
        <v/>
      </c>
    </row>
    <row r="949" ht="15.75" customHeight="1">
      <c r="A949" s="85"/>
      <c r="B949" s="85"/>
      <c r="C949" s="85"/>
      <c r="D949" s="85"/>
      <c r="E949" s="85"/>
      <c r="F949" s="85"/>
      <c r="G949" s="88"/>
      <c r="H949" s="88"/>
      <c r="I949" s="85" t="str">
        <f t="shared" si="1"/>
        <v/>
      </c>
    </row>
    <row r="950" ht="15.75" customHeight="1">
      <c r="A950" s="85"/>
      <c r="B950" s="85"/>
      <c r="C950" s="85"/>
      <c r="D950" s="85"/>
      <c r="E950" s="85"/>
      <c r="F950" s="85"/>
      <c r="G950" s="88"/>
      <c r="H950" s="88"/>
      <c r="I950" s="85" t="str">
        <f t="shared" si="1"/>
        <v/>
      </c>
    </row>
    <row r="951" ht="15.75" customHeight="1">
      <c r="A951" s="85"/>
      <c r="B951" s="85"/>
      <c r="C951" s="85"/>
      <c r="D951" s="85"/>
      <c r="E951" s="85"/>
      <c r="F951" s="85"/>
      <c r="G951" s="88"/>
      <c r="H951" s="88"/>
      <c r="I951" s="85" t="str">
        <f t="shared" si="1"/>
        <v/>
      </c>
    </row>
    <row r="952" ht="15.75" customHeight="1">
      <c r="A952" s="85"/>
      <c r="B952" s="85"/>
      <c r="C952" s="85"/>
      <c r="D952" s="85"/>
      <c r="E952" s="85"/>
      <c r="F952" s="85"/>
      <c r="G952" s="88"/>
      <c r="H952" s="88"/>
      <c r="I952" s="85" t="str">
        <f t="shared" si="1"/>
        <v/>
      </c>
    </row>
    <row r="953" ht="15.75" customHeight="1">
      <c r="A953" s="85"/>
      <c r="B953" s="85"/>
      <c r="C953" s="85"/>
      <c r="D953" s="85"/>
      <c r="E953" s="85"/>
      <c r="F953" s="85"/>
      <c r="G953" s="88"/>
      <c r="H953" s="88"/>
      <c r="I953" s="85" t="str">
        <f t="shared" si="1"/>
        <v/>
      </c>
    </row>
    <row r="954" ht="15.75" customHeight="1">
      <c r="A954" s="85"/>
      <c r="B954" s="85"/>
      <c r="C954" s="85"/>
      <c r="D954" s="85"/>
      <c r="E954" s="85"/>
      <c r="F954" s="85"/>
      <c r="G954" s="88"/>
      <c r="H954" s="88"/>
      <c r="I954" s="85" t="str">
        <f t="shared" si="1"/>
        <v/>
      </c>
    </row>
    <row r="955" ht="15.75" customHeight="1">
      <c r="A955" s="85"/>
      <c r="B955" s="85"/>
      <c r="C955" s="85"/>
      <c r="D955" s="85"/>
      <c r="E955" s="85"/>
      <c r="F955" s="85"/>
      <c r="G955" s="88"/>
      <c r="H955" s="88"/>
      <c r="I955" s="85" t="str">
        <f t="shared" si="1"/>
        <v/>
      </c>
    </row>
    <row r="956" ht="15.75" customHeight="1">
      <c r="A956" s="85"/>
      <c r="B956" s="85"/>
      <c r="C956" s="85"/>
      <c r="D956" s="85"/>
      <c r="E956" s="85"/>
      <c r="F956" s="85"/>
      <c r="G956" s="88"/>
      <c r="H956" s="88"/>
      <c r="I956" s="85" t="str">
        <f t="shared" si="1"/>
        <v/>
      </c>
    </row>
    <row r="957" ht="15.75" customHeight="1">
      <c r="A957" s="85"/>
      <c r="B957" s="85"/>
      <c r="C957" s="85"/>
      <c r="D957" s="85"/>
      <c r="E957" s="85"/>
      <c r="F957" s="85"/>
      <c r="G957" s="88"/>
      <c r="H957" s="88"/>
      <c r="I957" s="85" t="str">
        <f t="shared" si="1"/>
        <v/>
      </c>
    </row>
    <row r="958" ht="15.75" customHeight="1">
      <c r="A958" s="85"/>
      <c r="B958" s="85"/>
      <c r="C958" s="85"/>
      <c r="D958" s="85"/>
      <c r="E958" s="85"/>
      <c r="F958" s="85"/>
      <c r="G958" s="88"/>
      <c r="H958" s="88"/>
      <c r="I958" s="85" t="str">
        <f t="shared" si="1"/>
        <v/>
      </c>
    </row>
    <row r="959" ht="15.75" customHeight="1">
      <c r="A959" s="85"/>
      <c r="B959" s="85"/>
      <c r="C959" s="85"/>
      <c r="D959" s="85"/>
      <c r="E959" s="85"/>
      <c r="F959" s="85"/>
      <c r="G959" s="88"/>
      <c r="H959" s="88"/>
      <c r="I959" s="85" t="str">
        <f t="shared" si="1"/>
        <v/>
      </c>
    </row>
    <row r="960" ht="15.75" customHeight="1">
      <c r="A960" s="85"/>
      <c r="B960" s="85"/>
      <c r="C960" s="85"/>
      <c r="D960" s="85"/>
      <c r="E960" s="85"/>
      <c r="F960" s="85"/>
      <c r="G960" s="88"/>
      <c r="H960" s="88"/>
      <c r="I960" s="85" t="str">
        <f t="shared" si="1"/>
        <v/>
      </c>
    </row>
    <row r="961" ht="15.75" customHeight="1">
      <c r="A961" s="85"/>
      <c r="B961" s="85"/>
      <c r="C961" s="85"/>
      <c r="D961" s="85"/>
      <c r="E961" s="85"/>
      <c r="F961" s="85"/>
      <c r="G961" s="88"/>
      <c r="H961" s="88"/>
      <c r="I961" s="85" t="str">
        <f t="shared" si="1"/>
        <v/>
      </c>
    </row>
    <row r="962" ht="15.75" customHeight="1">
      <c r="A962" s="85"/>
      <c r="B962" s="85"/>
      <c r="C962" s="85"/>
      <c r="D962" s="85"/>
      <c r="E962" s="85"/>
      <c r="F962" s="85"/>
      <c r="G962" s="88"/>
      <c r="H962" s="88"/>
      <c r="I962" s="85" t="str">
        <f t="shared" si="1"/>
        <v/>
      </c>
    </row>
    <row r="963" ht="15.75" customHeight="1">
      <c r="A963" s="85"/>
      <c r="B963" s="85"/>
      <c r="C963" s="85"/>
      <c r="D963" s="85"/>
      <c r="E963" s="85"/>
      <c r="F963" s="85"/>
      <c r="G963" s="88"/>
      <c r="H963" s="88"/>
      <c r="I963" s="85" t="str">
        <f t="shared" si="1"/>
        <v/>
      </c>
    </row>
    <row r="964" ht="15.75" customHeight="1">
      <c r="A964" s="85"/>
      <c r="B964" s="85"/>
      <c r="C964" s="85"/>
      <c r="D964" s="85"/>
      <c r="E964" s="85"/>
      <c r="F964" s="85"/>
      <c r="G964" s="88"/>
      <c r="H964" s="88"/>
      <c r="I964" s="85" t="str">
        <f t="shared" si="1"/>
        <v/>
      </c>
    </row>
    <row r="965" ht="15.75" customHeight="1">
      <c r="A965" s="85"/>
      <c r="B965" s="85"/>
      <c r="C965" s="85"/>
      <c r="D965" s="85"/>
      <c r="E965" s="85"/>
      <c r="F965" s="85"/>
      <c r="G965" s="88"/>
      <c r="H965" s="88"/>
      <c r="I965" s="85" t="str">
        <f t="shared" si="1"/>
        <v/>
      </c>
    </row>
    <row r="966" ht="15.75" customHeight="1">
      <c r="A966" s="85"/>
      <c r="B966" s="85"/>
      <c r="C966" s="85"/>
      <c r="D966" s="85"/>
      <c r="E966" s="85"/>
      <c r="F966" s="85"/>
      <c r="G966" s="88"/>
      <c r="H966" s="88"/>
      <c r="I966" s="85" t="str">
        <f t="shared" si="1"/>
        <v/>
      </c>
    </row>
    <row r="967" ht="15.75" customHeight="1">
      <c r="A967" s="85"/>
      <c r="B967" s="85"/>
      <c r="C967" s="85"/>
      <c r="D967" s="85"/>
      <c r="E967" s="85"/>
      <c r="F967" s="85"/>
      <c r="G967" s="88"/>
      <c r="H967" s="88"/>
      <c r="I967" s="85" t="str">
        <f t="shared" si="1"/>
        <v/>
      </c>
    </row>
    <row r="968" ht="15.75" customHeight="1">
      <c r="A968" s="85"/>
      <c r="B968" s="85"/>
      <c r="C968" s="85"/>
      <c r="D968" s="85"/>
      <c r="E968" s="85"/>
      <c r="F968" s="85"/>
      <c r="G968" s="88"/>
      <c r="H968" s="88"/>
      <c r="I968" s="85" t="str">
        <f t="shared" si="1"/>
        <v/>
      </c>
    </row>
    <row r="969" ht="15.75" customHeight="1">
      <c r="A969" s="85"/>
      <c r="B969" s="85"/>
      <c r="C969" s="85"/>
      <c r="D969" s="85"/>
      <c r="E969" s="85"/>
      <c r="F969" s="85"/>
      <c r="G969" s="88"/>
      <c r="H969" s="88"/>
      <c r="I969" s="85" t="str">
        <f t="shared" si="1"/>
        <v/>
      </c>
    </row>
    <row r="970" ht="15.75" customHeight="1">
      <c r="A970" s="85"/>
      <c r="B970" s="85"/>
      <c r="C970" s="85"/>
      <c r="D970" s="85"/>
      <c r="E970" s="85"/>
      <c r="F970" s="85"/>
      <c r="G970" s="88"/>
      <c r="H970" s="88"/>
      <c r="I970" s="85" t="str">
        <f t="shared" si="1"/>
        <v/>
      </c>
    </row>
    <row r="971" ht="15.75" customHeight="1">
      <c r="A971" s="85"/>
      <c r="B971" s="85"/>
      <c r="C971" s="85"/>
      <c r="D971" s="85"/>
      <c r="E971" s="85"/>
      <c r="F971" s="85"/>
      <c r="G971" s="88"/>
      <c r="H971" s="88"/>
      <c r="I971" s="85" t="str">
        <f t="shared" si="1"/>
        <v/>
      </c>
    </row>
    <row r="972" ht="15.75" customHeight="1">
      <c r="A972" s="85"/>
      <c r="B972" s="85"/>
      <c r="C972" s="85"/>
      <c r="D972" s="85"/>
      <c r="E972" s="85"/>
      <c r="F972" s="85"/>
      <c r="G972" s="88"/>
      <c r="H972" s="88"/>
      <c r="I972" s="85" t="str">
        <f t="shared" si="1"/>
        <v/>
      </c>
    </row>
    <row r="973" ht="15.75" customHeight="1">
      <c r="A973" s="85"/>
      <c r="B973" s="85"/>
      <c r="C973" s="85"/>
      <c r="D973" s="85"/>
      <c r="E973" s="85"/>
      <c r="F973" s="85"/>
      <c r="G973" s="88"/>
      <c r="H973" s="88"/>
      <c r="I973" s="85" t="str">
        <f t="shared" si="1"/>
        <v/>
      </c>
    </row>
    <row r="974" ht="15.75" customHeight="1">
      <c r="A974" s="85"/>
      <c r="B974" s="85"/>
      <c r="C974" s="85"/>
      <c r="D974" s="85"/>
      <c r="E974" s="85"/>
      <c r="F974" s="85"/>
      <c r="G974" s="88"/>
      <c r="H974" s="88"/>
      <c r="I974" s="85" t="str">
        <f t="shared" si="1"/>
        <v/>
      </c>
    </row>
    <row r="975" ht="15.75" customHeight="1">
      <c r="A975" s="85"/>
      <c r="B975" s="85"/>
      <c r="C975" s="85"/>
      <c r="D975" s="85"/>
      <c r="E975" s="85"/>
      <c r="F975" s="85"/>
      <c r="G975" s="88"/>
      <c r="H975" s="88"/>
      <c r="I975" s="85" t="str">
        <f t="shared" si="1"/>
        <v/>
      </c>
    </row>
    <row r="976" ht="15.75" customHeight="1">
      <c r="A976" s="85"/>
      <c r="B976" s="85"/>
      <c r="C976" s="85"/>
      <c r="D976" s="85"/>
      <c r="E976" s="85"/>
      <c r="F976" s="85"/>
      <c r="G976" s="88"/>
      <c r="H976" s="88"/>
      <c r="I976" s="85" t="str">
        <f t="shared" si="1"/>
        <v/>
      </c>
    </row>
    <row r="977" ht="15.75" customHeight="1">
      <c r="A977" s="85"/>
      <c r="B977" s="85"/>
      <c r="C977" s="85"/>
      <c r="D977" s="85"/>
      <c r="E977" s="85"/>
      <c r="F977" s="85"/>
      <c r="G977" s="88"/>
      <c r="H977" s="88"/>
      <c r="I977" s="85" t="str">
        <f t="shared" si="1"/>
        <v/>
      </c>
    </row>
    <row r="978" ht="15.75" customHeight="1">
      <c r="A978" s="85"/>
      <c r="B978" s="85"/>
      <c r="C978" s="85"/>
      <c r="D978" s="85"/>
      <c r="E978" s="85"/>
      <c r="F978" s="85"/>
      <c r="G978" s="88"/>
      <c r="H978" s="88"/>
      <c r="I978" s="85" t="str">
        <f t="shared" si="1"/>
        <v/>
      </c>
    </row>
    <row r="979" ht="15.75" customHeight="1">
      <c r="A979" s="85"/>
      <c r="B979" s="85"/>
      <c r="C979" s="85"/>
      <c r="D979" s="85"/>
      <c r="E979" s="85"/>
      <c r="F979" s="85"/>
      <c r="G979" s="88"/>
      <c r="H979" s="88"/>
      <c r="I979" s="85" t="str">
        <f t="shared" si="1"/>
        <v/>
      </c>
    </row>
    <row r="980" ht="15.75" customHeight="1">
      <c r="A980" s="85"/>
      <c r="B980" s="85"/>
      <c r="C980" s="85"/>
      <c r="D980" s="85"/>
      <c r="E980" s="85"/>
      <c r="F980" s="85"/>
      <c r="G980" s="88"/>
      <c r="H980" s="88"/>
      <c r="I980" s="85" t="str">
        <f t="shared" si="1"/>
        <v/>
      </c>
    </row>
    <row r="981" ht="15.75" customHeight="1">
      <c r="A981" s="85"/>
      <c r="B981" s="85"/>
      <c r="C981" s="85"/>
      <c r="D981" s="85"/>
      <c r="E981" s="85"/>
      <c r="F981" s="85"/>
      <c r="G981" s="88"/>
      <c r="H981" s="88"/>
      <c r="I981" s="85" t="str">
        <f t="shared" si="1"/>
        <v/>
      </c>
    </row>
    <row r="982" ht="15.75" customHeight="1">
      <c r="A982" s="85"/>
      <c r="B982" s="85"/>
      <c r="C982" s="85"/>
      <c r="D982" s="85"/>
      <c r="E982" s="85"/>
      <c r="F982" s="85"/>
      <c r="G982" s="88"/>
      <c r="H982" s="88"/>
      <c r="I982" s="85" t="str">
        <f t="shared" si="1"/>
        <v/>
      </c>
    </row>
    <row r="983" ht="15.75" customHeight="1">
      <c r="A983" s="85"/>
      <c r="B983" s="85"/>
      <c r="C983" s="85"/>
      <c r="D983" s="85"/>
      <c r="E983" s="85"/>
      <c r="F983" s="85"/>
      <c r="G983" s="88"/>
      <c r="H983" s="88"/>
      <c r="I983" s="85" t="str">
        <f t="shared" si="1"/>
        <v/>
      </c>
    </row>
    <row r="984" ht="15.75" customHeight="1">
      <c r="A984" s="85"/>
      <c r="B984" s="85"/>
      <c r="C984" s="85"/>
      <c r="D984" s="85"/>
      <c r="E984" s="85"/>
      <c r="F984" s="85"/>
      <c r="G984" s="88"/>
      <c r="H984" s="88"/>
      <c r="I984" s="85" t="str">
        <f t="shared" si="1"/>
        <v/>
      </c>
    </row>
    <row r="985" ht="15.75" customHeight="1">
      <c r="A985" s="85"/>
      <c r="B985" s="85"/>
      <c r="C985" s="85"/>
      <c r="D985" s="85"/>
      <c r="E985" s="85"/>
      <c r="F985" s="85"/>
      <c r="G985" s="88"/>
      <c r="H985" s="88"/>
      <c r="I985" s="85" t="str">
        <f t="shared" si="1"/>
        <v/>
      </c>
    </row>
    <row r="986" ht="15.75" customHeight="1">
      <c r="A986" s="85"/>
      <c r="B986" s="85"/>
      <c r="C986" s="85"/>
      <c r="D986" s="85"/>
      <c r="E986" s="85"/>
      <c r="F986" s="85"/>
      <c r="G986" s="88"/>
      <c r="H986" s="88"/>
      <c r="I986" s="85" t="str">
        <f t="shared" si="1"/>
        <v/>
      </c>
    </row>
    <row r="987" ht="15.75" customHeight="1">
      <c r="A987" s="85"/>
      <c r="B987" s="85"/>
      <c r="C987" s="85"/>
      <c r="D987" s="85"/>
      <c r="E987" s="85"/>
      <c r="F987" s="85"/>
      <c r="G987" s="88"/>
      <c r="H987" s="88"/>
      <c r="I987" s="85" t="str">
        <f t="shared" si="1"/>
        <v/>
      </c>
    </row>
    <row r="988" ht="15.75" customHeight="1">
      <c r="A988" s="85"/>
      <c r="B988" s="85"/>
      <c r="C988" s="85"/>
      <c r="D988" s="85"/>
      <c r="E988" s="85"/>
      <c r="F988" s="85"/>
      <c r="G988" s="88"/>
      <c r="H988" s="88"/>
      <c r="I988" s="85" t="str">
        <f t="shared" si="1"/>
        <v/>
      </c>
    </row>
    <row r="989" ht="15.75" customHeight="1">
      <c r="A989" s="85"/>
      <c r="B989" s="85"/>
      <c r="C989" s="85"/>
      <c r="D989" s="85"/>
      <c r="E989" s="85"/>
      <c r="F989" s="85"/>
      <c r="G989" s="88"/>
      <c r="H989" s="88"/>
      <c r="I989" s="85" t="str">
        <f t="shared" si="1"/>
        <v/>
      </c>
    </row>
    <row r="990" ht="15.75" customHeight="1">
      <c r="A990" s="85"/>
      <c r="B990" s="85"/>
      <c r="C990" s="85"/>
      <c r="D990" s="85"/>
      <c r="E990" s="85"/>
      <c r="F990" s="85"/>
      <c r="G990" s="88"/>
      <c r="H990" s="88"/>
      <c r="I990" s="85" t="str">
        <f t="shared" si="1"/>
        <v/>
      </c>
    </row>
    <row r="991" ht="15.75" customHeight="1">
      <c r="A991" s="85"/>
      <c r="B991" s="85"/>
      <c r="C991" s="85"/>
      <c r="D991" s="85"/>
      <c r="E991" s="85"/>
      <c r="F991" s="85"/>
      <c r="G991" s="88"/>
      <c r="H991" s="88"/>
      <c r="I991" s="85" t="str">
        <f t="shared" si="1"/>
        <v/>
      </c>
    </row>
    <row r="992" ht="15.75" customHeight="1">
      <c r="A992" s="85"/>
      <c r="B992" s="85"/>
      <c r="C992" s="85"/>
      <c r="D992" s="85"/>
      <c r="E992" s="85"/>
      <c r="F992" s="85"/>
      <c r="G992" s="88"/>
      <c r="H992" s="88"/>
      <c r="I992" s="85" t="str">
        <f t="shared" si="1"/>
        <v/>
      </c>
    </row>
    <row r="993" ht="15.75" customHeight="1">
      <c r="A993" s="85"/>
      <c r="B993" s="85"/>
      <c r="C993" s="85"/>
      <c r="D993" s="85"/>
      <c r="E993" s="85"/>
      <c r="F993" s="85"/>
      <c r="G993" s="88"/>
      <c r="H993" s="88"/>
      <c r="I993" s="85" t="str">
        <f t="shared" si="1"/>
        <v/>
      </c>
    </row>
    <row r="994" ht="15.75" customHeight="1">
      <c r="A994" s="85"/>
      <c r="B994" s="85"/>
      <c r="C994" s="85"/>
      <c r="D994" s="85"/>
      <c r="E994" s="85"/>
      <c r="F994" s="85"/>
      <c r="G994" s="88"/>
      <c r="H994" s="88"/>
      <c r="I994" s="85" t="str">
        <f t="shared" si="1"/>
        <v/>
      </c>
    </row>
    <row r="995" ht="15.75" customHeight="1">
      <c r="A995" s="85"/>
      <c r="B995" s="85"/>
      <c r="C995" s="85"/>
      <c r="D995" s="85"/>
      <c r="E995" s="85"/>
      <c r="F995" s="85"/>
      <c r="G995" s="88"/>
      <c r="H995" s="88"/>
      <c r="I995" s="85" t="str">
        <f t="shared" si="1"/>
        <v/>
      </c>
    </row>
    <row r="996" ht="15.75" customHeight="1">
      <c r="A996" s="85"/>
      <c r="B996" s="85"/>
      <c r="C996" s="85"/>
      <c r="D996" s="85"/>
      <c r="E996" s="85"/>
      <c r="F996" s="85"/>
      <c r="G996" s="88"/>
      <c r="H996" s="88"/>
      <c r="I996" s="85" t="str">
        <f t="shared" si="1"/>
        <v/>
      </c>
    </row>
    <row r="997" ht="15.75" customHeight="1">
      <c r="A997" s="85"/>
      <c r="B997" s="85"/>
      <c r="C997" s="85"/>
      <c r="D997" s="85"/>
      <c r="E997" s="85"/>
      <c r="F997" s="85"/>
      <c r="G997" s="88"/>
      <c r="H997" s="88"/>
      <c r="I997" s="85" t="str">
        <f t="shared" si="1"/>
        <v/>
      </c>
    </row>
    <row r="998" ht="15.75" customHeight="1">
      <c r="A998" s="85"/>
      <c r="B998" s="85"/>
      <c r="C998" s="85"/>
      <c r="D998" s="85"/>
      <c r="E998" s="85"/>
      <c r="F998" s="85"/>
      <c r="G998" s="88"/>
      <c r="H998" s="88"/>
      <c r="I998" s="85" t="str">
        <f t="shared" si="1"/>
        <v/>
      </c>
    </row>
    <row r="999" ht="15.75" customHeight="1">
      <c r="A999" s="85"/>
      <c r="B999" s="85"/>
      <c r="C999" s="85"/>
      <c r="D999" s="85"/>
      <c r="E999" s="85"/>
      <c r="F999" s="85"/>
      <c r="G999" s="88"/>
      <c r="H999" s="88"/>
      <c r="I999" s="85" t="str">
        <f t="shared" si="1"/>
        <v/>
      </c>
    </row>
    <row r="1000" ht="15.75" customHeight="1">
      <c r="A1000" s="85"/>
      <c r="B1000" s="85"/>
      <c r="C1000" s="85"/>
      <c r="D1000" s="85"/>
      <c r="E1000" s="85"/>
      <c r="F1000" s="85"/>
      <c r="G1000" s="88"/>
      <c r="H1000" s="88"/>
      <c r="I1000" s="85" t="str">
        <f t="shared" si="1"/>
        <v/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